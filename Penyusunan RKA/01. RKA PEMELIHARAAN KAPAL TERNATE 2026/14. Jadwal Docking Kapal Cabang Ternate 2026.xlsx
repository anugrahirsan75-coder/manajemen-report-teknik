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Teknik Ternate 2024\TEKNIK 2026\RKA 2026\USULAN RKA\TEKNIK KAPAL\01. Rutin\"/>
    </mc:Choice>
  </mc:AlternateContent>
  <xr:revisionPtr revIDLastSave="0" documentId="13_ncr:1_{85BF6496-5FB0-483B-A4C4-CD8D852CD39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ADWAL DOCKING OK" sheetId="14" r:id="rId1"/>
    <sheet name="VISA" sheetId="13" r:id="rId2"/>
  </sheets>
  <externalReferences>
    <externalReference r:id="rId3"/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akun8digit">#REF!</definedName>
    <definedName name="bymhd">#REF!</definedName>
    <definedName name="DAFJBT">#REF!</definedName>
    <definedName name="Daftarpgw">#REF!</definedName>
    <definedName name="DAPEN_KARY">'[1]2008'!#REF!</definedName>
    <definedName name="DAPEN_PERUSH">'[1]2008'!#REF!</definedName>
    <definedName name="_xlnm.Database">#REF!</definedName>
    <definedName name="Database_MI">#REF!</definedName>
    <definedName name="DF">'[1]2008'!#REF!</definedName>
    <definedName name="GDSR">#REF!</definedName>
    <definedName name="GJ_KDRT">'[1]2008'!#REF!</definedName>
    <definedName name="GJ_LM">'[1]2008'!#REF!</definedName>
    <definedName name="GJ_NAIK">'[1]2008'!#REF!</definedName>
    <definedName name="GJBT">#REF!</definedName>
    <definedName name="HAPUS">#REF!</definedName>
    <definedName name="HARI_KERJA">'[1]JGN DIHAPUS'!$I$131:$O$166</definedName>
    <definedName name="hhhh">#REF!</definedName>
    <definedName name="HJ">'[1]2008'!#REF!</definedName>
    <definedName name="INCOME">'[1]2008'!#REF!</definedName>
    <definedName name="INCOME_NOW">'[1]2008'!#REF!</definedName>
    <definedName name="JABATAN">[2]Tabel!$D$5:$F$11</definedName>
    <definedName name="kaka">#REF!</definedName>
    <definedName name="kakak">#REF!</definedName>
    <definedName name="KALA">[3]Sheet1!$A$1:$F$84</definedName>
    <definedName name="kapal">#REF!</definedName>
    <definedName name="KAR_BARU">#REF!</definedName>
    <definedName name="KDKPL">#REF!</definedName>
    <definedName name="kk">'[1]2008'!#REF!</definedName>
    <definedName name="KKWT">#REF!</definedName>
    <definedName name="LOKASI">#REF!</definedName>
    <definedName name="ma">#REF!</definedName>
    <definedName name="MA.5120_I">#REF!</definedName>
    <definedName name="MA.5120_II">#REF!</definedName>
    <definedName name="MA.5125">#REF!</definedName>
    <definedName name="mm">#REF!</definedName>
    <definedName name="MM.5120_I">#REF!</definedName>
    <definedName name="MM.5120_II">#REF!</definedName>
    <definedName name="MM.5125">#REF!</definedName>
    <definedName name="mmmmm">#REF!</definedName>
    <definedName name="MN">#REF!</definedName>
    <definedName name="ms">#REF!</definedName>
    <definedName name="MS.5120_I">#REF!</definedName>
    <definedName name="MS.5120_II">#REF!</definedName>
    <definedName name="MS.5125">#REF!</definedName>
    <definedName name="mu">#REF!</definedName>
    <definedName name="MU.5120_I">#REF!</definedName>
    <definedName name="MU.5120_II">#REF!</definedName>
    <definedName name="mu.5122">#REF!</definedName>
    <definedName name="MU.5125">#REF!</definedName>
    <definedName name="NOMEN">#REF!</definedName>
    <definedName name="nomenabk">#REF!</definedName>
    <definedName name="nomendrt">#REF!</definedName>
    <definedName name="PERSPOT">#REF!</definedName>
    <definedName name="_xlnm.Print_Area">#REF!</definedName>
    <definedName name="Print_Area_MI">#REF!</definedName>
    <definedName name="Q_RekapitulasiBiaDocking">#REF!</definedName>
    <definedName name="REFKPL">#REF!</definedName>
    <definedName name="reftype">#REF!</definedName>
    <definedName name="rKlasPro">#REF!</definedName>
    <definedName name="SISAPGW">#REF!</definedName>
    <definedName name="SKS">#REF!</definedName>
    <definedName name="sss">#REF!</definedName>
    <definedName name="syam">'[1]2008'!#REF!</definedName>
    <definedName name="TK">#REF!</definedName>
    <definedName name="TULAY">[2]Tabel!$A$5:$B$53</definedName>
    <definedName name="TYPEKPL">#REF!</definedName>
    <definedName name="UNKER_DRT">#REF!</definedName>
    <definedName name="UNKER_LAUT">#REF!</definedName>
    <definedName name="vvzh">[4]SEMUMU!$L$116</definedName>
  </definedNames>
  <calcPr calcId="181029" iterate="1"/>
</workbook>
</file>

<file path=xl/calcChain.xml><?xml version="1.0" encoding="utf-8"?>
<calcChain xmlns="http://schemas.openxmlformats.org/spreadsheetml/2006/main">
  <c r="B46" i="14" l="1"/>
  <c r="B47" i="14" s="1"/>
  <c r="B41" i="14"/>
  <c r="B37" i="14"/>
  <c r="B38" i="14" s="1"/>
  <c r="B33" i="14"/>
  <c r="B34" i="14" s="1"/>
  <c r="B31" i="14"/>
  <c r="B27" i="14"/>
  <c r="B28" i="14" s="1"/>
  <c r="B8" i="14"/>
  <c r="B9" i="14" l="1"/>
  <c r="B10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V6" authorId="0" shapeId="0" xr:uid="{038619F5-0B85-4638-9BBE-E5F24D405D9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Docking Survey</t>
        </r>
      </text>
    </comment>
  </commentList>
</comments>
</file>

<file path=xl/sharedStrings.xml><?xml version="1.0" encoding="utf-8"?>
<sst xmlns="http://schemas.openxmlformats.org/spreadsheetml/2006/main" count="245" uniqueCount="113">
  <si>
    <t>NO.</t>
  </si>
  <si>
    <t>NAMA KAPAL</t>
  </si>
  <si>
    <t>JAN</t>
  </si>
  <si>
    <t>FEB</t>
  </si>
  <si>
    <t>MAR</t>
  </si>
  <si>
    <t>APR</t>
  </si>
  <si>
    <t>MEI</t>
  </si>
  <si>
    <t>JUN</t>
  </si>
  <si>
    <t>JUL</t>
  </si>
  <si>
    <t>OKT</t>
  </si>
  <si>
    <t>DES</t>
  </si>
  <si>
    <t>CABANG</t>
  </si>
  <si>
    <t>JENIS LINTASAN</t>
  </si>
  <si>
    <t>BULAN DOCKING</t>
  </si>
  <si>
    <t>AGS</t>
  </si>
  <si>
    <t>SEP</t>
  </si>
  <si>
    <t>NOV</t>
  </si>
  <si>
    <t>BANDA ACEH</t>
  </si>
  <si>
    <t>KMP. BRR</t>
  </si>
  <si>
    <t>KOMERSIL (KSO)</t>
  </si>
  <si>
    <t>X</t>
  </si>
  <si>
    <t>KMP. TANJUNG BURANG</t>
  </si>
  <si>
    <t>KOMERSIL</t>
  </si>
  <si>
    <t>KMP. PAPUYU</t>
  </si>
  <si>
    <t>PERINTIS</t>
  </si>
  <si>
    <t>BATAM</t>
  </si>
  <si>
    <t>KMP. PARAY</t>
  </si>
  <si>
    <t>KMP. BARAU</t>
  </si>
  <si>
    <t>KMP. GUNUNG MURIA</t>
  </si>
  <si>
    <t>KMP. KAKAP</t>
  </si>
  <si>
    <t>KMP. KUNDUR</t>
  </si>
  <si>
    <t>KMP. SENANGIN</t>
  </si>
  <si>
    <t>KMP. LOME</t>
  </si>
  <si>
    <t>KMP. SEMBILANG</t>
  </si>
  <si>
    <t>KMP. TANDEMAND</t>
  </si>
  <si>
    <t>PADANG</t>
  </si>
  <si>
    <t>KMP. GAMBOLO</t>
  </si>
  <si>
    <t>KMP. AMBU AMBU</t>
  </si>
  <si>
    <t>KMP. PULO TELLO</t>
  </si>
  <si>
    <t>SIBOLGA</t>
  </si>
  <si>
    <t>KMP. BELANAK</t>
  </si>
  <si>
    <t>KMP. SIMEULEU</t>
  </si>
  <si>
    <t>SINGKIL</t>
  </si>
  <si>
    <t>KMP. LABUHAN HAJI</t>
  </si>
  <si>
    <t>KMP. TELUK SINABANG</t>
  </si>
  <si>
    <t>KMP. TELUK SINGKIL</t>
  </si>
  <si>
    <t>Keterangan :</t>
  </si>
  <si>
    <t xml:space="preserve">Jumlah Kapal </t>
  </si>
  <si>
    <t>KMP. IHAN BATAK</t>
  </si>
  <si>
    <t>DOCKING SURVEY - BKI</t>
  </si>
  <si>
    <t>SKKP</t>
  </si>
  <si>
    <t xml:space="preserve">Masa Berlaku Sertifikat </t>
  </si>
  <si>
    <t>Visa (apabila ada)</t>
  </si>
  <si>
    <t>Catatan Docking Sebelumnya</t>
  </si>
  <si>
    <t>KLASS</t>
  </si>
  <si>
    <t>ME</t>
  </si>
  <si>
    <t>Nihil</t>
  </si>
  <si>
    <t>AE 1</t>
  </si>
  <si>
    <t>AE 2</t>
  </si>
  <si>
    <t>AS IV</t>
  </si>
  <si>
    <t>SS</t>
  </si>
  <si>
    <t>KMP. GORANGO</t>
  </si>
  <si>
    <t>TERNATE</t>
  </si>
  <si>
    <t>KMP. PULAU SAGORI</t>
  </si>
  <si>
    <t>KMP. ARIWANGAN</t>
  </si>
  <si>
    <t>KMP. TUNA</t>
  </si>
  <si>
    <t>KMP. BARONANG</t>
  </si>
  <si>
    <t>KMP. LOMPA</t>
  </si>
  <si>
    <t>KMP. NGAFI</t>
  </si>
  <si>
    <t>KMP. KOLORAI</t>
  </si>
  <si>
    <t>KMP. MAMING</t>
  </si>
  <si>
    <t>KMP. PORTLINK VIII</t>
  </si>
  <si>
    <t>KMP. BOBARA</t>
  </si>
  <si>
    <t>KMP. KERAPU II</t>
  </si>
  <si>
    <t>PERINTIS DAN KOMERSIL</t>
  </si>
  <si>
    <t>ADA (Lampiran Sheet Visa)</t>
  </si>
  <si>
    <t>STATUS SURVEY 2025</t>
  </si>
  <si>
    <t>30 Desember 2024</t>
  </si>
  <si>
    <t>Perawatan Jam Kerja Mesin s/d Bulan Docking 2025</t>
  </si>
  <si>
    <t>23 Mei 2026</t>
  </si>
  <si>
    <t>22 Juni 2026</t>
  </si>
  <si>
    <t>25 Juni 2027</t>
  </si>
  <si>
    <t>13 Juni 2026</t>
  </si>
  <si>
    <t>22 Desember 2026</t>
  </si>
  <si>
    <t>04 Novmber 2026</t>
  </si>
  <si>
    <t>Armada</t>
  </si>
  <si>
    <t>12 Oktober 2024</t>
  </si>
  <si>
    <t>12 Oktober 2025</t>
  </si>
  <si>
    <t>11 Oktober 2025</t>
  </si>
  <si>
    <t>25 Oktober 2024</t>
  </si>
  <si>
    <t>30 Nop 2024</t>
  </si>
  <si>
    <t>KMP. LEMA</t>
  </si>
  <si>
    <t>LEBARAN   19-20 MARET 2026</t>
  </si>
  <si>
    <t>RENCANA JADWAL DOCKING KAPAL PT. ASDP INDONESIA FERRY (PERSERO) CABANG TERNATE TAHUN 2026</t>
  </si>
  <si>
    <t>24 Februari 2026</t>
  </si>
  <si>
    <t>24/02/2026</t>
  </si>
  <si>
    <t>AS-I</t>
  </si>
  <si>
    <t>24 Fabruari 2030</t>
  </si>
  <si>
    <t>24 Juni 2026</t>
  </si>
  <si>
    <t>13 Agustus 2026</t>
  </si>
  <si>
    <t>15 Agustus 2026</t>
  </si>
  <si>
    <t>19 Juli 2026</t>
  </si>
  <si>
    <t>AS I</t>
  </si>
  <si>
    <t>14 Juli 2030</t>
  </si>
  <si>
    <t>01 Oktober 2026</t>
  </si>
  <si>
    <t>06 Februari 2026</t>
  </si>
  <si>
    <t>Maret 2025</t>
  </si>
  <si>
    <t>24/02/2025</t>
  </si>
  <si>
    <t>23 Mei 2025</t>
  </si>
  <si>
    <t>22 Juni 2025</t>
  </si>
  <si>
    <t>13 Agustus 2025</t>
  </si>
  <si>
    <t>TURUN DOCK TERAKHIR 2025</t>
  </si>
  <si>
    <t>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</si>
</sst>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&quot;Rp&quot;#,##0.00;[Red]\-&quot;Rp&quot;#,##0.00"/>
    <numFmt numFmtId="165" formatCode="_(&quot;Rp&quot;* #,##0_);_(&quot;Rp&quot;* \(#,##0\);_(&quot;Rp&quot;* &quot;-&quot;_);_(@_)"/>
    <numFmt numFmtId="166" formatCode="_(&quot;Rp&quot;* #,##0.00_);_(&quot;Rp&quot;* \(#,##0.00\);_(&quot;Rp&quot;* &quot;-&quot;??_);_(@_)"/>
    <numFmt numFmtId="167" formatCode="0.000%"/>
    <numFmt numFmtId="168" formatCode="_(* #,##0_);[Red]_(* \(#,##0\);_(* &quot;&quot;&quot;&quot;&quot;&quot;&quot;&quot;\ \-\ &quot;&quot;&quot;&quot;&quot;&quot;&quot;&quot;_);_(@_)"/>
    <numFmt numFmtId="169" formatCode="_(* #,##0,_);[Red]_(* \(#,##0,\);_(* &quot;&quot;&quot;&quot;&quot;&quot;&quot;&quot;\ \-\ &quot;&quot;&quot;&quot;&quot;&quot;&quot;&quot;_);_(@_)"/>
    <numFmt numFmtId="170" formatCode="0%;\(0%\);;"/>
    <numFmt numFmtId="171" formatCode="0%;\(0%\);&quot;-&quot;"/>
    <numFmt numFmtId="172" formatCode="#,##0_);[Red]\(#,##0\);&quot;-&quot;"/>
    <numFmt numFmtId="173" formatCode="_-* #,##0\ _D_M_-;\-* #,##0\ _D_M_-;_-* &quot;-&quot;\ _D_M_-;_-@_-"/>
    <numFmt numFmtId="174" formatCode="mmm\-yyyy"/>
    <numFmt numFmtId="175" formatCode="_(* #,##0.0_);_(* \(#,##0.0\);_(* &quot;-&quot;??_);_(@_)"/>
    <numFmt numFmtId="176" formatCode="&quot;Yes&quot;;&quot;Yes&quot;;&quot;No&quot;"/>
    <numFmt numFmtId="177" formatCode="_-* #,##0\ &quot;DM&quot;_-;\-* #,##0\ &quot;DM&quot;_-;_-* &quot;-&quot;\ &quot;DM&quot;_-;_-@_-"/>
    <numFmt numFmtId="178" formatCode="###0.00"/>
    <numFmt numFmtId="179" formatCode="0%;\(0%\)"/>
    <numFmt numFmtId="180" formatCode="0.00_)"/>
    <numFmt numFmtId="181" formatCode="*-"/>
    <numFmt numFmtId="182" formatCode="*\&quot;-&quot;"/>
    <numFmt numFmtId="183" formatCode="_-* #,##0.00\ _D_M_-;\-* #,##0.00\ _D_M_-;_-* &quot;-&quot;??\ _D_M_-;_-@_-"/>
    <numFmt numFmtId="184" formatCode="&quot;$&quot;#,##0.00;[Red]\-&quot;$&quot;#,##0.00"/>
    <numFmt numFmtId="185" formatCode="_(* #,##0.0_);_(* \(#,##0.0\);_(* &quot;-&quot;_);_(@_)"/>
    <numFmt numFmtId="186" formatCode="_(* #,##0_);_(* \(#,##0\);_(* &quot;-&quot;??_);_(@_)"/>
  </numFmts>
  <fonts count="5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4"/>
      <name val="Frutiger-Normal"/>
    </font>
    <font>
      <sz val="10"/>
      <name val="Frutiger-Normal"/>
    </font>
    <font>
      <b/>
      <sz val="10"/>
      <name val="Frutiger-Normal"/>
    </font>
    <font>
      <b/>
      <sz val="18"/>
      <color theme="6"/>
      <name val="Frutiger-Normal"/>
    </font>
    <font>
      <b/>
      <sz val="18"/>
      <color indexed="10"/>
      <name val="Frutiger-Normal"/>
    </font>
    <font>
      <sz val="16"/>
      <name val="Frutiger-Normal"/>
    </font>
    <font>
      <b/>
      <sz val="16"/>
      <name val="Calibri"/>
      <family val="2"/>
    </font>
    <font>
      <b/>
      <sz val="16"/>
      <name val="Frutiger-Normal"/>
    </font>
    <font>
      <b/>
      <sz val="12"/>
      <name val="Calibri"/>
      <family val="2"/>
    </font>
    <font>
      <sz val="10"/>
      <color indexed="8"/>
      <name val="Frutiger-Normal"/>
    </font>
    <font>
      <b/>
      <sz val="11"/>
      <name val="Frutiger-Normal"/>
    </font>
    <font>
      <sz val="11"/>
      <name val="Frutiger-Normal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2"/>
      <name val="Helv"/>
    </font>
    <font>
      <sz val="11"/>
      <color indexed="8"/>
      <name val="Calibri"/>
      <family val="2"/>
    </font>
    <font>
      <sz val="12"/>
      <name val="Times New Roman"/>
      <family val="1"/>
    </font>
    <font>
      <sz val="10"/>
      <name val="Arial"/>
      <family val="2"/>
      <charset val="163"/>
    </font>
    <font>
      <sz val="8"/>
      <color indexed="8"/>
      <name val="Arial"/>
      <family val="2"/>
    </font>
    <font>
      <sz val="12"/>
      <color indexed="8"/>
      <name val="Myriad Pro Cond"/>
      <family val="2"/>
    </font>
    <font>
      <sz val="12"/>
      <name val="Tms Rmn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b/>
      <i/>
      <sz val="16"/>
      <name val="Helv"/>
    </font>
    <font>
      <b/>
      <sz val="11"/>
      <color indexed="63"/>
      <name val="Calibri"/>
      <family val="2"/>
      <charset val="1"/>
    </font>
    <font>
      <b/>
      <i/>
      <sz val="8"/>
      <name val="Arial"/>
      <family val="2"/>
    </font>
    <font>
      <b/>
      <sz val="9"/>
      <name val="Arial"/>
      <family val="2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sz val="12"/>
      <name val="Times New Roman"/>
      <family val="1"/>
      <charset val="163"/>
    </font>
    <font>
      <sz val="10"/>
      <name val="Times New Roman"/>
      <family val="1"/>
    </font>
    <font>
      <u/>
      <sz val="10"/>
      <color indexed="12"/>
      <name val="Arial"/>
      <family val="2"/>
    </font>
    <font>
      <sz val="12"/>
      <name val="SWISS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Frutiger-Normal"/>
    </font>
    <font>
      <b/>
      <sz val="10"/>
      <name val="Arial"/>
      <family val="2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77">
    <xf numFmtId="0" fontId="0" fillId="0" borderId="0"/>
    <xf numFmtId="0" fontId="6" fillId="0" borderId="0"/>
    <xf numFmtId="0" fontId="6" fillId="0" borderId="0"/>
    <xf numFmtId="41" fontId="4" fillId="0" borderId="0" applyFont="0" applyFill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7" borderId="0" applyNumberFormat="0" applyBorder="0" applyAlignment="0" applyProtection="0"/>
    <xf numFmtId="0" fontId="21" fillId="11" borderId="0" applyNumberFormat="0" applyBorder="0" applyAlignment="0" applyProtection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69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0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71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0" fontId="22" fillId="28" borderId="10" applyNumberFormat="0" applyAlignment="0" applyProtection="0"/>
    <xf numFmtId="0" fontId="23" fillId="29" borderId="11" applyNumberForma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6" fillId="0" borderId="0" applyFont="0" applyFill="0" applyBorder="0" applyAlignment="0" applyProtection="0"/>
    <xf numFmtId="17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8" fillId="0" borderId="0" applyFont="0" applyFill="0" applyBorder="0" applyAlignment="0" applyProtection="0"/>
    <xf numFmtId="17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73" fontId="4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1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30" fillId="0" borderId="6"/>
    <xf numFmtId="17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4" fontId="6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0" fontId="31" fillId="0" borderId="0" applyNumberFormat="0" applyFill="0" applyBorder="0" applyAlignment="0" applyProtection="0"/>
    <xf numFmtId="0" fontId="32" fillId="12" borderId="0" applyNumberFormat="0" applyBorder="0" applyAlignment="0" applyProtection="0"/>
    <xf numFmtId="38" fontId="33" fillId="30" borderId="0" applyNumberFormat="0" applyBorder="0" applyAlignment="0" applyProtection="0"/>
    <xf numFmtId="0" fontId="34" fillId="0" borderId="12" applyNumberFormat="0" applyAlignment="0" applyProtection="0">
      <alignment horizontal="left" vertical="center"/>
    </xf>
    <xf numFmtId="0" fontId="34" fillId="0" borderId="4">
      <alignment horizontal="left" vertical="center"/>
    </xf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10" fontId="33" fillId="31" borderId="6" applyNumberFormat="0" applyBorder="0" applyAlignment="0" applyProtection="0"/>
    <xf numFmtId="0" fontId="38" fillId="15" borderId="10" applyNumberFormat="0" applyAlignment="0" applyProtection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0" fontId="39" fillId="0" borderId="16" applyNumberFormat="0" applyFill="0" applyAlignment="0" applyProtection="0"/>
    <xf numFmtId="0" fontId="40" fillId="32" borderId="0" applyNumberFormat="0" applyBorder="0" applyAlignment="0" applyProtection="0"/>
    <xf numFmtId="178" fontId="30" fillId="0" borderId="0"/>
    <xf numFmtId="179" fontId="4" fillId="0" borderId="0"/>
    <xf numFmtId="180" fontId="4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25" fillId="0" borderId="0"/>
    <xf numFmtId="0" fontId="27" fillId="0" borderId="0"/>
    <xf numFmtId="0" fontId="4" fillId="0" borderId="0"/>
    <xf numFmtId="0" fontId="26" fillId="0" borderId="0"/>
    <xf numFmtId="0" fontId="4" fillId="0" borderId="0"/>
    <xf numFmtId="0" fontId="6" fillId="0" borderId="0"/>
    <xf numFmtId="0" fontId="6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25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4" fillId="0" borderId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" fillId="33" borderId="17" applyNumberFormat="0" applyFont="0" applyAlignment="0" applyProtection="0"/>
    <xf numFmtId="0" fontId="42" fillId="28" borderId="18" applyNumberFormat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67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72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168" fontId="4" fillId="0" borderId="0" applyFill="0" applyBorder="0" applyAlignment="0"/>
    <xf numFmtId="0" fontId="43" fillId="0" borderId="19"/>
    <xf numFmtId="0" fontId="44" fillId="0" borderId="20"/>
    <xf numFmtId="0" fontId="44" fillId="0" borderId="20"/>
    <xf numFmtId="0" fontId="44" fillId="0" borderId="20"/>
    <xf numFmtId="49" fontId="6" fillId="0" borderId="0" applyFill="0" applyBorder="0" applyAlignment="0"/>
    <xf numFmtId="181" fontId="4" fillId="0" borderId="0" applyFill="0" applyBorder="0" applyAlignment="0"/>
    <xf numFmtId="181" fontId="4" fillId="0" borderId="0" applyFill="0" applyBorder="0" applyAlignment="0"/>
    <xf numFmtId="181" fontId="4" fillId="0" borderId="0" applyFill="0" applyBorder="0" applyAlignment="0"/>
    <xf numFmtId="182" fontId="4" fillId="0" borderId="0" applyFill="0" applyBorder="0" applyAlignment="0"/>
    <xf numFmtId="182" fontId="4" fillId="0" borderId="0" applyFill="0" applyBorder="0" applyAlignment="0"/>
    <xf numFmtId="182" fontId="4" fillId="0" borderId="0" applyFill="0" applyBorder="0" applyAlignment="0"/>
    <xf numFmtId="0" fontId="45" fillId="0" borderId="0" applyNumberFormat="0" applyFill="0" applyBorder="0" applyAlignment="0" applyProtection="0"/>
    <xf numFmtId="0" fontId="46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184" fontId="30" fillId="0" borderId="6"/>
    <xf numFmtId="0" fontId="4" fillId="0" borderId="0"/>
    <xf numFmtId="41" fontId="4" fillId="0" borderId="0" applyFont="0" applyFill="0" applyBorder="0" applyAlignment="0" applyProtection="0"/>
    <xf numFmtId="41" fontId="48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42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51" fillId="36" borderId="0"/>
    <xf numFmtId="0" fontId="25" fillId="0" borderId="0"/>
    <xf numFmtId="0" fontId="4" fillId="0" borderId="0"/>
    <xf numFmtId="0" fontId="4" fillId="0" borderId="0"/>
    <xf numFmtId="0" fontId="27" fillId="0" borderId="0"/>
    <xf numFmtId="0" fontId="26" fillId="0" borderId="0"/>
    <xf numFmtId="0" fontId="4" fillId="0" borderId="0"/>
    <xf numFmtId="0" fontId="4" fillId="0" borderId="0"/>
    <xf numFmtId="0" fontId="19" fillId="0" borderId="0"/>
    <xf numFmtId="0" fontId="25" fillId="0" borderId="0"/>
    <xf numFmtId="0" fontId="27" fillId="0" borderId="0"/>
    <xf numFmtId="0" fontId="25" fillId="0" borderId="0"/>
    <xf numFmtId="0" fontId="4" fillId="0" borderId="0"/>
    <xf numFmtId="0" fontId="49" fillId="0" borderId="0"/>
    <xf numFmtId="0" fontId="25" fillId="0" borderId="0"/>
    <xf numFmtId="9" fontId="2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43" fontId="56" fillId="0" borderId="0" applyFont="0" applyFill="0" applyBorder="0" applyAlignment="0" applyProtection="0"/>
  </cellStyleXfs>
  <cellXfs count="110">
    <xf numFmtId="0" fontId="0" fillId="0" borderId="0" xfId="0"/>
    <xf numFmtId="0" fontId="8" fillId="0" borderId="0" xfId="1" applyFont="1"/>
    <xf numFmtId="0" fontId="9" fillId="0" borderId="0" xfId="1" applyFont="1" applyAlignment="1">
      <alignment horizontal="left"/>
    </xf>
    <xf numFmtId="0" fontId="9" fillId="4" borderId="0" xfId="1" applyFont="1" applyFill="1" applyAlignment="1">
      <alignment horizontal="left"/>
    </xf>
    <xf numFmtId="0" fontId="9" fillId="0" borderId="0" xfId="1" applyFont="1" applyAlignment="1">
      <alignment horizontal="center"/>
    </xf>
    <xf numFmtId="0" fontId="11" fillId="4" borderId="7" xfId="1" quotePrefix="1" applyFont="1" applyFill="1" applyBorder="1" applyAlignment="1">
      <alignment horizontal="center"/>
    </xf>
    <xf numFmtId="0" fontId="9" fillId="0" borderId="0" xfId="1" applyFont="1"/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0" fontId="8" fillId="0" borderId="0" xfId="1" applyFont="1" applyAlignment="1">
      <alignment vertical="center"/>
    </xf>
    <xf numFmtId="0" fontId="9" fillId="0" borderId="6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3" borderId="6" xfId="1" applyFont="1" applyFill="1" applyBorder="1" applyAlignment="1">
      <alignment horizontal="left" vertical="center"/>
    </xf>
    <xf numFmtId="0" fontId="8" fillId="2" borderId="6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8" fillId="2" borderId="6" xfId="1" applyFont="1" applyFill="1" applyBorder="1" applyAlignment="1">
      <alignment vertical="center"/>
    </xf>
    <xf numFmtId="0" fontId="8" fillId="2" borderId="6" xfId="1" applyFont="1" applyFill="1" applyBorder="1" applyAlignment="1">
      <alignment horizontal="left" vertical="center"/>
    </xf>
    <xf numFmtId="0" fontId="15" fillId="6" borderId="6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7" borderId="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5" borderId="6" xfId="1" applyFont="1" applyFill="1" applyBorder="1" applyAlignment="1">
      <alignment horizontal="left" vertical="center"/>
    </xf>
    <xf numFmtId="15" fontId="4" fillId="0" borderId="6" xfId="0" applyNumberFormat="1" applyFont="1" applyBorder="1" applyAlignment="1">
      <alignment horizontal="right" vertical="center"/>
    </xf>
    <xf numFmtId="0" fontId="17" fillId="0" borderId="0" xfId="1" applyFont="1" applyAlignment="1">
      <alignment vertical="center"/>
    </xf>
    <xf numFmtId="0" fontId="18" fillId="4" borderId="0" xfId="1" applyFont="1" applyFill="1" applyAlignment="1">
      <alignment vertical="center"/>
    </xf>
    <xf numFmtId="0" fontId="18" fillId="0" borderId="0" xfId="1" applyFont="1" applyAlignment="1">
      <alignment horizontal="center" vertical="center"/>
    </xf>
    <xf numFmtId="0" fontId="18" fillId="0" borderId="0" xfId="1" applyFont="1" applyAlignment="1">
      <alignment vertical="center"/>
    </xf>
    <xf numFmtId="0" fontId="17" fillId="4" borderId="0" xfId="1" applyFont="1" applyFill="1" applyAlignment="1">
      <alignment vertical="center"/>
    </xf>
    <xf numFmtId="0" fontId="15" fillId="9" borderId="6" xfId="1" applyFont="1" applyFill="1" applyBorder="1" applyAlignment="1">
      <alignment horizontal="center" vertical="center"/>
    </xf>
    <xf numFmtId="0" fontId="8" fillId="4" borderId="0" xfId="1" applyFont="1" applyFill="1"/>
    <xf numFmtId="0" fontId="8" fillId="0" borderId="0" xfId="1" applyFont="1" applyAlignment="1">
      <alignment horizontal="center"/>
    </xf>
    <xf numFmtId="0" fontId="16" fillId="0" borderId="0" xfId="1" applyFont="1"/>
    <xf numFmtId="0" fontId="16" fillId="4" borderId="0" xfId="1" applyFont="1" applyFill="1"/>
    <xf numFmtId="0" fontId="16" fillId="0" borderId="0" xfId="1" applyFont="1" applyAlignment="1">
      <alignment horizontal="center"/>
    </xf>
    <xf numFmtId="0" fontId="8" fillId="8" borderId="6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vertical="center"/>
    </xf>
    <xf numFmtId="0" fontId="8" fillId="5" borderId="8" xfId="1" applyFont="1" applyFill="1" applyBorder="1" applyAlignment="1">
      <alignment vertical="center"/>
    </xf>
    <xf numFmtId="0" fontId="10" fillId="34" borderId="7" xfId="1" quotePrefix="1" applyFont="1" applyFill="1" applyBorder="1" applyAlignment="1">
      <alignment horizontal="center"/>
    </xf>
    <xf numFmtId="0" fontId="12" fillId="34" borderId="6" xfId="1" applyFont="1" applyFill="1" applyBorder="1" applyAlignment="1">
      <alignment horizontal="center" vertical="center"/>
    </xf>
    <xf numFmtId="0" fontId="14" fillId="34" borderId="6" xfId="1" applyFont="1" applyFill="1" applyBorder="1" applyAlignment="1">
      <alignment horizontal="center" vertical="center"/>
    </xf>
    <xf numFmtId="0" fontId="13" fillId="34" borderId="6" xfId="1" applyFont="1" applyFill="1" applyBorder="1" applyAlignment="1">
      <alignment horizontal="center" vertical="center"/>
    </xf>
    <xf numFmtId="0" fontId="12" fillId="34" borderId="0" xfId="1" applyFont="1" applyFill="1" applyAlignment="1">
      <alignment horizontal="center" vertical="center"/>
    </xf>
    <xf numFmtId="0" fontId="16" fillId="34" borderId="0" xfId="1" applyFont="1" applyFill="1" applyAlignment="1">
      <alignment horizontal="center"/>
    </xf>
    <xf numFmtId="15" fontId="9" fillId="35" borderId="6" xfId="1" applyNumberFormat="1" applyFont="1" applyFill="1" applyBorder="1" applyAlignment="1">
      <alignment vertical="center"/>
    </xf>
    <xf numFmtId="0" fontId="17" fillId="0" borderId="0" xfId="1" applyFont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35" borderId="6" xfId="1" applyFont="1" applyFill="1" applyBorder="1" applyAlignment="1">
      <alignment horizontal="center" vertical="center"/>
    </xf>
    <xf numFmtId="0" fontId="12" fillId="2" borderId="6" xfId="1" applyFont="1" applyFill="1" applyBorder="1" applyAlignment="1">
      <alignment horizontal="center" vertical="center"/>
    </xf>
    <xf numFmtId="15" fontId="8" fillId="0" borderId="6" xfId="1" applyNumberFormat="1" applyFont="1" applyBorder="1" applyAlignment="1">
      <alignment vertical="center"/>
    </xf>
    <xf numFmtId="15" fontId="8" fillId="0" borderId="6" xfId="1" applyNumberFormat="1" applyFont="1" applyBorder="1" applyAlignment="1">
      <alignment horizontal="center" vertical="center"/>
    </xf>
    <xf numFmtId="0" fontId="8" fillId="5" borderId="6" xfId="1" applyFont="1" applyFill="1" applyBorder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9" fillId="0" borderId="8" xfId="1" applyFont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 wrapText="1"/>
    </xf>
    <xf numFmtId="15" fontId="8" fillId="0" borderId="0" xfId="1" applyNumberFormat="1" applyFont="1" applyAlignment="1">
      <alignment vertical="center"/>
    </xf>
    <xf numFmtId="0" fontId="8" fillId="0" borderId="6" xfId="1" applyFont="1" applyBorder="1" applyAlignment="1">
      <alignment vertical="center"/>
    </xf>
    <xf numFmtId="15" fontId="8" fillId="37" borderId="6" xfId="1" applyNumberFormat="1" applyFont="1" applyFill="1" applyBorder="1" applyAlignment="1">
      <alignment vertical="center"/>
    </xf>
    <xf numFmtId="0" fontId="54" fillId="2" borderId="6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/>
    </xf>
    <xf numFmtId="0" fontId="9" fillId="2" borderId="6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3" fillId="3" borderId="6" xfId="1" applyFont="1" applyFill="1" applyBorder="1" applyAlignment="1">
      <alignment horizontal="center" vertical="center"/>
    </xf>
    <xf numFmtId="15" fontId="8" fillId="3" borderId="6" xfId="0" applyNumberFormat="1" applyFont="1" applyFill="1" applyBorder="1" applyAlignment="1">
      <alignment horizontal="center" vertical="center"/>
    </xf>
    <xf numFmtId="15" fontId="8" fillId="3" borderId="6" xfId="1" applyNumberFormat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12" fillId="5" borderId="6" xfId="1" applyFont="1" applyFill="1" applyBorder="1" applyAlignment="1">
      <alignment horizontal="center" vertical="center"/>
    </xf>
    <xf numFmtId="0" fontId="14" fillId="5" borderId="6" xfId="1" applyFont="1" applyFill="1" applyBorder="1" applyAlignment="1">
      <alignment horizontal="center" vertical="center"/>
    </xf>
    <xf numFmtId="15" fontId="8" fillId="5" borderId="6" xfId="1" applyNumberFormat="1" applyFont="1" applyFill="1" applyBorder="1" applyAlignment="1">
      <alignment horizontal="center" vertical="center"/>
    </xf>
    <xf numFmtId="15" fontId="8" fillId="5" borderId="6" xfId="0" applyNumberFormat="1" applyFont="1" applyFill="1" applyBorder="1" applyAlignment="1">
      <alignment horizontal="center" vertical="center"/>
    </xf>
    <xf numFmtId="15" fontId="8" fillId="3" borderId="6" xfId="1" applyNumberFormat="1" applyFont="1" applyFill="1" applyBorder="1" applyAlignment="1">
      <alignment horizontal="left" vertical="center"/>
    </xf>
    <xf numFmtId="0" fontId="55" fillId="0" borderId="0" xfId="0" applyFont="1"/>
    <xf numFmtId="186" fontId="8" fillId="5" borderId="6" xfId="376" applyNumberFormat="1" applyFont="1" applyFill="1" applyBorder="1" applyAlignment="1">
      <alignment horizontal="center" vertical="center"/>
    </xf>
    <xf numFmtId="186" fontId="8" fillId="3" borderId="6" xfId="376" applyNumberFormat="1" applyFont="1" applyFill="1" applyBorder="1" applyAlignment="1">
      <alignment horizontal="center" vertical="center"/>
    </xf>
    <xf numFmtId="0" fontId="9" fillId="4" borderId="0" xfId="1" applyFont="1" applyFill="1"/>
    <xf numFmtId="15" fontId="8" fillId="5" borderId="6" xfId="1" quotePrefix="1" applyNumberFormat="1" applyFont="1" applyFill="1" applyBorder="1" applyAlignment="1">
      <alignment horizontal="center" vertical="center"/>
    </xf>
    <xf numFmtId="15" fontId="8" fillId="38" borderId="6" xfId="1" applyNumberFormat="1" applyFont="1" applyFill="1" applyBorder="1" applyAlignment="1">
      <alignment horizontal="center" vertical="center"/>
    </xf>
    <xf numFmtId="15" fontId="8" fillId="3" borderId="6" xfId="1" quotePrefix="1" applyNumberFormat="1" applyFont="1" applyFill="1" applyBorder="1" applyAlignment="1">
      <alignment horizontal="center" vertical="center"/>
    </xf>
    <xf numFmtId="0" fontId="8" fillId="39" borderId="6" xfId="1" applyFont="1" applyFill="1" applyBorder="1" applyAlignment="1">
      <alignment horizontal="center" vertical="center"/>
    </xf>
    <xf numFmtId="0" fontId="8" fillId="39" borderId="6" xfId="1" applyFont="1" applyFill="1" applyBorder="1" applyAlignment="1">
      <alignment vertical="center"/>
    </xf>
    <xf numFmtId="0" fontId="8" fillId="39" borderId="6" xfId="1" applyFont="1" applyFill="1" applyBorder="1" applyAlignment="1">
      <alignment horizontal="left" vertical="center"/>
    </xf>
    <xf numFmtId="0" fontId="12" fillId="39" borderId="6" xfId="1" applyFont="1" applyFill="1" applyBorder="1" applyAlignment="1">
      <alignment horizontal="center" vertical="center"/>
    </xf>
    <xf numFmtId="0" fontId="14" fillId="39" borderId="6" xfId="1" applyFont="1" applyFill="1" applyBorder="1" applyAlignment="1">
      <alignment horizontal="center" vertical="center"/>
    </xf>
    <xf numFmtId="15" fontId="8" fillId="39" borderId="6" xfId="1" applyNumberFormat="1" applyFont="1" applyFill="1" applyBorder="1" applyAlignment="1">
      <alignment horizontal="center" vertical="center"/>
    </xf>
    <xf numFmtId="15" fontId="8" fillId="39" borderId="6" xfId="0" applyNumberFormat="1" applyFont="1" applyFill="1" applyBorder="1" applyAlignment="1">
      <alignment horizontal="center" vertical="center"/>
    </xf>
    <xf numFmtId="15" fontId="8" fillId="39" borderId="6" xfId="1" quotePrefix="1" applyNumberFormat="1" applyFont="1" applyFill="1" applyBorder="1" applyAlignment="1">
      <alignment horizontal="center" vertical="center"/>
    </xf>
    <xf numFmtId="186" fontId="8" fillId="39" borderId="6" xfId="376" applyNumberFormat="1" applyFont="1" applyFill="1" applyBorder="1" applyAlignment="1">
      <alignment horizontal="center" vertical="center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</cellXfs>
  <cellStyles count="377">
    <cellStyle name="20% - Accent1 2" xfId="4" xr:uid="{00000000-0005-0000-0000-000000000000}"/>
    <cellStyle name="20% - Accent1 2 2" xfId="5" xr:uid="{00000000-0005-0000-0000-000001000000}"/>
    <cellStyle name="20% - Accent2 2" xfId="6" xr:uid="{00000000-0005-0000-0000-000002000000}"/>
    <cellStyle name="20% - Accent2 2 2" xfId="7" xr:uid="{00000000-0005-0000-0000-000003000000}"/>
    <cellStyle name="20% - Accent3 2" xfId="8" xr:uid="{00000000-0005-0000-0000-000004000000}"/>
    <cellStyle name="20% - Accent3 2 2" xfId="9" xr:uid="{00000000-0005-0000-0000-000005000000}"/>
    <cellStyle name="20% - Accent4 2" xfId="10" xr:uid="{00000000-0005-0000-0000-000006000000}"/>
    <cellStyle name="20% - Accent4 2 2" xfId="11" xr:uid="{00000000-0005-0000-0000-000007000000}"/>
    <cellStyle name="20% - Accent5 2" xfId="12" xr:uid="{00000000-0005-0000-0000-000008000000}"/>
    <cellStyle name="20% - Accent5 2 2" xfId="13" xr:uid="{00000000-0005-0000-0000-000009000000}"/>
    <cellStyle name="20% - Accent6 2" xfId="14" xr:uid="{00000000-0005-0000-0000-00000A000000}"/>
    <cellStyle name="20% - Accent6 2 2" xfId="15" xr:uid="{00000000-0005-0000-0000-00000B000000}"/>
    <cellStyle name="40% - Accent1 2" xfId="16" xr:uid="{00000000-0005-0000-0000-00000C000000}"/>
    <cellStyle name="40% - Accent1 2 2" xfId="17" xr:uid="{00000000-0005-0000-0000-00000D000000}"/>
    <cellStyle name="40% - Accent2 2" xfId="18" xr:uid="{00000000-0005-0000-0000-00000E000000}"/>
    <cellStyle name="40% - Accent2 2 2" xfId="19" xr:uid="{00000000-0005-0000-0000-00000F000000}"/>
    <cellStyle name="40% - Accent3 2" xfId="20" xr:uid="{00000000-0005-0000-0000-000010000000}"/>
    <cellStyle name="40% - Accent3 2 2" xfId="21" xr:uid="{00000000-0005-0000-0000-000011000000}"/>
    <cellStyle name="40% - Accent4 2" xfId="22" xr:uid="{00000000-0005-0000-0000-000012000000}"/>
    <cellStyle name="40% - Accent4 2 2" xfId="23" xr:uid="{00000000-0005-0000-0000-000013000000}"/>
    <cellStyle name="40% - Accent5 2" xfId="24" xr:uid="{00000000-0005-0000-0000-000014000000}"/>
    <cellStyle name="40% - Accent5 2 2" xfId="25" xr:uid="{00000000-0005-0000-0000-000015000000}"/>
    <cellStyle name="40% - Accent6 2" xfId="26" xr:uid="{00000000-0005-0000-0000-000016000000}"/>
    <cellStyle name="40% - Accent6 2 2" xfId="27" xr:uid="{00000000-0005-0000-0000-000017000000}"/>
    <cellStyle name="60% - Accent1 2" xfId="28" xr:uid="{00000000-0005-0000-0000-000018000000}"/>
    <cellStyle name="60% - Accent2 2" xfId="29" xr:uid="{00000000-0005-0000-0000-000019000000}"/>
    <cellStyle name="60% - Accent3 2" xfId="30" xr:uid="{00000000-0005-0000-0000-00001A000000}"/>
    <cellStyle name="60% - Accent4 2" xfId="31" xr:uid="{00000000-0005-0000-0000-00001B000000}"/>
    <cellStyle name="60% - Accent5 2" xfId="32" xr:uid="{00000000-0005-0000-0000-00001C000000}"/>
    <cellStyle name="60% - Accent6 2" xfId="33" xr:uid="{00000000-0005-0000-0000-00001D000000}"/>
    <cellStyle name="Accent1 2" xfId="34" xr:uid="{00000000-0005-0000-0000-00001E000000}"/>
    <cellStyle name="Accent2 2" xfId="35" xr:uid="{00000000-0005-0000-0000-00001F000000}"/>
    <cellStyle name="Accent3 2" xfId="36" xr:uid="{00000000-0005-0000-0000-000020000000}"/>
    <cellStyle name="Accent4 2" xfId="37" xr:uid="{00000000-0005-0000-0000-000021000000}"/>
    <cellStyle name="Accent5 2" xfId="38" xr:uid="{00000000-0005-0000-0000-000022000000}"/>
    <cellStyle name="Accent6 2" xfId="39" xr:uid="{00000000-0005-0000-0000-000023000000}"/>
    <cellStyle name="Bad 2" xfId="40" xr:uid="{00000000-0005-0000-0000-000024000000}"/>
    <cellStyle name="Calc Currency (0)" xfId="41" xr:uid="{00000000-0005-0000-0000-000025000000}"/>
    <cellStyle name="Calc Currency (0) 2" xfId="42" xr:uid="{00000000-0005-0000-0000-000026000000}"/>
    <cellStyle name="Calc Currency (0)_Cash Flow - asdp 2011 base on FS &amp; Real 5% bunga efektif ok" xfId="43" xr:uid="{00000000-0005-0000-0000-000027000000}"/>
    <cellStyle name="Calc Currency (2)" xfId="44" xr:uid="{00000000-0005-0000-0000-000028000000}"/>
    <cellStyle name="Calc Currency (2) 2" xfId="45" xr:uid="{00000000-0005-0000-0000-000029000000}"/>
    <cellStyle name="Calc Currency (2)_Cash Flow - asdp 2011 base on FS &amp; Real 5% bunga efektif ok" xfId="46" xr:uid="{00000000-0005-0000-0000-00002A000000}"/>
    <cellStyle name="Calc Percent (0)" xfId="47" xr:uid="{00000000-0005-0000-0000-00002B000000}"/>
    <cellStyle name="Calc Percent (0) 2" xfId="48" xr:uid="{00000000-0005-0000-0000-00002C000000}"/>
    <cellStyle name="Calc Percent (0)_Cash Flow - asdp 2011 base on FS &amp; Real 5% bunga efektif ok" xfId="49" xr:uid="{00000000-0005-0000-0000-00002D000000}"/>
    <cellStyle name="Calc Percent (1)" xfId="50" xr:uid="{00000000-0005-0000-0000-00002E000000}"/>
    <cellStyle name="Calc Percent (1) 2" xfId="51" xr:uid="{00000000-0005-0000-0000-00002F000000}"/>
    <cellStyle name="Calc Percent (1)_Cash Flow - asdp 2011 base on FS &amp; Real 5% bunga efektif ok" xfId="52" xr:uid="{00000000-0005-0000-0000-000030000000}"/>
    <cellStyle name="Calc Percent (2)" xfId="53" xr:uid="{00000000-0005-0000-0000-000031000000}"/>
    <cellStyle name="Calc Percent (2) 2" xfId="54" xr:uid="{00000000-0005-0000-0000-000032000000}"/>
    <cellStyle name="Calc Percent (2)_Cash Flow - asdp 2011 base on FS &amp; Real 5% bunga efektif ok" xfId="55" xr:uid="{00000000-0005-0000-0000-000033000000}"/>
    <cellStyle name="Calc Units (0)" xfId="56" xr:uid="{00000000-0005-0000-0000-000034000000}"/>
    <cellStyle name="Calc Units (0) 2" xfId="57" xr:uid="{00000000-0005-0000-0000-000035000000}"/>
    <cellStyle name="Calc Units (0)_Cash Flow - asdp 2011 base on FS &amp; Real 5% bunga efektif ok" xfId="58" xr:uid="{00000000-0005-0000-0000-000036000000}"/>
    <cellStyle name="Calc Units (1)" xfId="59" xr:uid="{00000000-0005-0000-0000-000037000000}"/>
    <cellStyle name="Calc Units (1) 2" xfId="60" xr:uid="{00000000-0005-0000-0000-000038000000}"/>
    <cellStyle name="Calc Units (1)_Cash Flow - asdp 2011 base on FS &amp; Real 5% bunga efektif ok" xfId="61" xr:uid="{00000000-0005-0000-0000-000039000000}"/>
    <cellStyle name="Calc Units (2)" xfId="62" xr:uid="{00000000-0005-0000-0000-00003A000000}"/>
    <cellStyle name="Calc Units (2) 2" xfId="63" xr:uid="{00000000-0005-0000-0000-00003B000000}"/>
    <cellStyle name="Calc Units (2)_Cash Flow - asdp 2011 base on FS &amp; Real 5% bunga efektif ok" xfId="64" xr:uid="{00000000-0005-0000-0000-00003C000000}"/>
    <cellStyle name="Calculation 2" xfId="65" xr:uid="{00000000-0005-0000-0000-00003D000000}"/>
    <cellStyle name="Check Cell 2" xfId="66" xr:uid="{00000000-0005-0000-0000-00003E000000}"/>
    <cellStyle name="Comma" xfId="376" builtinId="3"/>
    <cellStyle name="Comma  - Style1" xfId="67" xr:uid="{00000000-0005-0000-0000-00003F000000}"/>
    <cellStyle name="Comma  - Style2" xfId="68" xr:uid="{00000000-0005-0000-0000-000040000000}"/>
    <cellStyle name="Comma  - Style3" xfId="69" xr:uid="{00000000-0005-0000-0000-000041000000}"/>
    <cellStyle name="Comma  - Style4" xfId="70" xr:uid="{00000000-0005-0000-0000-000042000000}"/>
    <cellStyle name="Comma  - Style5" xfId="71" xr:uid="{00000000-0005-0000-0000-000043000000}"/>
    <cellStyle name="Comma  - Style6" xfId="72" xr:uid="{00000000-0005-0000-0000-000044000000}"/>
    <cellStyle name="Comma  - Style7" xfId="73" xr:uid="{00000000-0005-0000-0000-000045000000}"/>
    <cellStyle name="Comma  - Style8" xfId="74" xr:uid="{00000000-0005-0000-0000-000046000000}"/>
    <cellStyle name="Comma [0] 10" xfId="75" xr:uid="{00000000-0005-0000-0000-000047000000}"/>
    <cellStyle name="Comma [0] 10 2" xfId="310" xr:uid="{00000000-0005-0000-0000-000048000000}"/>
    <cellStyle name="Comma [0] 10 3" xfId="309" xr:uid="{00000000-0005-0000-0000-000049000000}"/>
    <cellStyle name="Comma [0] 11" xfId="76" xr:uid="{00000000-0005-0000-0000-00004A000000}"/>
    <cellStyle name="Comma [0] 11 2" xfId="311" xr:uid="{00000000-0005-0000-0000-00004B000000}"/>
    <cellStyle name="Comma [0] 12" xfId="77" xr:uid="{00000000-0005-0000-0000-00004C000000}"/>
    <cellStyle name="Comma [0] 13" xfId="78" xr:uid="{00000000-0005-0000-0000-00004D000000}"/>
    <cellStyle name="Comma [0] 14" xfId="79" xr:uid="{00000000-0005-0000-0000-00004E000000}"/>
    <cellStyle name="Comma [0] 15" xfId="80" xr:uid="{00000000-0005-0000-0000-00004F000000}"/>
    <cellStyle name="Comma [0] 15 2" xfId="81" xr:uid="{00000000-0005-0000-0000-000050000000}"/>
    <cellStyle name="Comma [0] 2" xfId="82" xr:uid="{00000000-0005-0000-0000-000051000000}"/>
    <cellStyle name="Comma [0] 2 2" xfId="83" xr:uid="{00000000-0005-0000-0000-000052000000}"/>
    <cellStyle name="Comma [0] 2 2 2" xfId="84" xr:uid="{00000000-0005-0000-0000-000053000000}"/>
    <cellStyle name="Comma [0] 2 2 2 2" xfId="85" xr:uid="{00000000-0005-0000-0000-000054000000}"/>
    <cellStyle name="Comma [0] 2 2 3" xfId="86" xr:uid="{00000000-0005-0000-0000-000055000000}"/>
    <cellStyle name="Comma [0] 2 2 3 2" xfId="312" xr:uid="{00000000-0005-0000-0000-000056000000}"/>
    <cellStyle name="Comma [0] 2 2 4" xfId="87" xr:uid="{00000000-0005-0000-0000-000057000000}"/>
    <cellStyle name="Comma [0] 2 3" xfId="88" xr:uid="{00000000-0005-0000-0000-000058000000}"/>
    <cellStyle name="Comma [0] 2 3 2" xfId="313" xr:uid="{00000000-0005-0000-0000-000059000000}"/>
    <cellStyle name="Comma [0] 2 4" xfId="89" xr:uid="{00000000-0005-0000-0000-00005A000000}"/>
    <cellStyle name="Comma [0] 2 5" xfId="90" xr:uid="{00000000-0005-0000-0000-00005B000000}"/>
    <cellStyle name="Comma [0] 2 6" xfId="91" xr:uid="{00000000-0005-0000-0000-00005C000000}"/>
    <cellStyle name="Comma [0] 2_INVESTASI ALAT KESELAMATAN 2011" xfId="92" xr:uid="{00000000-0005-0000-0000-00005D000000}"/>
    <cellStyle name="Comma [0] 3" xfId="3" xr:uid="{00000000-0005-0000-0000-00005E000000}"/>
    <cellStyle name="Comma [0] 3 2" xfId="93" xr:uid="{00000000-0005-0000-0000-00005F000000}"/>
    <cellStyle name="Comma [0] 3 2 2" xfId="94" xr:uid="{00000000-0005-0000-0000-000060000000}"/>
    <cellStyle name="Comma [0] 3 2 2 2" xfId="314" xr:uid="{00000000-0005-0000-0000-000061000000}"/>
    <cellStyle name="Comma [0] 3 3" xfId="95" xr:uid="{00000000-0005-0000-0000-000062000000}"/>
    <cellStyle name="Comma [0] 3_120110_MAIL PUSAT-RL &amp; Penunjang Dock KMP. LEMURU Tahun 2012" xfId="96" xr:uid="{00000000-0005-0000-0000-000063000000}"/>
    <cellStyle name="Comma [0] 4" xfId="97" xr:uid="{00000000-0005-0000-0000-000064000000}"/>
    <cellStyle name="Comma [0] 4 2" xfId="98" xr:uid="{00000000-0005-0000-0000-000065000000}"/>
    <cellStyle name="Comma [0] 4 2 2" xfId="99" xr:uid="{00000000-0005-0000-0000-000066000000}"/>
    <cellStyle name="Comma [0] 4 3" xfId="100" xr:uid="{00000000-0005-0000-0000-000067000000}"/>
    <cellStyle name="Comma [0] 4 3 2" xfId="101" xr:uid="{00000000-0005-0000-0000-000068000000}"/>
    <cellStyle name="Comma [0] 4 3 2 2" xfId="102" xr:uid="{00000000-0005-0000-0000-000069000000}"/>
    <cellStyle name="Comma [0] 4 3 3" xfId="316" xr:uid="{00000000-0005-0000-0000-00006A000000}"/>
    <cellStyle name="Comma [0] 4 4" xfId="315" xr:uid="{00000000-0005-0000-0000-00006B000000}"/>
    <cellStyle name="Comma [0] 4_012 Real Docking Januari - DESEMBER 2012 Oka0401 RKA-KEU" xfId="103" xr:uid="{00000000-0005-0000-0000-00006C000000}"/>
    <cellStyle name="Comma [0] 5" xfId="104" xr:uid="{00000000-0005-0000-0000-00006D000000}"/>
    <cellStyle name="Comma [0] 5 2" xfId="105" xr:uid="{00000000-0005-0000-0000-00006E000000}"/>
    <cellStyle name="Comma [0] 5 2 2" xfId="318" xr:uid="{00000000-0005-0000-0000-00006F000000}"/>
    <cellStyle name="Comma [0] 5 3" xfId="317" xr:uid="{00000000-0005-0000-0000-000070000000}"/>
    <cellStyle name="Comma [0] 6" xfId="106" xr:uid="{00000000-0005-0000-0000-000071000000}"/>
    <cellStyle name="Comma [0] 6 2" xfId="107" xr:uid="{00000000-0005-0000-0000-000072000000}"/>
    <cellStyle name="Comma [0] 6 2 2" xfId="319" xr:uid="{00000000-0005-0000-0000-000073000000}"/>
    <cellStyle name="Comma [0] 7" xfId="108" xr:uid="{00000000-0005-0000-0000-000074000000}"/>
    <cellStyle name="Comma [0] 7 2" xfId="109" xr:uid="{00000000-0005-0000-0000-000075000000}"/>
    <cellStyle name="Comma [0] 7 3" xfId="110" xr:uid="{00000000-0005-0000-0000-000076000000}"/>
    <cellStyle name="Comma [0] 8" xfId="111" xr:uid="{00000000-0005-0000-0000-000077000000}"/>
    <cellStyle name="Comma [0] 8 2" xfId="320" xr:uid="{00000000-0005-0000-0000-000078000000}"/>
    <cellStyle name="Comma [0] 9" xfId="112" xr:uid="{00000000-0005-0000-0000-000079000000}"/>
    <cellStyle name="Comma [0] 9 2" xfId="321" xr:uid="{00000000-0005-0000-0000-00007A000000}"/>
    <cellStyle name="Comma [00]" xfId="113" xr:uid="{00000000-0005-0000-0000-00007B000000}"/>
    <cellStyle name="Comma [00] 2" xfId="114" xr:uid="{00000000-0005-0000-0000-00007C000000}"/>
    <cellStyle name="Comma 10" xfId="115" xr:uid="{00000000-0005-0000-0000-00007D000000}"/>
    <cellStyle name="Comma 10 2" xfId="116" xr:uid="{00000000-0005-0000-0000-00007E000000}"/>
    <cellStyle name="Comma 10 2 2" xfId="323" xr:uid="{00000000-0005-0000-0000-00007F000000}"/>
    <cellStyle name="Comma 10 3" xfId="322" xr:uid="{00000000-0005-0000-0000-000080000000}"/>
    <cellStyle name="Comma 11" xfId="117" xr:uid="{00000000-0005-0000-0000-000081000000}"/>
    <cellStyle name="Comma 12" xfId="118" xr:uid="{00000000-0005-0000-0000-000082000000}"/>
    <cellStyle name="Comma 2" xfId="119" xr:uid="{00000000-0005-0000-0000-000083000000}"/>
    <cellStyle name="Comma 2 2" xfId="120" xr:uid="{00000000-0005-0000-0000-000084000000}"/>
    <cellStyle name="Comma 2 2 2" xfId="121" xr:uid="{00000000-0005-0000-0000-000085000000}"/>
    <cellStyle name="Comma 2 2 3" xfId="122" xr:uid="{00000000-0005-0000-0000-000086000000}"/>
    <cellStyle name="Comma 2 3" xfId="123" xr:uid="{00000000-0005-0000-0000-000087000000}"/>
    <cellStyle name="Comma 2 4" xfId="124" xr:uid="{00000000-0005-0000-0000-000088000000}"/>
    <cellStyle name="Comma 2 5" xfId="125" xr:uid="{00000000-0005-0000-0000-000089000000}"/>
    <cellStyle name="Comma 2 5 2" xfId="324" xr:uid="{00000000-0005-0000-0000-00008A000000}"/>
    <cellStyle name="Comma 2_3. Docking Approval of KMP. Pulau Sagori at PT. IKI (Persero) Bitung" xfId="325" xr:uid="{00000000-0005-0000-0000-00008B000000}"/>
    <cellStyle name="Comma 3" xfId="126" xr:uid="{00000000-0005-0000-0000-00008C000000}"/>
    <cellStyle name="Comma 3 2" xfId="127" xr:uid="{00000000-0005-0000-0000-00008D000000}"/>
    <cellStyle name="Comma 3 2 2" xfId="128" xr:uid="{00000000-0005-0000-0000-00008E000000}"/>
    <cellStyle name="Comma 3 2 3" xfId="129" xr:uid="{00000000-0005-0000-0000-00008F000000}"/>
    <cellStyle name="Comma 3 2 3 2" xfId="130" xr:uid="{00000000-0005-0000-0000-000090000000}"/>
    <cellStyle name="Comma 3 2 3 3" xfId="326" xr:uid="{00000000-0005-0000-0000-000091000000}"/>
    <cellStyle name="Comma 3 2 4" xfId="131" xr:uid="{00000000-0005-0000-0000-000092000000}"/>
    <cellStyle name="Comma 3 3" xfId="132" xr:uid="{00000000-0005-0000-0000-000093000000}"/>
    <cellStyle name="Comma 3 4" xfId="133" xr:uid="{00000000-0005-0000-0000-000094000000}"/>
    <cellStyle name="Comma 3 4 2" xfId="327" xr:uid="{00000000-0005-0000-0000-000095000000}"/>
    <cellStyle name="Comma 4" xfId="134" xr:uid="{00000000-0005-0000-0000-000096000000}"/>
    <cellStyle name="Comma 4 2" xfId="328" xr:uid="{00000000-0005-0000-0000-000097000000}"/>
    <cellStyle name="Comma 5" xfId="135" xr:uid="{00000000-0005-0000-0000-000098000000}"/>
    <cellStyle name="Comma 5 2" xfId="136" xr:uid="{00000000-0005-0000-0000-000099000000}"/>
    <cellStyle name="Comma 5 2 2" xfId="137" xr:uid="{00000000-0005-0000-0000-00009A000000}"/>
    <cellStyle name="Comma 5 3" xfId="138" xr:uid="{00000000-0005-0000-0000-00009B000000}"/>
    <cellStyle name="Comma 5 3 2" xfId="330" xr:uid="{00000000-0005-0000-0000-00009C000000}"/>
    <cellStyle name="Comma 5 4" xfId="329" xr:uid="{00000000-0005-0000-0000-00009D000000}"/>
    <cellStyle name="Comma 6" xfId="139" xr:uid="{00000000-0005-0000-0000-00009E000000}"/>
    <cellStyle name="Comma 6 2" xfId="140" xr:uid="{00000000-0005-0000-0000-00009F000000}"/>
    <cellStyle name="Comma 6 2 2" xfId="141" xr:uid="{00000000-0005-0000-0000-0000A0000000}"/>
    <cellStyle name="Comma 6 3" xfId="331" xr:uid="{00000000-0005-0000-0000-0000A1000000}"/>
    <cellStyle name="Comma 7" xfId="142" xr:uid="{00000000-0005-0000-0000-0000A2000000}"/>
    <cellStyle name="Comma 7 2" xfId="143" xr:uid="{00000000-0005-0000-0000-0000A3000000}"/>
    <cellStyle name="Comma 7 2 2" xfId="333" xr:uid="{00000000-0005-0000-0000-0000A4000000}"/>
    <cellStyle name="Comma 7 3" xfId="332" xr:uid="{00000000-0005-0000-0000-0000A5000000}"/>
    <cellStyle name="Comma 8" xfId="144" xr:uid="{00000000-0005-0000-0000-0000A6000000}"/>
    <cellStyle name="Comma 8 2" xfId="334" xr:uid="{00000000-0005-0000-0000-0000A7000000}"/>
    <cellStyle name="Comma 9" xfId="145" xr:uid="{00000000-0005-0000-0000-0000A8000000}"/>
    <cellStyle name="Comma 9 2" xfId="335" xr:uid="{00000000-0005-0000-0000-0000A9000000}"/>
    <cellStyle name="Currency (0.00)" xfId="146" xr:uid="{00000000-0005-0000-0000-0000AA000000}"/>
    <cellStyle name="Currency (0.00) 2" xfId="307" xr:uid="{00000000-0005-0000-0000-0000AB000000}"/>
    <cellStyle name="Currency [0] 2" xfId="147" xr:uid="{00000000-0005-0000-0000-0000AC000000}"/>
    <cellStyle name="Currency [0] 2 2" xfId="336" xr:uid="{00000000-0005-0000-0000-0000AD000000}"/>
    <cellStyle name="Currency [0] 3" xfId="148" xr:uid="{00000000-0005-0000-0000-0000AE000000}"/>
    <cellStyle name="Currency [0] 3 2" xfId="337" xr:uid="{00000000-0005-0000-0000-0000AF000000}"/>
    <cellStyle name="Currency [0] 4" xfId="338" xr:uid="{00000000-0005-0000-0000-0000B0000000}"/>
    <cellStyle name="Currency [00]" xfId="149" xr:uid="{00000000-0005-0000-0000-0000B1000000}"/>
    <cellStyle name="Currency [00] 2" xfId="150" xr:uid="{00000000-0005-0000-0000-0000B2000000}"/>
    <cellStyle name="Currency 2" xfId="151" xr:uid="{00000000-0005-0000-0000-0000B3000000}"/>
    <cellStyle name="Currency 2 2" xfId="152" xr:uid="{00000000-0005-0000-0000-0000B4000000}"/>
    <cellStyle name="Date Short" xfId="153" xr:uid="{00000000-0005-0000-0000-0000B5000000}"/>
    <cellStyle name="Enter Currency (0)" xfId="154" xr:uid="{00000000-0005-0000-0000-0000B6000000}"/>
    <cellStyle name="Enter Currency (0) 2" xfId="155" xr:uid="{00000000-0005-0000-0000-0000B7000000}"/>
    <cellStyle name="Enter Currency (0)_Cash Flow - asdp 2011 base on FS &amp; Real 5% bunga efektif ok" xfId="156" xr:uid="{00000000-0005-0000-0000-0000B8000000}"/>
    <cellStyle name="Enter Currency (2)" xfId="157" xr:uid="{00000000-0005-0000-0000-0000B9000000}"/>
    <cellStyle name="Enter Currency (2) 2" xfId="158" xr:uid="{00000000-0005-0000-0000-0000BA000000}"/>
    <cellStyle name="Enter Currency (2)_Cash Flow - asdp 2011 base on FS &amp; Real 5% bunga efektif ok" xfId="159" xr:uid="{00000000-0005-0000-0000-0000BB000000}"/>
    <cellStyle name="Enter Units (0)" xfId="160" xr:uid="{00000000-0005-0000-0000-0000BC000000}"/>
    <cellStyle name="Enter Units (0) 2" xfId="161" xr:uid="{00000000-0005-0000-0000-0000BD000000}"/>
    <cellStyle name="Enter Units (0)_Cash Flow - asdp 2011 base on FS &amp; Real 5% bunga efektif ok" xfId="162" xr:uid="{00000000-0005-0000-0000-0000BE000000}"/>
    <cellStyle name="Enter Units (1)" xfId="163" xr:uid="{00000000-0005-0000-0000-0000BF000000}"/>
    <cellStyle name="Enter Units (1) 2" xfId="164" xr:uid="{00000000-0005-0000-0000-0000C0000000}"/>
    <cellStyle name="Enter Units (1)_Cash Flow - asdp 2011 base on FS &amp; Real 5% bunga efektif ok" xfId="165" xr:uid="{00000000-0005-0000-0000-0000C1000000}"/>
    <cellStyle name="Enter Units (2)" xfId="166" xr:uid="{00000000-0005-0000-0000-0000C2000000}"/>
    <cellStyle name="Enter Units (2) 2" xfId="167" xr:uid="{00000000-0005-0000-0000-0000C3000000}"/>
    <cellStyle name="Enter Units (2)_Cash Flow - asdp 2011 base on FS &amp; Real 5% bunga efektif ok" xfId="168" xr:uid="{00000000-0005-0000-0000-0000C4000000}"/>
    <cellStyle name="Explanatory Text 2" xfId="169" xr:uid="{00000000-0005-0000-0000-0000C5000000}"/>
    <cellStyle name="Good 2" xfId="170" xr:uid="{00000000-0005-0000-0000-0000C6000000}"/>
    <cellStyle name="Grey" xfId="171" xr:uid="{00000000-0005-0000-0000-0000C7000000}"/>
    <cellStyle name="Header1" xfId="172" xr:uid="{00000000-0005-0000-0000-0000C8000000}"/>
    <cellStyle name="Header2" xfId="173" xr:uid="{00000000-0005-0000-0000-0000C9000000}"/>
    <cellStyle name="Heading 1 2" xfId="174" xr:uid="{00000000-0005-0000-0000-0000CA000000}"/>
    <cellStyle name="Heading 2 2" xfId="175" xr:uid="{00000000-0005-0000-0000-0000CB000000}"/>
    <cellStyle name="Heading 3 2" xfId="176" xr:uid="{00000000-0005-0000-0000-0000CC000000}"/>
    <cellStyle name="Heading 4 2" xfId="177" xr:uid="{00000000-0005-0000-0000-0000CD000000}"/>
    <cellStyle name="Hyperlink 2" xfId="339" xr:uid="{00000000-0005-0000-0000-0000CE000000}"/>
    <cellStyle name="Input [yellow]" xfId="178" xr:uid="{00000000-0005-0000-0000-0000CF000000}"/>
    <cellStyle name="Input 2" xfId="179" xr:uid="{00000000-0005-0000-0000-0000D0000000}"/>
    <cellStyle name="Link Currency (0)" xfId="180" xr:uid="{00000000-0005-0000-0000-0000D1000000}"/>
    <cellStyle name="Link Currency (0) 2" xfId="181" xr:uid="{00000000-0005-0000-0000-0000D2000000}"/>
    <cellStyle name="Link Currency (0)_Cash Flow - asdp 2011 base on FS &amp; Real 5% bunga efektif ok" xfId="182" xr:uid="{00000000-0005-0000-0000-0000D3000000}"/>
    <cellStyle name="Link Currency (2)" xfId="183" xr:uid="{00000000-0005-0000-0000-0000D4000000}"/>
    <cellStyle name="Link Currency (2) 2" xfId="184" xr:uid="{00000000-0005-0000-0000-0000D5000000}"/>
    <cellStyle name="Link Currency (2)_Cash Flow - asdp 2011 base on FS &amp; Real 5% bunga efektif ok" xfId="185" xr:uid="{00000000-0005-0000-0000-0000D6000000}"/>
    <cellStyle name="Link Units (0)" xfId="186" xr:uid="{00000000-0005-0000-0000-0000D7000000}"/>
    <cellStyle name="Link Units (0) 2" xfId="187" xr:uid="{00000000-0005-0000-0000-0000D8000000}"/>
    <cellStyle name="Link Units (0)_Cash Flow - asdp 2011 base on FS &amp; Real 5% bunga efektif ok" xfId="188" xr:uid="{00000000-0005-0000-0000-0000D9000000}"/>
    <cellStyle name="Link Units (1)" xfId="189" xr:uid="{00000000-0005-0000-0000-0000DA000000}"/>
    <cellStyle name="Link Units (1) 2" xfId="190" xr:uid="{00000000-0005-0000-0000-0000DB000000}"/>
    <cellStyle name="Link Units (1)_Cash Flow - asdp 2011 base on FS &amp; Real 5% bunga efektif ok" xfId="191" xr:uid="{00000000-0005-0000-0000-0000DC000000}"/>
    <cellStyle name="Link Units (2)" xfId="192" xr:uid="{00000000-0005-0000-0000-0000DD000000}"/>
    <cellStyle name="Link Units (2) 2" xfId="193" xr:uid="{00000000-0005-0000-0000-0000DE000000}"/>
    <cellStyle name="Link Units (2)_Cash Flow - asdp 2011 base on FS &amp; Real 5% bunga efektif ok" xfId="194" xr:uid="{00000000-0005-0000-0000-0000DF000000}"/>
    <cellStyle name="Linked Cell 2" xfId="195" xr:uid="{00000000-0005-0000-0000-0000E0000000}"/>
    <cellStyle name="Neutral 2" xfId="196" xr:uid="{00000000-0005-0000-0000-0000E1000000}"/>
    <cellStyle name="Normal" xfId="0" builtinId="0"/>
    <cellStyle name="Normal - Style1" xfId="197" xr:uid="{00000000-0005-0000-0000-0000E3000000}"/>
    <cellStyle name="Normal - Style1 2" xfId="198" xr:uid="{00000000-0005-0000-0000-0000E4000000}"/>
    <cellStyle name="Normal - Style1 3" xfId="199" xr:uid="{00000000-0005-0000-0000-0000E5000000}"/>
    <cellStyle name="Normal 10" xfId="200" xr:uid="{00000000-0005-0000-0000-0000E6000000}"/>
    <cellStyle name="Normal 10 2" xfId="201" xr:uid="{00000000-0005-0000-0000-0000E7000000}"/>
    <cellStyle name="Normal 10 2 2" xfId="202" xr:uid="{00000000-0005-0000-0000-0000E8000000}"/>
    <cellStyle name="Normal 10 2 2 2" xfId="300" xr:uid="{00000000-0005-0000-0000-0000E9000000}"/>
    <cellStyle name="Normal 10 2 2 3" xfId="369" xr:uid="{00000000-0005-0000-0000-0000EA000000}"/>
    <cellStyle name="Normal 10 2 3" xfId="203" xr:uid="{00000000-0005-0000-0000-0000EB000000}"/>
    <cellStyle name="Normal 10 2 3 2" xfId="301" xr:uid="{00000000-0005-0000-0000-0000EC000000}"/>
    <cellStyle name="Normal 10 2 3 3" xfId="370" xr:uid="{00000000-0005-0000-0000-0000ED000000}"/>
    <cellStyle name="Normal 10 2 4" xfId="204" xr:uid="{00000000-0005-0000-0000-0000EE000000}"/>
    <cellStyle name="Normal 10 2 4 2" xfId="302" xr:uid="{00000000-0005-0000-0000-0000EF000000}"/>
    <cellStyle name="Normal 10 2 4 3" xfId="371" xr:uid="{00000000-0005-0000-0000-0000F0000000}"/>
    <cellStyle name="Normal 10 2 5" xfId="299" xr:uid="{00000000-0005-0000-0000-0000F1000000}"/>
    <cellStyle name="Normal 10 2 6" xfId="368" xr:uid="{00000000-0005-0000-0000-0000F2000000}"/>
    <cellStyle name="Normal 10 2 7" xfId="340" xr:uid="{00000000-0005-0000-0000-0000F3000000}"/>
    <cellStyle name="Normal 10 3" xfId="205" xr:uid="{00000000-0005-0000-0000-0000F4000000}"/>
    <cellStyle name="Normal 10 3 2" xfId="303" xr:uid="{00000000-0005-0000-0000-0000F5000000}"/>
    <cellStyle name="Normal 10 3 3" xfId="372" xr:uid="{00000000-0005-0000-0000-0000F6000000}"/>
    <cellStyle name="Normal 10 4" xfId="206" xr:uid="{00000000-0005-0000-0000-0000F7000000}"/>
    <cellStyle name="Normal 10 4 2" xfId="304" xr:uid="{00000000-0005-0000-0000-0000F8000000}"/>
    <cellStyle name="Normal 10 4 3" xfId="373" xr:uid="{00000000-0005-0000-0000-0000F9000000}"/>
    <cellStyle name="Normal 10 5" xfId="207" xr:uid="{00000000-0005-0000-0000-0000FA000000}"/>
    <cellStyle name="Normal 10 5 2" xfId="305" xr:uid="{00000000-0005-0000-0000-0000FB000000}"/>
    <cellStyle name="Normal 10 5 3" xfId="374" xr:uid="{00000000-0005-0000-0000-0000FC000000}"/>
    <cellStyle name="Normal 10 6" xfId="298" xr:uid="{00000000-0005-0000-0000-0000FD000000}"/>
    <cellStyle name="Normal 10 7" xfId="367" xr:uid="{00000000-0005-0000-0000-0000FE000000}"/>
    <cellStyle name="Normal 11" xfId="208" xr:uid="{00000000-0005-0000-0000-0000FF000000}"/>
    <cellStyle name="Normal 11 2" xfId="341" xr:uid="{00000000-0005-0000-0000-000000010000}"/>
    <cellStyle name="Normal 12" xfId="306" xr:uid="{00000000-0005-0000-0000-000001010000}"/>
    <cellStyle name="Normal 12 2" xfId="342" xr:uid="{00000000-0005-0000-0000-000002010000}"/>
    <cellStyle name="Normal 12 2 2" xfId="343" xr:uid="{00000000-0005-0000-0000-000003010000}"/>
    <cellStyle name="Normal 13" xfId="375" xr:uid="{00000000-0005-0000-0000-000004010000}"/>
    <cellStyle name="Normal 13 2" xfId="344" xr:uid="{00000000-0005-0000-0000-000005010000}"/>
    <cellStyle name="Normal 14" xfId="308" xr:uid="{00000000-0005-0000-0000-000006010000}"/>
    <cellStyle name="Normal 2" xfId="209" xr:uid="{00000000-0005-0000-0000-000007010000}"/>
    <cellStyle name="Normal 2 2" xfId="2" xr:uid="{00000000-0005-0000-0000-000008010000}"/>
    <cellStyle name="Normal 2 2 2" xfId="210" xr:uid="{00000000-0005-0000-0000-000009010000}"/>
    <cellStyle name="Normal 2 2 2 2" xfId="345" xr:uid="{00000000-0005-0000-0000-00000A010000}"/>
    <cellStyle name="Normal 2 2 2 2 2" xfId="346" xr:uid="{00000000-0005-0000-0000-00000B010000}"/>
    <cellStyle name="Normal 2 2 3" xfId="347" xr:uid="{00000000-0005-0000-0000-00000C010000}"/>
    <cellStyle name="Normal 2 2 3 4" xfId="348" xr:uid="{00000000-0005-0000-0000-00000D010000}"/>
    <cellStyle name="Normal 2 2_Lampiran SPK dan Perjanjian Docking Ile mandiri 2011" xfId="211" xr:uid="{00000000-0005-0000-0000-00000E010000}"/>
    <cellStyle name="Normal 2 3" xfId="212" xr:uid="{00000000-0005-0000-0000-00000F010000}"/>
    <cellStyle name="Normal 2 3 2" xfId="213" xr:uid="{00000000-0005-0000-0000-000010010000}"/>
    <cellStyle name="Normal 2 3 2 2" xfId="214" xr:uid="{00000000-0005-0000-0000-000011010000}"/>
    <cellStyle name="Normal 2 3 3 2" xfId="349" xr:uid="{00000000-0005-0000-0000-000012010000}"/>
    <cellStyle name="Normal 2 3 3 2 2" xfId="350" xr:uid="{00000000-0005-0000-0000-000013010000}"/>
    <cellStyle name="Normal 2 3_Copy of RL Tuna 2012" xfId="215" xr:uid="{00000000-0005-0000-0000-000014010000}"/>
    <cellStyle name="Normal 2 4" xfId="216" xr:uid="{00000000-0005-0000-0000-000015010000}"/>
    <cellStyle name="Normal 2 5" xfId="217" xr:uid="{00000000-0005-0000-0000-000016010000}"/>
    <cellStyle name="Normal 2 5 2" xfId="218" xr:uid="{00000000-0005-0000-0000-000017010000}"/>
    <cellStyle name="Normal 2 5 2 2" xfId="219" xr:uid="{00000000-0005-0000-0000-000018010000}"/>
    <cellStyle name="Normal 2 5 3" xfId="220" xr:uid="{00000000-0005-0000-0000-000019010000}"/>
    <cellStyle name="Normal 2 6" xfId="221" xr:uid="{00000000-0005-0000-0000-00001A010000}"/>
    <cellStyle name="Normal 2 6 2" xfId="351" xr:uid="{00000000-0005-0000-0000-00001B010000}"/>
    <cellStyle name="Normal 2 7" xfId="222" xr:uid="{00000000-0005-0000-0000-00001C010000}"/>
    <cellStyle name="Normal 2 7 2" xfId="352" xr:uid="{00000000-0005-0000-0000-00001D010000}"/>
    <cellStyle name="Normal 2 8" xfId="223" xr:uid="{00000000-0005-0000-0000-00001E010000}"/>
    <cellStyle name="Normal 2_00 Rencana  Investasi 2011 #1" xfId="224" xr:uid="{00000000-0005-0000-0000-00001F010000}"/>
    <cellStyle name="Normal 28" xfId="353" xr:uid="{00000000-0005-0000-0000-000020010000}"/>
    <cellStyle name="Normal 3" xfId="225" xr:uid="{00000000-0005-0000-0000-000021010000}"/>
    <cellStyle name="Normal 3 2" xfId="226" xr:uid="{00000000-0005-0000-0000-000022010000}"/>
    <cellStyle name="Normal 3 2 2" xfId="227" xr:uid="{00000000-0005-0000-0000-000023010000}"/>
    <cellStyle name="Normal 3 2 3" xfId="355" xr:uid="{00000000-0005-0000-0000-000024010000}"/>
    <cellStyle name="Normal 3 2_012 Real Docking Januari - DESEMBER 2012 Oka0401 RKA-KEU" xfId="228" xr:uid="{00000000-0005-0000-0000-000025010000}"/>
    <cellStyle name="Normal 3 3" xfId="229" xr:uid="{00000000-0005-0000-0000-000026010000}"/>
    <cellStyle name="Normal 3 3 2" xfId="357" xr:uid="{00000000-0005-0000-0000-000027010000}"/>
    <cellStyle name="Normal 3 3 3" xfId="356" xr:uid="{00000000-0005-0000-0000-000028010000}"/>
    <cellStyle name="Normal 3 4" xfId="230" xr:uid="{00000000-0005-0000-0000-000029010000}"/>
    <cellStyle name="Normal 3 4 2" xfId="358" xr:uid="{00000000-0005-0000-0000-00002A010000}"/>
    <cellStyle name="Normal 3 5" xfId="354" xr:uid="{00000000-0005-0000-0000-00002B010000}"/>
    <cellStyle name="Normal 3_012 Real Docking Januari - DESEMBER 2012 Oka0401 RKA-KEU" xfId="231" xr:uid="{00000000-0005-0000-0000-00002C010000}"/>
    <cellStyle name="Normal 34" xfId="359" xr:uid="{00000000-0005-0000-0000-00002D010000}"/>
    <cellStyle name="Normal 4" xfId="232" xr:uid="{00000000-0005-0000-0000-00002E010000}"/>
    <cellStyle name="Normal 4 2" xfId="233" xr:uid="{00000000-0005-0000-0000-00002F010000}"/>
    <cellStyle name="Normal 4 2 2" xfId="361" xr:uid="{00000000-0005-0000-0000-000030010000}"/>
    <cellStyle name="Normal 4 3" xfId="234" xr:uid="{00000000-0005-0000-0000-000031010000}"/>
    <cellStyle name="Normal 4 3 2" xfId="235" xr:uid="{00000000-0005-0000-0000-000032010000}"/>
    <cellStyle name="Normal 4 4" xfId="360" xr:uid="{00000000-0005-0000-0000-000033010000}"/>
    <cellStyle name="Normal 4_012 Real Docking Januari - DESEMBER 2012 Oka0401 RKA-KEU" xfId="236" xr:uid="{00000000-0005-0000-0000-000034010000}"/>
    <cellStyle name="Normal 5" xfId="237" xr:uid="{00000000-0005-0000-0000-000035010000}"/>
    <cellStyle name="Normal 5 2" xfId="238" xr:uid="{00000000-0005-0000-0000-000036010000}"/>
    <cellStyle name="Normal 5 2 2" xfId="362" xr:uid="{00000000-0005-0000-0000-000037010000}"/>
    <cellStyle name="Normal 5 3" xfId="239" xr:uid="{00000000-0005-0000-0000-000038010000}"/>
    <cellStyle name="Normal 5 3 2" xfId="363" xr:uid="{00000000-0005-0000-0000-000039010000}"/>
    <cellStyle name="Normal 5 4" xfId="240" xr:uid="{00000000-0005-0000-0000-00003A010000}"/>
    <cellStyle name="Normal 5_Cash Flow - asdp 2011 base on FS &amp; Real 5% bunga efektif ok" xfId="241" xr:uid="{00000000-0005-0000-0000-00003B010000}"/>
    <cellStyle name="Normal 6" xfId="242" xr:uid="{00000000-0005-0000-0000-00003C010000}"/>
    <cellStyle name="Normal 6 2" xfId="243" xr:uid="{00000000-0005-0000-0000-00003D010000}"/>
    <cellStyle name="Normal 7" xfId="244" xr:uid="{00000000-0005-0000-0000-00003E010000}"/>
    <cellStyle name="Normal 7 2" xfId="245" xr:uid="{00000000-0005-0000-0000-00003F010000}"/>
    <cellStyle name="Normal 7 2 2" xfId="246" xr:uid="{00000000-0005-0000-0000-000040010000}"/>
    <cellStyle name="Normal 7 3" xfId="364" xr:uid="{00000000-0005-0000-0000-000041010000}"/>
    <cellStyle name="Normal 8" xfId="247" xr:uid="{00000000-0005-0000-0000-000042010000}"/>
    <cellStyle name="Normal 8 2" xfId="248" xr:uid="{00000000-0005-0000-0000-000043010000}"/>
    <cellStyle name="Normal 8 3" xfId="249" xr:uid="{00000000-0005-0000-0000-000044010000}"/>
    <cellStyle name="Normal 8 4" xfId="365" xr:uid="{00000000-0005-0000-0000-000045010000}"/>
    <cellStyle name="Normal 9" xfId="250" xr:uid="{00000000-0005-0000-0000-000046010000}"/>
    <cellStyle name="Normal_Jadual docking 2011" xfId="1" xr:uid="{00000000-0005-0000-0000-000047010000}"/>
    <cellStyle name="Note 2" xfId="251" xr:uid="{00000000-0005-0000-0000-000048010000}"/>
    <cellStyle name="Note 2 2" xfId="252" xr:uid="{00000000-0005-0000-0000-000049010000}"/>
    <cellStyle name="Note 2 3" xfId="253" xr:uid="{00000000-0005-0000-0000-00004A010000}"/>
    <cellStyle name="Note 2 4" xfId="254" xr:uid="{00000000-0005-0000-0000-00004B010000}"/>
    <cellStyle name="Output 2" xfId="255" xr:uid="{00000000-0005-0000-0000-00004C010000}"/>
    <cellStyle name="Percent [0]" xfId="256" xr:uid="{00000000-0005-0000-0000-00004D010000}"/>
    <cellStyle name="Percent [0] 2" xfId="257" xr:uid="{00000000-0005-0000-0000-00004E010000}"/>
    <cellStyle name="Percent [00]" xfId="258" xr:uid="{00000000-0005-0000-0000-00004F010000}"/>
    <cellStyle name="Percent [2]" xfId="259" xr:uid="{00000000-0005-0000-0000-000050010000}"/>
    <cellStyle name="Percent [2] 2" xfId="260" xr:uid="{00000000-0005-0000-0000-000051010000}"/>
    <cellStyle name="Percent 12" xfId="261" xr:uid="{00000000-0005-0000-0000-000052010000}"/>
    <cellStyle name="Percent 2" xfId="262" xr:uid="{00000000-0005-0000-0000-000053010000}"/>
    <cellStyle name="Percent 2 2" xfId="263" xr:uid="{00000000-0005-0000-0000-000054010000}"/>
    <cellStyle name="Percent 3" xfId="264" xr:uid="{00000000-0005-0000-0000-000055010000}"/>
    <cellStyle name="Percent 3 2" xfId="265" xr:uid="{00000000-0005-0000-0000-000056010000}"/>
    <cellStyle name="Percent 3 2 2" xfId="366" xr:uid="{00000000-0005-0000-0000-000057010000}"/>
    <cellStyle name="Percent 3 3" xfId="266" xr:uid="{00000000-0005-0000-0000-000058010000}"/>
    <cellStyle name="Percent 4" xfId="267" xr:uid="{00000000-0005-0000-0000-000059010000}"/>
    <cellStyle name="Percent 5" xfId="268" xr:uid="{00000000-0005-0000-0000-00005A010000}"/>
    <cellStyle name="PrePop Currency (0)" xfId="269" xr:uid="{00000000-0005-0000-0000-00005B010000}"/>
    <cellStyle name="PrePop Currency (0) 2" xfId="270" xr:uid="{00000000-0005-0000-0000-00005C010000}"/>
    <cellStyle name="PrePop Currency (0)_Cash Flow - asdp 2011 base on FS &amp; Real 5% bunga efektif ok" xfId="271" xr:uid="{00000000-0005-0000-0000-00005D010000}"/>
    <cellStyle name="PrePop Currency (2)" xfId="272" xr:uid="{00000000-0005-0000-0000-00005E010000}"/>
    <cellStyle name="PrePop Currency (2) 2" xfId="273" xr:uid="{00000000-0005-0000-0000-00005F010000}"/>
    <cellStyle name="PrePop Currency (2)_Cash Flow - asdp 2011 base on FS &amp; Real 5% bunga efektif ok" xfId="274" xr:uid="{00000000-0005-0000-0000-000060010000}"/>
    <cellStyle name="PrePop Units (0)" xfId="275" xr:uid="{00000000-0005-0000-0000-000061010000}"/>
    <cellStyle name="PrePop Units (0) 2" xfId="276" xr:uid="{00000000-0005-0000-0000-000062010000}"/>
    <cellStyle name="PrePop Units (0)_Cash Flow - asdp 2011 base on FS &amp; Real 5% bunga efektif ok" xfId="277" xr:uid="{00000000-0005-0000-0000-000063010000}"/>
    <cellStyle name="PrePop Units (1)" xfId="278" xr:uid="{00000000-0005-0000-0000-000064010000}"/>
    <cellStyle name="PrePop Units (1) 2" xfId="279" xr:uid="{00000000-0005-0000-0000-000065010000}"/>
    <cellStyle name="PrePop Units (1)_Cash Flow - asdp 2011 base on FS &amp; Real 5% bunga efektif ok" xfId="280" xr:uid="{00000000-0005-0000-0000-000066010000}"/>
    <cellStyle name="PrePop Units (2)" xfId="281" xr:uid="{00000000-0005-0000-0000-000067010000}"/>
    <cellStyle name="PrePop Units (2) 2" xfId="282" xr:uid="{00000000-0005-0000-0000-000068010000}"/>
    <cellStyle name="PrePop Units (2)_Cash Flow - asdp 2011 base on FS &amp; Real 5% bunga efektif ok" xfId="283" xr:uid="{00000000-0005-0000-0000-000069010000}"/>
    <cellStyle name="sbt2" xfId="284" xr:uid="{00000000-0005-0000-0000-00006A010000}"/>
    <cellStyle name="subt1" xfId="285" xr:uid="{00000000-0005-0000-0000-00006B010000}"/>
    <cellStyle name="subt1 2" xfId="286" xr:uid="{00000000-0005-0000-0000-00006C010000}"/>
    <cellStyle name="subt1_Mutasi BYMHD Cbg 2010" xfId="287" xr:uid="{00000000-0005-0000-0000-00006D010000}"/>
    <cellStyle name="Text Indent A" xfId="288" xr:uid="{00000000-0005-0000-0000-00006E010000}"/>
    <cellStyle name="Text Indent B" xfId="289" xr:uid="{00000000-0005-0000-0000-00006F010000}"/>
    <cellStyle name="Text Indent B 2" xfId="290" xr:uid="{00000000-0005-0000-0000-000070010000}"/>
    <cellStyle name="Text Indent B_Cash Flow - asdp 2011 base on FS &amp; Real 5% bunga efektif ok" xfId="291" xr:uid="{00000000-0005-0000-0000-000071010000}"/>
    <cellStyle name="Text Indent C" xfId="292" xr:uid="{00000000-0005-0000-0000-000072010000}"/>
    <cellStyle name="Text Indent C 2" xfId="293" xr:uid="{00000000-0005-0000-0000-000073010000}"/>
    <cellStyle name="Text Indent C_Cash Flow - asdp 2011 base on FS &amp; Real 5% bunga efektif ok" xfId="294" xr:uid="{00000000-0005-0000-0000-000074010000}"/>
    <cellStyle name="Title 2" xfId="295" xr:uid="{00000000-0005-0000-0000-000075010000}"/>
    <cellStyle name="Total 2" xfId="296" xr:uid="{00000000-0005-0000-0000-000076010000}"/>
    <cellStyle name="Warning Text 2" xfId="297" xr:uid="{00000000-0005-0000-0000-00007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351277</xdr:colOff>
      <xdr:row>26</xdr:row>
      <xdr:rowOff>13511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4188A-5875-27A6-6D59-7D3CCB1EE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979" y="486383"/>
          <a:ext cx="10078936" cy="374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17</xdr:col>
      <xdr:colOff>472873</xdr:colOff>
      <xdr:row>67</xdr:row>
      <xdr:rowOff>13511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FB43C7-3B80-0398-35C4-130C742A9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979" y="5674468"/>
          <a:ext cx="10200532" cy="5201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</xdr:rowOff>
    </xdr:from>
    <xdr:to>
      <xdr:col>20</xdr:col>
      <xdr:colOff>67554</xdr:colOff>
      <xdr:row>99</xdr:row>
      <xdr:rowOff>13512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745D2D-D647-10F0-8106-E243B2CFA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7979" y="11835320"/>
          <a:ext cx="11619149" cy="422883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a-SDM_08(25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uangan\e\RKAP%202009\RKF%202009\RKAC%202009\Users\N0V@%20HeNdRi\Documents\@Man%20KEU\RKAC%202009\RKA2009%20(SDM)\Rencana%20Kerja%20RKA%20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RKAL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share-01\My%20Documents\Rencana%20biaya%20doking%20kapal%20Th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UNGAN PERWIRA+DARAT"/>
      <sheetName val="PENGAWAKAN"/>
      <sheetName val="AMBON"/>
      <sheetName val="RCN PROMO"/>
      <sheetName val="UPT-KESRA"/>
      <sheetName val="RINC-05+KPLBR"/>
      <sheetName val="2008"/>
      <sheetName val="RINC_08(bbnpst)"/>
      <sheetName val="RINC_08 (2)"/>
      <sheetName val="RINC_08"/>
      <sheetName val="RCN TAMBAH"/>
      <sheetName val="kontrak"/>
      <sheetName val="skala"/>
      <sheetName val="KEKAP"/>
      <sheetName val="komp-kary"/>
      <sheetName val="JGN DIHAPUS"/>
      <sheetName val="data"/>
      <sheetName val="KLAIMRORO"/>
      <sheetName val="REMUNERASISTANDAR"/>
      <sheetName val="TABEL-DETASIR"/>
      <sheetName val="Tabel"/>
      <sheetName val="Links"/>
      <sheetName val="Fill this out first..."/>
      <sheetName val="Sheet1"/>
      <sheetName val="U"/>
      <sheetName val="perbhn"/>
      <sheetName val="Analisa"/>
      <sheetName val="Bahan&amp;Upah"/>
      <sheetName val="ANALIS ALAT"/>
    </sheetNames>
    <sheetDataSet>
      <sheetData sheetId="0">
        <row r="131">
          <cell r="I131" t="str">
            <v>Ambon</v>
          </cell>
        </row>
      </sheetData>
      <sheetData sheetId="1">
        <row r="131">
          <cell r="I131" t="str">
            <v>Ambon</v>
          </cell>
        </row>
      </sheetData>
      <sheetData sheetId="2">
        <row r="131">
          <cell r="I131" t="str">
            <v>Ambon</v>
          </cell>
        </row>
      </sheetData>
      <sheetData sheetId="3">
        <row r="131">
          <cell r="I131" t="str">
            <v>Ambon</v>
          </cell>
        </row>
      </sheetData>
      <sheetData sheetId="4">
        <row r="131">
          <cell r="I131" t="str">
            <v>Ambon</v>
          </cell>
        </row>
      </sheetData>
      <sheetData sheetId="5">
        <row r="131">
          <cell r="I131" t="str">
            <v>Ambon</v>
          </cell>
        </row>
      </sheetData>
      <sheetData sheetId="6">
        <row r="131">
          <cell r="I131" t="str">
            <v>Ambon</v>
          </cell>
        </row>
      </sheetData>
      <sheetData sheetId="7">
        <row r="131">
          <cell r="I131" t="str">
            <v>Ambon</v>
          </cell>
        </row>
      </sheetData>
      <sheetData sheetId="8">
        <row r="131">
          <cell r="I131" t="str">
            <v>Ambon</v>
          </cell>
        </row>
      </sheetData>
      <sheetData sheetId="9">
        <row r="131">
          <cell r="I131" t="str">
            <v>Ambon</v>
          </cell>
        </row>
      </sheetData>
      <sheetData sheetId="10">
        <row r="131">
          <cell r="I131" t="str">
            <v>Ambon</v>
          </cell>
        </row>
      </sheetData>
      <sheetData sheetId="11">
        <row r="131">
          <cell r="I131" t="str">
            <v>Ambon</v>
          </cell>
        </row>
      </sheetData>
      <sheetData sheetId="12">
        <row r="131">
          <cell r="I131" t="str">
            <v>Ambon</v>
          </cell>
        </row>
      </sheetData>
      <sheetData sheetId="13">
        <row r="131">
          <cell r="I131" t="str">
            <v>Ambon</v>
          </cell>
        </row>
      </sheetData>
      <sheetData sheetId="14">
        <row r="131">
          <cell r="I131" t="str">
            <v>Ambon</v>
          </cell>
        </row>
      </sheetData>
      <sheetData sheetId="15" refreshError="1">
        <row r="131">
          <cell r="I131" t="str">
            <v>Ambon</v>
          </cell>
          <cell r="J131">
            <v>26</v>
          </cell>
          <cell r="K131">
            <v>0.4</v>
          </cell>
          <cell r="L131" t="str">
            <v>B</v>
          </cell>
          <cell r="M131">
            <v>910000</v>
          </cell>
          <cell r="N131">
            <v>910000</v>
          </cell>
          <cell r="O131">
            <v>730000</v>
          </cell>
        </row>
        <row r="132">
          <cell r="I132" t="str">
            <v>Bajo'e</v>
          </cell>
          <cell r="J132">
            <v>26</v>
          </cell>
          <cell r="L132" t="str">
            <v>C</v>
          </cell>
          <cell r="M132">
            <v>910000</v>
          </cell>
          <cell r="N132">
            <v>910000</v>
          </cell>
          <cell r="O132">
            <v>740250</v>
          </cell>
        </row>
        <row r="133">
          <cell r="I133" t="str">
            <v>Bakauheni</v>
          </cell>
          <cell r="J133">
            <v>22</v>
          </cell>
          <cell r="L133" t="str">
            <v>A</v>
          </cell>
          <cell r="M133">
            <v>770000</v>
          </cell>
          <cell r="N133">
            <v>770000</v>
          </cell>
        </row>
        <row r="134">
          <cell r="I134" t="str">
            <v>Balikpapan</v>
          </cell>
          <cell r="J134">
            <v>22</v>
          </cell>
          <cell r="K134">
            <v>0.4</v>
          </cell>
          <cell r="L134" t="str">
            <v>B</v>
          </cell>
          <cell r="M134">
            <v>770000</v>
          </cell>
          <cell r="N134">
            <v>770000</v>
          </cell>
          <cell r="O134">
            <v>815000</v>
          </cell>
        </row>
        <row r="135">
          <cell r="I135" t="str">
            <v>Batam</v>
          </cell>
          <cell r="J135">
            <v>26</v>
          </cell>
          <cell r="K135">
            <v>0.5</v>
          </cell>
          <cell r="L135" t="str">
            <v>D</v>
          </cell>
          <cell r="M135">
            <v>910000</v>
          </cell>
          <cell r="N135">
            <v>910000</v>
          </cell>
          <cell r="O135">
            <v>900900</v>
          </cell>
        </row>
        <row r="136">
          <cell r="I136" t="str">
            <v>BATULICIN</v>
          </cell>
          <cell r="J136">
            <v>26</v>
          </cell>
          <cell r="L136" t="str">
            <v>C</v>
          </cell>
          <cell r="M136">
            <v>910000</v>
          </cell>
          <cell r="N136">
            <v>910000</v>
          </cell>
          <cell r="O136">
            <v>645000</v>
          </cell>
        </row>
        <row r="137">
          <cell r="I137" t="str">
            <v>Bau-Bau</v>
          </cell>
          <cell r="J137">
            <v>26</v>
          </cell>
          <cell r="L137" t="str">
            <v>C</v>
          </cell>
          <cell r="M137">
            <v>910000</v>
          </cell>
          <cell r="N137">
            <v>910000</v>
          </cell>
          <cell r="O137">
            <v>640000</v>
          </cell>
        </row>
        <row r="138">
          <cell r="M138">
            <v>0</v>
          </cell>
          <cell r="N138">
            <v>0</v>
          </cell>
          <cell r="O138">
            <v>850000</v>
          </cell>
        </row>
        <row r="139">
          <cell r="I139" t="str">
            <v>Bengkulu</v>
          </cell>
          <cell r="J139">
            <v>26</v>
          </cell>
          <cell r="L139" t="str">
            <v>D</v>
          </cell>
          <cell r="M139">
            <v>910000</v>
          </cell>
          <cell r="N139">
            <v>910000</v>
          </cell>
          <cell r="O139">
            <v>516000</v>
          </cell>
        </row>
        <row r="140">
          <cell r="I140" t="str">
            <v>Biak</v>
          </cell>
          <cell r="J140">
            <v>26</v>
          </cell>
          <cell r="K140">
            <v>0.73</v>
          </cell>
          <cell r="L140" t="str">
            <v>D</v>
          </cell>
          <cell r="M140">
            <v>910000</v>
          </cell>
          <cell r="N140">
            <v>910000</v>
          </cell>
          <cell r="O140">
            <v>822500</v>
          </cell>
        </row>
        <row r="141">
          <cell r="I141" t="str">
            <v>BITUNG</v>
          </cell>
          <cell r="J141">
            <v>26</v>
          </cell>
          <cell r="K141">
            <v>0.4</v>
          </cell>
          <cell r="L141" t="str">
            <v>C</v>
          </cell>
          <cell r="M141">
            <v>910000</v>
          </cell>
          <cell r="N141">
            <v>910000</v>
          </cell>
          <cell r="O141">
            <v>730000</v>
          </cell>
        </row>
        <row r="142">
          <cell r="I142" t="str">
            <v>Kayangan</v>
          </cell>
          <cell r="J142">
            <v>22</v>
          </cell>
          <cell r="L142" t="str">
            <v>B</v>
          </cell>
          <cell r="M142">
            <v>770000</v>
          </cell>
          <cell r="N142">
            <v>770000</v>
          </cell>
          <cell r="O142">
            <v>645000</v>
          </cell>
        </row>
        <row r="143">
          <cell r="I143" t="str">
            <v>Ketapang</v>
          </cell>
          <cell r="J143">
            <v>22</v>
          </cell>
          <cell r="L143" t="str">
            <v>A</v>
          </cell>
          <cell r="M143">
            <v>770000</v>
          </cell>
          <cell r="N143">
            <v>770000</v>
          </cell>
          <cell r="O143">
            <v>517500</v>
          </cell>
        </row>
        <row r="144">
          <cell r="I144" t="str">
            <v>Ketapang</v>
          </cell>
          <cell r="J144">
            <v>22</v>
          </cell>
          <cell r="L144" t="str">
            <v>A</v>
          </cell>
          <cell r="M144">
            <v>770000</v>
          </cell>
          <cell r="N144">
            <v>770000</v>
          </cell>
          <cell r="O144">
            <v>517500</v>
          </cell>
        </row>
        <row r="145">
          <cell r="I145" t="str">
            <v>Kupang</v>
          </cell>
          <cell r="J145">
            <v>26</v>
          </cell>
          <cell r="K145">
            <v>0.4</v>
          </cell>
          <cell r="L145" t="str">
            <v>A</v>
          </cell>
          <cell r="M145">
            <v>910000</v>
          </cell>
          <cell r="N145">
            <v>910000</v>
          </cell>
          <cell r="O145">
            <v>550000</v>
          </cell>
        </row>
        <row r="146">
          <cell r="I146" t="str">
            <v>Lembar</v>
          </cell>
          <cell r="J146">
            <v>22</v>
          </cell>
          <cell r="L146" t="str">
            <v>A</v>
          </cell>
          <cell r="M146">
            <v>770000</v>
          </cell>
          <cell r="N146">
            <v>770000</v>
          </cell>
          <cell r="O146">
            <v>645000</v>
          </cell>
        </row>
        <row r="147">
          <cell r="I147" t="str">
            <v>Luwuk</v>
          </cell>
          <cell r="J147">
            <v>26</v>
          </cell>
          <cell r="L147" t="str">
            <v>C</v>
          </cell>
          <cell r="M147">
            <v>910000</v>
          </cell>
          <cell r="N147">
            <v>910000</v>
          </cell>
          <cell r="O147">
            <v>575000</v>
          </cell>
        </row>
        <row r="148">
          <cell r="I148" t="str">
            <v>Merak</v>
          </cell>
          <cell r="J148">
            <v>22</v>
          </cell>
          <cell r="L148" t="str">
            <v>A</v>
          </cell>
          <cell r="M148">
            <v>770000</v>
          </cell>
          <cell r="N148">
            <v>770000</v>
          </cell>
          <cell r="O148">
            <v>995500.00000000012</v>
          </cell>
        </row>
        <row r="149">
          <cell r="I149" t="str">
            <v>Merauke</v>
          </cell>
          <cell r="J149">
            <v>26</v>
          </cell>
          <cell r="K149">
            <v>0.73</v>
          </cell>
          <cell r="L149" t="str">
            <v>D</v>
          </cell>
          <cell r="M149">
            <v>910000</v>
          </cell>
          <cell r="N149">
            <v>910000</v>
          </cell>
          <cell r="O149">
            <v>822500</v>
          </cell>
        </row>
        <row r="150">
          <cell r="I150" t="str">
            <v>Padang</v>
          </cell>
          <cell r="J150">
            <v>22</v>
          </cell>
          <cell r="L150" t="str">
            <v>D</v>
          </cell>
          <cell r="M150">
            <v>770000</v>
          </cell>
          <cell r="N150">
            <v>770000</v>
          </cell>
          <cell r="O150">
            <v>650000</v>
          </cell>
        </row>
        <row r="151">
          <cell r="I151" t="str">
            <v>Bangka</v>
          </cell>
          <cell r="J151">
            <v>22</v>
          </cell>
          <cell r="L151" t="str">
            <v>C</v>
          </cell>
          <cell r="M151">
            <v>770000</v>
          </cell>
          <cell r="N151">
            <v>770000</v>
          </cell>
          <cell r="O151">
            <v>604000</v>
          </cell>
        </row>
        <row r="152">
          <cell r="I152" t="str">
            <v>Pontianak</v>
          </cell>
          <cell r="J152">
            <v>22</v>
          </cell>
          <cell r="L152" t="str">
            <v>D</v>
          </cell>
          <cell r="M152">
            <v>770000</v>
          </cell>
          <cell r="N152">
            <v>770000</v>
          </cell>
          <cell r="O152">
            <v>573352</v>
          </cell>
        </row>
        <row r="153">
          <cell r="I153" t="str">
            <v>Banda Aceh</v>
          </cell>
          <cell r="J153">
            <v>30</v>
          </cell>
          <cell r="L153" t="str">
            <v>C</v>
          </cell>
          <cell r="M153">
            <v>1050000</v>
          </cell>
          <cell r="N153">
            <v>975000</v>
          </cell>
        </row>
        <row r="154">
          <cell r="I154" t="str">
            <v>Pusat</v>
          </cell>
          <cell r="J154">
            <v>22</v>
          </cell>
          <cell r="L154" t="str">
            <v>A</v>
          </cell>
          <cell r="M154">
            <v>770000</v>
          </cell>
          <cell r="N154">
            <v>770000</v>
          </cell>
          <cell r="O154">
            <v>972604</v>
          </cell>
        </row>
        <row r="155">
          <cell r="I155" t="str">
            <v>Sabang</v>
          </cell>
          <cell r="J155">
            <v>26</v>
          </cell>
          <cell r="L155" t="str">
            <v>D</v>
          </cell>
          <cell r="M155">
            <v>910000</v>
          </cell>
          <cell r="N155">
            <v>910000</v>
          </cell>
          <cell r="O155">
            <v>850000</v>
          </cell>
        </row>
        <row r="156">
          <cell r="I156" t="str">
            <v>Sape</v>
          </cell>
          <cell r="J156">
            <v>26</v>
          </cell>
          <cell r="K156">
            <v>0.4</v>
          </cell>
          <cell r="L156" t="str">
            <v>C</v>
          </cell>
          <cell r="M156">
            <v>910000</v>
          </cell>
          <cell r="N156">
            <v>910000</v>
          </cell>
          <cell r="O156">
            <v>550000</v>
          </cell>
        </row>
        <row r="157">
          <cell r="I157" t="str">
            <v>Selayar</v>
          </cell>
          <cell r="J157">
            <v>26</v>
          </cell>
          <cell r="L157" t="str">
            <v>D</v>
          </cell>
          <cell r="M157">
            <v>910000</v>
          </cell>
          <cell r="N157">
            <v>910000</v>
          </cell>
          <cell r="O157">
            <v>612000</v>
          </cell>
        </row>
        <row r="158">
          <cell r="I158" t="str">
            <v>Jepara</v>
          </cell>
          <cell r="J158">
            <v>26</v>
          </cell>
          <cell r="L158" t="str">
            <v>C</v>
          </cell>
          <cell r="M158">
            <v>910000</v>
          </cell>
          <cell r="N158">
            <v>910000</v>
          </cell>
          <cell r="O158">
            <v>650000</v>
          </cell>
        </row>
        <row r="159">
          <cell r="I159" t="str">
            <v>Sibolga</v>
          </cell>
          <cell r="J159">
            <v>26</v>
          </cell>
          <cell r="L159" t="str">
            <v>C</v>
          </cell>
          <cell r="M159">
            <v>910000</v>
          </cell>
          <cell r="N159">
            <v>910000</v>
          </cell>
          <cell r="O159">
            <v>850000</v>
          </cell>
        </row>
        <row r="160">
          <cell r="I160" t="str">
            <v>Sinabang</v>
          </cell>
          <cell r="J160">
            <v>26</v>
          </cell>
          <cell r="L160" t="str">
            <v>D</v>
          </cell>
          <cell r="M160">
            <v>910000</v>
          </cell>
          <cell r="N160">
            <v>910000</v>
          </cell>
          <cell r="O160">
            <v>850000</v>
          </cell>
        </row>
        <row r="161">
          <cell r="I161" t="str">
            <v>PEMIMPIN CABANG</v>
          </cell>
          <cell r="J161">
            <v>2</v>
          </cell>
          <cell r="L161" t="str">
            <v>C</v>
          </cell>
          <cell r="M161">
            <v>70000</v>
          </cell>
          <cell r="N161">
            <v>70000</v>
          </cell>
        </row>
        <row r="162">
          <cell r="I162" t="str">
            <v>SIWA</v>
          </cell>
          <cell r="J162">
            <v>26</v>
          </cell>
          <cell r="L162" t="str">
            <v>D</v>
          </cell>
          <cell r="M162">
            <v>910000</v>
          </cell>
          <cell r="N162">
            <v>910000</v>
          </cell>
          <cell r="O162">
            <v>673000</v>
          </cell>
        </row>
        <row r="163">
          <cell r="I163" t="str">
            <v>Sorong</v>
          </cell>
          <cell r="J163">
            <v>22</v>
          </cell>
          <cell r="K163">
            <v>0.73</v>
          </cell>
          <cell r="L163" t="str">
            <v>D</v>
          </cell>
          <cell r="M163">
            <v>770000</v>
          </cell>
          <cell r="N163">
            <v>770000</v>
          </cell>
          <cell r="O163">
            <v>822500</v>
          </cell>
        </row>
        <row r="164">
          <cell r="I164" t="str">
            <v>Surabaya</v>
          </cell>
          <cell r="J164">
            <v>22</v>
          </cell>
          <cell r="L164" t="str">
            <v>A</v>
          </cell>
          <cell r="M164">
            <v>770000</v>
          </cell>
          <cell r="N164">
            <v>770000</v>
          </cell>
          <cell r="O164">
            <v>746000</v>
          </cell>
        </row>
        <row r="165">
          <cell r="I165" t="str">
            <v>Ternate</v>
          </cell>
          <cell r="J165">
            <v>26</v>
          </cell>
          <cell r="K165">
            <v>0.4</v>
          </cell>
          <cell r="L165" t="str">
            <v>C</v>
          </cell>
          <cell r="M165">
            <v>910000</v>
          </cell>
          <cell r="N165">
            <v>910000</v>
          </cell>
          <cell r="O165">
            <v>713500</v>
          </cell>
        </row>
        <row r="166">
          <cell r="I166" t="str">
            <v>TUAL</v>
          </cell>
          <cell r="J166">
            <v>26</v>
          </cell>
          <cell r="K166">
            <v>0.4</v>
          </cell>
          <cell r="L166" t="str">
            <v>D</v>
          </cell>
          <cell r="M166">
            <v>910000</v>
          </cell>
          <cell r="N166">
            <v>910000</v>
          </cell>
          <cell r="O166">
            <v>730000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cana Kerja 2009"/>
      <sheetName val="Rekap Biaya"/>
      <sheetName val="Gaji"/>
      <sheetName val="SDM"/>
      <sheetName val="UM Kapal"/>
      <sheetName val="Tunjangan"/>
      <sheetName val="Pengamanan"/>
      <sheetName val="Diklat"/>
      <sheetName val="Layar"/>
      <sheetName val="Tabel"/>
      <sheetName val="Data Agustus 2013"/>
      <sheetName val="rek det 1-3"/>
      <sheetName val="Voucher"/>
      <sheetName val="posko"/>
      <sheetName val="KLAIMRORO"/>
      <sheetName val="harsat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>
        <row r="5">
          <cell r="A5" t="str">
            <v>Electricent</v>
          </cell>
        </row>
      </sheetData>
      <sheetData sheetId="9" refreshError="1">
        <row r="5">
          <cell r="A5" t="str">
            <v>Electricent</v>
          </cell>
          <cell r="B5">
            <v>7000</v>
          </cell>
          <cell r="D5" t="str">
            <v>Asisten Manager</v>
          </cell>
          <cell r="E5">
            <v>650000</v>
          </cell>
          <cell r="F5">
            <v>550000</v>
          </cell>
        </row>
        <row r="6">
          <cell r="A6" t="str">
            <v>Juru Listrik</v>
          </cell>
          <cell r="B6">
            <v>7000</v>
          </cell>
          <cell r="D6" t="str">
            <v>Asisten Supervisor</v>
          </cell>
          <cell r="E6">
            <v>450000</v>
          </cell>
        </row>
        <row r="7">
          <cell r="A7" t="str">
            <v>Juru Masak</v>
          </cell>
          <cell r="B7">
            <v>7000</v>
          </cell>
          <cell r="D7" t="str">
            <v>Kasir/Pemegang Kas</v>
          </cell>
          <cell r="E7">
            <v>350000</v>
          </cell>
        </row>
        <row r="8">
          <cell r="A8" t="str">
            <v>Juru Minyak</v>
          </cell>
          <cell r="B8">
            <v>7000</v>
          </cell>
          <cell r="D8" t="str">
            <v>Koordinator STC &amp; DPA</v>
          </cell>
          <cell r="E8">
            <v>600000</v>
          </cell>
          <cell r="F8">
            <v>550000</v>
          </cell>
        </row>
        <row r="9">
          <cell r="A9" t="str">
            <v>Juru Mudi</v>
          </cell>
          <cell r="B9">
            <v>7000</v>
          </cell>
          <cell r="D9" t="str">
            <v>Manager</v>
          </cell>
          <cell r="E9">
            <v>800000</v>
          </cell>
          <cell r="F9">
            <v>1100000</v>
          </cell>
        </row>
        <row r="10">
          <cell r="A10" t="str">
            <v>Kelasi</v>
          </cell>
          <cell r="B10">
            <v>7000</v>
          </cell>
          <cell r="D10" t="str">
            <v>Pemimpin Cabang</v>
          </cell>
          <cell r="E10">
            <v>1000000</v>
          </cell>
          <cell r="F10">
            <v>2200000</v>
          </cell>
        </row>
        <row r="11">
          <cell r="A11" t="str">
            <v>KKM</v>
          </cell>
          <cell r="B11">
            <v>12500</v>
          </cell>
          <cell r="D11" t="str">
            <v>Supervisor</v>
          </cell>
          <cell r="E11">
            <v>600000</v>
          </cell>
          <cell r="F11">
            <v>550000</v>
          </cell>
        </row>
        <row r="12">
          <cell r="A12" t="str">
            <v>KKM / Masinis I</v>
          </cell>
          <cell r="B12">
            <v>12500</v>
          </cell>
        </row>
        <row r="13">
          <cell r="A13" t="str">
            <v>KKM / Masinis I Pgt</v>
          </cell>
          <cell r="B13">
            <v>12500</v>
          </cell>
        </row>
        <row r="14">
          <cell r="A14" t="str">
            <v>KKM Pgt</v>
          </cell>
          <cell r="B14">
            <v>12500</v>
          </cell>
        </row>
        <row r="15">
          <cell r="A15" t="str">
            <v>KKM Pgt / Masinis I Pgt</v>
          </cell>
          <cell r="B15">
            <v>12500</v>
          </cell>
        </row>
        <row r="16">
          <cell r="A16" t="str">
            <v>Mandor Mesin</v>
          </cell>
          <cell r="B16">
            <v>7000</v>
          </cell>
        </row>
        <row r="17">
          <cell r="A17" t="str">
            <v>Marconist</v>
          </cell>
          <cell r="B17">
            <v>10500</v>
          </cell>
        </row>
        <row r="18">
          <cell r="A18" t="str">
            <v>Marconist Pgt</v>
          </cell>
          <cell r="B18">
            <v>10500</v>
          </cell>
        </row>
        <row r="19">
          <cell r="A19" t="str">
            <v>Masinis I</v>
          </cell>
          <cell r="B19">
            <v>12500</v>
          </cell>
        </row>
        <row r="20">
          <cell r="A20" t="str">
            <v>Masinis I Jr</v>
          </cell>
          <cell r="B20">
            <v>12500</v>
          </cell>
        </row>
        <row r="21">
          <cell r="A21" t="str">
            <v>Masinis II</v>
          </cell>
          <cell r="B21">
            <v>10500</v>
          </cell>
        </row>
        <row r="22">
          <cell r="A22" t="str">
            <v>Masinis II Jr</v>
          </cell>
          <cell r="B22">
            <v>10500</v>
          </cell>
        </row>
        <row r="23">
          <cell r="A23" t="str">
            <v>Masinis II Sr</v>
          </cell>
          <cell r="B23">
            <v>10500</v>
          </cell>
        </row>
        <row r="24">
          <cell r="A24" t="str">
            <v>Masinis III</v>
          </cell>
          <cell r="B24">
            <v>10500</v>
          </cell>
        </row>
        <row r="25">
          <cell r="A25" t="str">
            <v>Masinis III Jr</v>
          </cell>
          <cell r="B25">
            <v>10500</v>
          </cell>
        </row>
        <row r="26">
          <cell r="A26" t="str">
            <v>Masinis IV</v>
          </cell>
          <cell r="B26">
            <v>10500</v>
          </cell>
        </row>
        <row r="27">
          <cell r="A27" t="str">
            <v>Masinis IV Jr</v>
          </cell>
          <cell r="B27">
            <v>10500</v>
          </cell>
        </row>
        <row r="28">
          <cell r="A28" t="str">
            <v>Masinis IV Sr</v>
          </cell>
          <cell r="B28">
            <v>10500</v>
          </cell>
        </row>
        <row r="29">
          <cell r="A29" t="str">
            <v>Mualim I</v>
          </cell>
          <cell r="B29">
            <v>12500</v>
          </cell>
        </row>
        <row r="30">
          <cell r="A30" t="str">
            <v>Mualim I Jr</v>
          </cell>
          <cell r="B30">
            <v>12500</v>
          </cell>
        </row>
        <row r="31">
          <cell r="A31" t="str">
            <v>Mualim II</v>
          </cell>
          <cell r="B31">
            <v>10500</v>
          </cell>
        </row>
        <row r="32">
          <cell r="A32" t="str">
            <v>Mualim II Jr</v>
          </cell>
          <cell r="B32">
            <v>10500</v>
          </cell>
        </row>
        <row r="33">
          <cell r="A33" t="str">
            <v>Mualim II Sr</v>
          </cell>
          <cell r="B33">
            <v>10500</v>
          </cell>
        </row>
        <row r="34">
          <cell r="A34" t="str">
            <v>Mualim III</v>
          </cell>
          <cell r="B34">
            <v>10500</v>
          </cell>
        </row>
        <row r="35">
          <cell r="A35" t="str">
            <v>Mualim III Jr</v>
          </cell>
          <cell r="B35">
            <v>10500</v>
          </cell>
        </row>
        <row r="36">
          <cell r="A36" t="str">
            <v>Mualim III Sr</v>
          </cell>
          <cell r="B36">
            <v>10500</v>
          </cell>
        </row>
        <row r="37">
          <cell r="A37" t="str">
            <v>Mualim IV</v>
          </cell>
          <cell r="B37">
            <v>10500</v>
          </cell>
        </row>
        <row r="38">
          <cell r="A38" t="str">
            <v>Mualim IV Jr</v>
          </cell>
          <cell r="B38">
            <v>10500</v>
          </cell>
        </row>
        <row r="39">
          <cell r="A39" t="str">
            <v>Mualim IV Sr</v>
          </cell>
          <cell r="B39">
            <v>10500</v>
          </cell>
        </row>
        <row r="40">
          <cell r="A40" t="str">
            <v>Nakhoda</v>
          </cell>
          <cell r="B40">
            <v>16750</v>
          </cell>
        </row>
        <row r="41">
          <cell r="A41" t="str">
            <v>Pelayan</v>
          </cell>
          <cell r="B41">
            <v>7000</v>
          </cell>
        </row>
        <row r="42">
          <cell r="A42" t="str">
            <v>Pjs.KKM</v>
          </cell>
          <cell r="B42">
            <v>12500</v>
          </cell>
        </row>
        <row r="43">
          <cell r="A43" t="str">
            <v>Pjs.KKM / Masinis I</v>
          </cell>
          <cell r="B43">
            <v>12500</v>
          </cell>
        </row>
        <row r="44">
          <cell r="A44" t="str">
            <v>Pjs.Masinis I</v>
          </cell>
          <cell r="B44">
            <v>12500</v>
          </cell>
        </row>
        <row r="45">
          <cell r="A45" t="str">
            <v>Pjs.Masinis II</v>
          </cell>
          <cell r="B45">
            <v>10500</v>
          </cell>
        </row>
        <row r="46">
          <cell r="A46" t="str">
            <v>Pjs.Masinis III</v>
          </cell>
          <cell r="B46">
            <v>10500</v>
          </cell>
        </row>
        <row r="47">
          <cell r="A47" t="str">
            <v>Pjs.Masinis IV</v>
          </cell>
          <cell r="B47">
            <v>10500</v>
          </cell>
        </row>
        <row r="48">
          <cell r="A48" t="str">
            <v>Pjs.Mualim I</v>
          </cell>
          <cell r="B48">
            <v>12500</v>
          </cell>
        </row>
        <row r="49">
          <cell r="A49" t="str">
            <v>Pjs.Mualim II</v>
          </cell>
          <cell r="B49">
            <v>10500</v>
          </cell>
        </row>
        <row r="50">
          <cell r="A50" t="str">
            <v>Pjs.Mualim III</v>
          </cell>
          <cell r="B50">
            <v>10500</v>
          </cell>
        </row>
        <row r="51">
          <cell r="A51" t="str">
            <v>Pjs.Mualim IV</v>
          </cell>
          <cell r="B51">
            <v>10500</v>
          </cell>
        </row>
        <row r="52">
          <cell r="A52" t="str">
            <v>Serang</v>
          </cell>
          <cell r="B52">
            <v>7000</v>
          </cell>
        </row>
        <row r="53">
          <cell r="A53" t="str">
            <v>Wiper</v>
          </cell>
          <cell r="B53">
            <v>7000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AB"/>
      <sheetName val="kontrak"/>
      <sheetName val="UPT"/>
      <sheetName val="Sheet1"/>
      <sheetName val="AMBON"/>
      <sheetName val="BAJO'E"/>
      <sheetName val="BAKAU"/>
      <sheetName val="BLPPN"/>
      <sheetName val="BATAM"/>
      <sheetName val="Sheet3"/>
      <sheetName val="Tabel"/>
      <sheetName val="pemuatan"/>
      <sheetName val="Real. Usaha Kmp. Jatra 1"/>
      <sheetName val="Js. PLB"/>
      <sheetName val="posko"/>
      <sheetName val="KLAIMRORO"/>
      <sheetName val="TAGIH"/>
      <sheetName val="TAGIH 01"/>
      <sheetName val="REKAPITULASI"/>
      <sheetName val="ANA_JALAN 2009"/>
      <sheetName val="HG.BM"/>
      <sheetName val="CABANG"/>
      <sheetName val="Jgn Hapus (Master)"/>
      <sheetName val="UPAH &amp; BAHAN"/>
      <sheetName val="H.BAHAN"/>
      <sheetName val="UPAH"/>
      <sheetName val="ANALISA"/>
      <sheetName val="BOW"/>
      <sheetName val="ANALIS-E"/>
      <sheetName val="ANALIS-K"/>
      <sheetName val="DATA-MASUKAN"/>
      <sheetName val="input"/>
      <sheetName val="DON'T DELETE"/>
      <sheetName val="Kuantitas &amp; Harga"/>
      <sheetName val="Basic Price"/>
    </sheetNames>
    <sheetDataSet>
      <sheetData sheetId="0">
        <row r="1">
          <cell r="A1" t="str">
            <v>GOL</v>
          </cell>
        </row>
      </sheetData>
      <sheetData sheetId="1">
        <row r="1">
          <cell r="A1" t="str">
            <v>GOL</v>
          </cell>
        </row>
      </sheetData>
      <sheetData sheetId="2">
        <row r="1">
          <cell r="A1" t="str">
            <v>GOL</v>
          </cell>
        </row>
      </sheetData>
      <sheetData sheetId="3">
        <row r="1">
          <cell r="A1" t="str">
            <v>GOL</v>
          </cell>
        </row>
      </sheetData>
      <sheetData sheetId="4">
        <row r="1">
          <cell r="A1" t="str">
            <v>GOL</v>
          </cell>
        </row>
        <row r="2">
          <cell r="A2" t="str">
            <v>IX-C2</v>
          </cell>
          <cell r="B2">
            <v>4731462.5999999996</v>
          </cell>
        </row>
        <row r="3">
          <cell r="A3" t="str">
            <v>IX-C1</v>
          </cell>
          <cell r="B3">
            <v>4649574.5999999996</v>
          </cell>
          <cell r="C3" t="str">
            <v>IX-C2</v>
          </cell>
          <cell r="D3">
            <v>4731462.5999999996</v>
          </cell>
        </row>
        <row r="4">
          <cell r="A4" t="str">
            <v>IX-B2</v>
          </cell>
          <cell r="B4">
            <v>4567686.5999999996</v>
          </cell>
          <cell r="C4" t="str">
            <v>IX-C1</v>
          </cell>
          <cell r="D4">
            <v>4649574.5999999996</v>
          </cell>
          <cell r="E4" t="str">
            <v>IX-C2</v>
          </cell>
          <cell r="F4">
            <v>4731462.5999999996</v>
          </cell>
        </row>
        <row r="5">
          <cell r="A5" t="str">
            <v>IX-B1</v>
          </cell>
          <cell r="B5">
            <v>4485798.5999999996</v>
          </cell>
          <cell r="C5" t="str">
            <v>IX-B2</v>
          </cell>
          <cell r="D5">
            <v>4567686.5999999996</v>
          </cell>
          <cell r="E5" t="str">
            <v>IX-C1</v>
          </cell>
          <cell r="F5">
            <v>4649574.5999999996</v>
          </cell>
        </row>
        <row r="6">
          <cell r="A6" t="str">
            <v>IX-A2</v>
          </cell>
          <cell r="B6">
            <v>4403910.5999999996</v>
          </cell>
          <cell r="C6" t="str">
            <v>IX-B1</v>
          </cell>
          <cell r="D6">
            <v>4485798.5999999996</v>
          </cell>
          <cell r="E6" t="str">
            <v>IX-B2</v>
          </cell>
          <cell r="F6">
            <v>4567686.5999999996</v>
          </cell>
        </row>
        <row r="7">
          <cell r="A7" t="str">
            <v>IX-A1</v>
          </cell>
          <cell r="B7">
            <v>4322022.5999999996</v>
          </cell>
          <cell r="C7" t="str">
            <v>IX-A2</v>
          </cell>
          <cell r="D7">
            <v>4403910.5999999996</v>
          </cell>
          <cell r="E7" t="str">
            <v>IX-B1</v>
          </cell>
          <cell r="F7">
            <v>4485798.5999999996</v>
          </cell>
        </row>
        <row r="8">
          <cell r="A8" t="str">
            <v>VIII-C2</v>
          </cell>
          <cell r="B8">
            <v>4172022.6</v>
          </cell>
          <cell r="C8" t="str">
            <v>IX-A1</v>
          </cell>
          <cell r="D8">
            <v>4322022.5999999996</v>
          </cell>
          <cell r="E8" t="str">
            <v>IX-A2</v>
          </cell>
          <cell r="F8">
            <v>4403910.5999999996</v>
          </cell>
        </row>
        <row r="9">
          <cell r="A9" t="str">
            <v>VIII-C1</v>
          </cell>
          <cell r="B9">
            <v>4095252.6</v>
          </cell>
          <cell r="C9" t="str">
            <v>VIII-C2</v>
          </cell>
          <cell r="D9">
            <v>4172022.6</v>
          </cell>
          <cell r="E9" t="str">
            <v>IX-A1</v>
          </cell>
          <cell r="F9">
            <v>4322022.5999999996</v>
          </cell>
        </row>
        <row r="10">
          <cell r="A10" t="str">
            <v>VIII-B2</v>
          </cell>
          <cell r="B10">
            <v>4018482.6</v>
          </cell>
          <cell r="C10" t="str">
            <v>VIII-C1</v>
          </cell>
          <cell r="D10">
            <v>4095252.6</v>
          </cell>
          <cell r="E10" t="str">
            <v>VIII-C2</v>
          </cell>
          <cell r="F10">
            <v>4172022.6</v>
          </cell>
        </row>
        <row r="11">
          <cell r="A11" t="str">
            <v>VIII-B1</v>
          </cell>
          <cell r="B11">
            <v>3941712.6</v>
          </cell>
          <cell r="C11" t="str">
            <v>VIII-B2</v>
          </cell>
          <cell r="D11">
            <v>4018482.6</v>
          </cell>
          <cell r="E11" t="str">
            <v>VIII-C1</v>
          </cell>
          <cell r="F11">
            <v>4095252.6</v>
          </cell>
        </row>
        <row r="12">
          <cell r="A12" t="str">
            <v>VIII-A2</v>
          </cell>
          <cell r="B12">
            <v>3864942.6</v>
          </cell>
          <cell r="C12" t="str">
            <v>VIII-B1</v>
          </cell>
          <cell r="D12">
            <v>3941712.6</v>
          </cell>
          <cell r="E12" t="str">
            <v>VIII-B2</v>
          </cell>
          <cell r="F12">
            <v>4018482.6</v>
          </cell>
        </row>
        <row r="13">
          <cell r="A13" t="str">
            <v>VIII-A1</v>
          </cell>
          <cell r="B13">
            <v>3788172.6</v>
          </cell>
          <cell r="C13" t="str">
            <v>VIII-A2</v>
          </cell>
          <cell r="D13">
            <v>3864942.6</v>
          </cell>
          <cell r="E13" t="str">
            <v>VIII-B1</v>
          </cell>
          <cell r="F13">
            <v>3941712.6</v>
          </cell>
        </row>
        <row r="14">
          <cell r="A14" t="str">
            <v>VII-C2</v>
          </cell>
          <cell r="B14">
            <v>3648172.6</v>
          </cell>
          <cell r="C14" t="str">
            <v>VIII-A1</v>
          </cell>
          <cell r="D14">
            <v>3788172.6</v>
          </cell>
          <cell r="E14" t="str">
            <v>VIII-A2</v>
          </cell>
          <cell r="F14">
            <v>3864942.6</v>
          </cell>
        </row>
        <row r="15">
          <cell r="A15" t="str">
            <v>VII-C1</v>
          </cell>
          <cell r="B15">
            <v>3586756.6</v>
          </cell>
          <cell r="C15" t="str">
            <v>VII-C2</v>
          </cell>
          <cell r="D15">
            <v>3648172.6</v>
          </cell>
          <cell r="E15" t="str">
            <v>VIII-A1</v>
          </cell>
          <cell r="F15">
            <v>3788172.6</v>
          </cell>
        </row>
        <row r="16">
          <cell r="A16" t="str">
            <v>VII-B2</v>
          </cell>
          <cell r="B16">
            <v>3525340.6</v>
          </cell>
          <cell r="C16" t="str">
            <v>VII-C1</v>
          </cell>
          <cell r="D16">
            <v>3586756.6</v>
          </cell>
          <cell r="E16" t="str">
            <v>VII-C2</v>
          </cell>
          <cell r="F16">
            <v>3648172.6</v>
          </cell>
        </row>
        <row r="17">
          <cell r="A17" t="str">
            <v>VII-B1</v>
          </cell>
          <cell r="B17">
            <v>3463924.6</v>
          </cell>
          <cell r="C17" t="str">
            <v>VII-B2</v>
          </cell>
          <cell r="D17">
            <v>3525340.6</v>
          </cell>
          <cell r="E17" t="str">
            <v>VII-C1</v>
          </cell>
          <cell r="F17">
            <v>3586756.6</v>
          </cell>
        </row>
        <row r="18">
          <cell r="A18" t="str">
            <v>VII-A2</v>
          </cell>
          <cell r="B18">
            <v>3402508.6</v>
          </cell>
          <cell r="C18" t="str">
            <v>VII-B1</v>
          </cell>
          <cell r="D18">
            <v>3463924.6</v>
          </cell>
          <cell r="E18" t="str">
            <v>VII-B2</v>
          </cell>
          <cell r="F18">
            <v>3525340.6</v>
          </cell>
        </row>
        <row r="19">
          <cell r="A19" t="str">
            <v>VII-A1</v>
          </cell>
          <cell r="B19">
            <v>3341092.6</v>
          </cell>
          <cell r="C19" t="str">
            <v>VII-A2</v>
          </cell>
          <cell r="D19">
            <v>3402508.6</v>
          </cell>
          <cell r="E19" t="str">
            <v>VII-B1</v>
          </cell>
          <cell r="F19">
            <v>3463924.6</v>
          </cell>
        </row>
        <row r="20">
          <cell r="A20" t="str">
            <v>VI-C3</v>
          </cell>
          <cell r="B20">
            <v>3211092.6</v>
          </cell>
          <cell r="C20" t="str">
            <v>VII-A1</v>
          </cell>
          <cell r="D20">
            <v>3341092.6</v>
          </cell>
          <cell r="E20" t="str">
            <v>VII-A2</v>
          </cell>
          <cell r="F20">
            <v>3402508.6</v>
          </cell>
        </row>
        <row r="21">
          <cell r="A21" t="str">
            <v>VI-C2</v>
          </cell>
          <cell r="B21">
            <v>3154794.6</v>
          </cell>
          <cell r="C21" t="str">
            <v>VI-C3</v>
          </cell>
          <cell r="D21">
            <v>3211092.6</v>
          </cell>
          <cell r="E21" t="str">
            <v>VII-A1</v>
          </cell>
          <cell r="F21">
            <v>3341092.6</v>
          </cell>
        </row>
        <row r="22">
          <cell r="A22" t="str">
            <v>VI-C1</v>
          </cell>
          <cell r="B22">
            <v>3098496.6</v>
          </cell>
          <cell r="C22" t="str">
            <v>VI-C2</v>
          </cell>
          <cell r="D22">
            <v>3154794.6</v>
          </cell>
          <cell r="E22" t="str">
            <v>VI-C3</v>
          </cell>
          <cell r="F22">
            <v>3211092.6</v>
          </cell>
        </row>
        <row r="23">
          <cell r="A23" t="str">
            <v>VI-B3</v>
          </cell>
          <cell r="B23">
            <v>3042198.6</v>
          </cell>
          <cell r="C23" t="str">
            <v>VI-C1</v>
          </cell>
          <cell r="D23">
            <v>3098496.6</v>
          </cell>
          <cell r="E23" t="str">
            <v>VI-C2</v>
          </cell>
          <cell r="F23">
            <v>3154794.6</v>
          </cell>
        </row>
        <row r="24">
          <cell r="A24" t="str">
            <v>VI-B2</v>
          </cell>
          <cell r="B24">
            <v>2985900.6</v>
          </cell>
          <cell r="C24" t="str">
            <v>VI-B3</v>
          </cell>
          <cell r="D24">
            <v>3042198.6</v>
          </cell>
          <cell r="E24" t="str">
            <v>VI-C1</v>
          </cell>
          <cell r="F24">
            <v>3098496.6</v>
          </cell>
        </row>
        <row r="25">
          <cell r="A25" t="str">
            <v>VI-B1</v>
          </cell>
          <cell r="B25">
            <v>2929602.6</v>
          </cell>
          <cell r="C25" t="str">
            <v>VI-B2</v>
          </cell>
          <cell r="D25">
            <v>2985900.6</v>
          </cell>
          <cell r="E25" t="str">
            <v>VI-B3</v>
          </cell>
          <cell r="F25">
            <v>3042198.6</v>
          </cell>
        </row>
        <row r="26">
          <cell r="A26" t="str">
            <v>VI-A3</v>
          </cell>
          <cell r="B26">
            <v>2873304.6</v>
          </cell>
          <cell r="C26" t="str">
            <v>VI-B1</v>
          </cell>
          <cell r="D26">
            <v>2929602.6</v>
          </cell>
          <cell r="E26" t="str">
            <v>VI-B2</v>
          </cell>
          <cell r="F26">
            <v>2985900.6</v>
          </cell>
        </row>
        <row r="27">
          <cell r="A27" t="str">
            <v>VI-A2</v>
          </cell>
          <cell r="B27">
            <v>2817006.6</v>
          </cell>
          <cell r="C27" t="str">
            <v>VI-A3</v>
          </cell>
          <cell r="D27">
            <v>2873304.6</v>
          </cell>
          <cell r="E27" t="str">
            <v>VI-B1</v>
          </cell>
          <cell r="F27">
            <v>2929602.6</v>
          </cell>
        </row>
        <row r="28">
          <cell r="A28" t="str">
            <v>VI-A1</v>
          </cell>
          <cell r="B28">
            <v>2760708.6</v>
          </cell>
          <cell r="C28" t="str">
            <v>VI-A2</v>
          </cell>
          <cell r="D28">
            <v>2817006.6</v>
          </cell>
          <cell r="E28" t="str">
            <v>VI-A3</v>
          </cell>
          <cell r="F28">
            <v>2873304.6</v>
          </cell>
        </row>
        <row r="29">
          <cell r="A29" t="str">
            <v>V-C3</v>
          </cell>
          <cell r="B29">
            <v>2700708.6</v>
          </cell>
          <cell r="C29" t="str">
            <v>VI-A1</v>
          </cell>
          <cell r="D29">
            <v>2760708.6</v>
          </cell>
          <cell r="E29" t="str">
            <v>VI-A2</v>
          </cell>
          <cell r="F29">
            <v>2817006.6</v>
          </cell>
        </row>
        <row r="30">
          <cell r="A30" t="str">
            <v>V-C2</v>
          </cell>
          <cell r="B30">
            <v>2649528.6</v>
          </cell>
          <cell r="C30" t="str">
            <v>V-C3</v>
          </cell>
          <cell r="D30">
            <v>2700708.6</v>
          </cell>
          <cell r="E30" t="str">
            <v>VI-A1</v>
          </cell>
          <cell r="F30">
            <v>2760708.6</v>
          </cell>
        </row>
        <row r="31">
          <cell r="A31" t="str">
            <v>V-C1</v>
          </cell>
          <cell r="B31">
            <v>2598348.6</v>
          </cell>
          <cell r="C31" t="str">
            <v>V-C2</v>
          </cell>
          <cell r="D31">
            <v>2649528.6</v>
          </cell>
          <cell r="E31" t="str">
            <v>V-C3</v>
          </cell>
          <cell r="F31">
            <v>2700708.6</v>
          </cell>
        </row>
        <row r="32">
          <cell r="A32" t="str">
            <v>V-B3</v>
          </cell>
          <cell r="B32">
            <v>2547168.6</v>
          </cell>
          <cell r="C32" t="str">
            <v>V-C1</v>
          </cell>
          <cell r="D32">
            <v>2598348.6</v>
          </cell>
          <cell r="E32" t="str">
            <v>V-C2</v>
          </cell>
          <cell r="F32">
            <v>2649528.6</v>
          </cell>
        </row>
        <row r="33">
          <cell r="A33" t="str">
            <v>V-B2</v>
          </cell>
          <cell r="B33">
            <v>2495988.6</v>
          </cell>
          <cell r="C33" t="str">
            <v>V-B3</v>
          </cell>
          <cell r="D33">
            <v>2547168.6</v>
          </cell>
          <cell r="E33" t="str">
            <v>V-C1</v>
          </cell>
          <cell r="F33">
            <v>2598348.6</v>
          </cell>
        </row>
        <row r="34">
          <cell r="A34" t="str">
            <v>V-B1</v>
          </cell>
          <cell r="B34">
            <v>2444808.6</v>
          </cell>
          <cell r="C34" t="str">
            <v>V-B2</v>
          </cell>
          <cell r="D34">
            <v>2495988.6</v>
          </cell>
          <cell r="E34" t="str">
            <v>V-B3</v>
          </cell>
          <cell r="F34">
            <v>2547168.6</v>
          </cell>
        </row>
        <row r="35">
          <cell r="A35" t="str">
            <v>V-A3</v>
          </cell>
          <cell r="B35">
            <v>2393628.6</v>
          </cell>
          <cell r="C35" t="str">
            <v>V-B1</v>
          </cell>
          <cell r="D35">
            <v>2444808.6</v>
          </cell>
          <cell r="E35" t="str">
            <v>V-B2</v>
          </cell>
          <cell r="F35">
            <v>2495988.6</v>
          </cell>
        </row>
        <row r="36">
          <cell r="A36" t="str">
            <v>V-A2</v>
          </cell>
          <cell r="B36">
            <v>2342448.6</v>
          </cell>
          <cell r="C36" t="str">
            <v>V-A3</v>
          </cell>
          <cell r="D36">
            <v>2393628.6</v>
          </cell>
          <cell r="E36" t="str">
            <v>V-B1</v>
          </cell>
          <cell r="F36">
            <v>2444808.6</v>
          </cell>
        </row>
        <row r="37">
          <cell r="A37" t="str">
            <v>V-A1</v>
          </cell>
          <cell r="B37">
            <v>2291268.6</v>
          </cell>
          <cell r="C37" t="str">
            <v>V-A2</v>
          </cell>
          <cell r="D37">
            <v>2342448.6</v>
          </cell>
          <cell r="E37" t="str">
            <v>V-A3</v>
          </cell>
          <cell r="F37">
            <v>2393628.6</v>
          </cell>
        </row>
        <row r="38">
          <cell r="A38" t="str">
            <v>IV-C3</v>
          </cell>
          <cell r="B38">
            <v>2241268.6</v>
          </cell>
          <cell r="C38" t="str">
            <v>V-A1</v>
          </cell>
          <cell r="D38">
            <v>2291268.6</v>
          </cell>
          <cell r="E38" t="str">
            <v>V-A2</v>
          </cell>
          <cell r="F38">
            <v>2342448.6</v>
          </cell>
        </row>
        <row r="39">
          <cell r="A39" t="str">
            <v>IV-C2</v>
          </cell>
          <cell r="B39">
            <v>2195206.6</v>
          </cell>
          <cell r="C39" t="str">
            <v>IV-C3</v>
          </cell>
          <cell r="D39">
            <v>2241268.6</v>
          </cell>
          <cell r="E39" t="str">
            <v>V-A1</v>
          </cell>
          <cell r="F39">
            <v>2291268.6</v>
          </cell>
        </row>
        <row r="40">
          <cell r="A40" t="str">
            <v>IV-C1</v>
          </cell>
          <cell r="B40">
            <v>2149144.6</v>
          </cell>
          <cell r="C40" t="str">
            <v>IV-C2</v>
          </cell>
          <cell r="D40">
            <v>2195206.6</v>
          </cell>
          <cell r="E40" t="str">
            <v>IV-C3</v>
          </cell>
          <cell r="F40">
            <v>2241268.6</v>
          </cell>
        </row>
        <row r="41">
          <cell r="A41" t="str">
            <v>IV-B3</v>
          </cell>
          <cell r="B41">
            <v>2103082.6</v>
          </cell>
          <cell r="C41" t="str">
            <v>IV-C1</v>
          </cell>
          <cell r="D41">
            <v>2149144.6</v>
          </cell>
          <cell r="E41" t="str">
            <v>IV-C2</v>
          </cell>
          <cell r="F41">
            <v>2195206.6</v>
          </cell>
        </row>
        <row r="42">
          <cell r="A42" t="str">
            <v>IV-B2</v>
          </cell>
          <cell r="B42">
            <v>2057020.6</v>
          </cell>
          <cell r="C42" t="str">
            <v>IV-B3</v>
          </cell>
          <cell r="D42">
            <v>2103082.6</v>
          </cell>
          <cell r="E42" t="str">
            <v>IV-C1</v>
          </cell>
          <cell r="F42">
            <v>2149144.6</v>
          </cell>
        </row>
        <row r="43">
          <cell r="A43" t="str">
            <v>IV-B1</v>
          </cell>
          <cell r="B43">
            <v>2010958.6</v>
          </cell>
          <cell r="C43" t="str">
            <v>IV-B2</v>
          </cell>
          <cell r="D43">
            <v>2057020.6</v>
          </cell>
          <cell r="E43" t="str">
            <v>IV-B3</v>
          </cell>
          <cell r="F43">
            <v>2103082.6</v>
          </cell>
        </row>
        <row r="44">
          <cell r="A44" t="str">
            <v>IV-A3</v>
          </cell>
          <cell r="B44">
            <v>1964896.6</v>
          </cell>
          <cell r="C44" t="str">
            <v>IV-B1</v>
          </cell>
          <cell r="D44">
            <v>2010958.6</v>
          </cell>
          <cell r="E44" t="str">
            <v>IV-B2</v>
          </cell>
          <cell r="F44">
            <v>2057020.6</v>
          </cell>
        </row>
        <row r="45">
          <cell r="A45" t="str">
            <v>IV-A2</v>
          </cell>
          <cell r="B45">
            <v>1918834.6</v>
          </cell>
          <cell r="C45" t="str">
            <v>IV-A3</v>
          </cell>
          <cell r="D45">
            <v>1964896.6</v>
          </cell>
          <cell r="E45" t="str">
            <v>IV-B1</v>
          </cell>
          <cell r="F45">
            <v>2010958.6</v>
          </cell>
        </row>
        <row r="46">
          <cell r="A46" t="str">
            <v>IV-A1</v>
          </cell>
          <cell r="B46">
            <v>1872772.6</v>
          </cell>
          <cell r="C46" t="str">
            <v>IV-A2</v>
          </cell>
          <cell r="D46">
            <v>1918834.6</v>
          </cell>
          <cell r="E46" t="str">
            <v>IV-A3</v>
          </cell>
          <cell r="F46">
            <v>1964896.6</v>
          </cell>
        </row>
        <row r="47">
          <cell r="A47" t="str">
            <v>III-D3</v>
          </cell>
          <cell r="B47">
            <v>1722772.6</v>
          </cell>
          <cell r="C47" t="str">
            <v>IV-A1</v>
          </cell>
          <cell r="D47">
            <v>1872772.6</v>
          </cell>
          <cell r="E47" t="str">
            <v>IV-A2</v>
          </cell>
          <cell r="F47">
            <v>1918834.6</v>
          </cell>
        </row>
        <row r="48">
          <cell r="A48" t="str">
            <v>III-D2</v>
          </cell>
          <cell r="B48">
            <v>1686946.6</v>
          </cell>
          <cell r="C48" t="str">
            <v>III-D3</v>
          </cell>
          <cell r="D48">
            <v>1722772.6</v>
          </cell>
          <cell r="E48" t="str">
            <v>IV-A1</v>
          </cell>
          <cell r="F48">
            <v>1872772.6</v>
          </cell>
        </row>
        <row r="49">
          <cell r="A49" t="str">
            <v>III-D1</v>
          </cell>
          <cell r="B49">
            <v>1651120.6</v>
          </cell>
          <cell r="C49" t="str">
            <v>III-D2</v>
          </cell>
          <cell r="D49">
            <v>1686946.6</v>
          </cell>
          <cell r="E49" t="str">
            <v>III-D3</v>
          </cell>
          <cell r="F49">
            <v>1722772.6</v>
          </cell>
        </row>
        <row r="50">
          <cell r="A50" t="str">
            <v>III-C3</v>
          </cell>
          <cell r="B50">
            <v>1615294.6</v>
          </cell>
          <cell r="C50" t="str">
            <v>III-D1</v>
          </cell>
          <cell r="D50">
            <v>1651120.6</v>
          </cell>
          <cell r="E50" t="str">
            <v>III-D2</v>
          </cell>
          <cell r="F50">
            <v>1686946.6</v>
          </cell>
        </row>
        <row r="51">
          <cell r="A51" t="str">
            <v>III-C2</v>
          </cell>
          <cell r="B51">
            <v>1579468.6</v>
          </cell>
          <cell r="C51" t="str">
            <v>III-C3</v>
          </cell>
          <cell r="D51">
            <v>1615294.6</v>
          </cell>
          <cell r="E51" t="str">
            <v>III-D1</v>
          </cell>
          <cell r="F51">
            <v>1651120.6</v>
          </cell>
        </row>
        <row r="52">
          <cell r="A52" t="str">
            <v>III-C1</v>
          </cell>
          <cell r="B52">
            <v>1543642.6</v>
          </cell>
          <cell r="C52" t="str">
            <v>III-C2</v>
          </cell>
          <cell r="D52">
            <v>1579468.6</v>
          </cell>
          <cell r="E52" t="str">
            <v>III-C3</v>
          </cell>
          <cell r="F52">
            <v>1615294.6</v>
          </cell>
        </row>
        <row r="53">
          <cell r="A53" t="str">
            <v>III-B3</v>
          </cell>
          <cell r="B53">
            <v>1507816.6</v>
          </cell>
          <cell r="C53" t="str">
            <v>III-C1</v>
          </cell>
          <cell r="D53">
            <v>1543642.6</v>
          </cell>
          <cell r="E53" t="str">
            <v>III-C2</v>
          </cell>
          <cell r="F53">
            <v>1579468.6</v>
          </cell>
        </row>
        <row r="54">
          <cell r="A54" t="str">
            <v>III-B2</v>
          </cell>
          <cell r="B54">
            <v>1471990.6</v>
          </cell>
          <cell r="C54" t="str">
            <v>III-B3</v>
          </cell>
          <cell r="D54">
            <v>1507816.6</v>
          </cell>
          <cell r="E54" t="str">
            <v>III-C1</v>
          </cell>
          <cell r="F54">
            <v>1543642.6</v>
          </cell>
        </row>
        <row r="55">
          <cell r="A55" t="str">
            <v>III-B1</v>
          </cell>
          <cell r="B55">
            <v>1436164.6</v>
          </cell>
          <cell r="C55" t="str">
            <v>III-B2</v>
          </cell>
          <cell r="D55">
            <v>1471990.6</v>
          </cell>
          <cell r="E55" t="str">
            <v>III-B3</v>
          </cell>
          <cell r="F55">
            <v>1507816.6</v>
          </cell>
        </row>
        <row r="56">
          <cell r="A56" t="str">
            <v>III-A3</v>
          </cell>
          <cell r="B56">
            <v>1400338.6</v>
          </cell>
          <cell r="C56" t="str">
            <v>III-B1</v>
          </cell>
          <cell r="D56">
            <v>1436164.6</v>
          </cell>
          <cell r="E56" t="str">
            <v>III-B2</v>
          </cell>
          <cell r="F56">
            <v>1471990.6</v>
          </cell>
        </row>
        <row r="57">
          <cell r="A57" t="str">
            <v>III-A2</v>
          </cell>
          <cell r="B57">
            <v>1364512.6</v>
          </cell>
          <cell r="C57" t="str">
            <v>III-A3</v>
          </cell>
          <cell r="D57">
            <v>1400338.6</v>
          </cell>
          <cell r="E57" t="str">
            <v>III-B1</v>
          </cell>
          <cell r="F57">
            <v>1436164.6</v>
          </cell>
        </row>
        <row r="58">
          <cell r="A58" t="str">
            <v>III-A1</v>
          </cell>
          <cell r="B58">
            <v>1328686.6000000001</v>
          </cell>
          <cell r="C58" t="str">
            <v>III-A2</v>
          </cell>
          <cell r="D58">
            <v>1364512.6</v>
          </cell>
          <cell r="E58" t="str">
            <v>III-A3</v>
          </cell>
          <cell r="F58">
            <v>1400338.6</v>
          </cell>
        </row>
        <row r="59">
          <cell r="A59" t="str">
            <v>II-D3</v>
          </cell>
          <cell r="B59">
            <v>1288686.6000000001</v>
          </cell>
          <cell r="C59" t="str">
            <v>III-A1</v>
          </cell>
          <cell r="D59">
            <v>1328686.6000000001</v>
          </cell>
          <cell r="E59" t="str">
            <v>III-A2</v>
          </cell>
          <cell r="F59">
            <v>1364512.6</v>
          </cell>
        </row>
        <row r="60">
          <cell r="A60" t="str">
            <v>II-D2</v>
          </cell>
          <cell r="B60">
            <v>1257978.6000000001</v>
          </cell>
          <cell r="C60" t="str">
            <v>II-D3</v>
          </cell>
          <cell r="D60">
            <v>1288686.6000000001</v>
          </cell>
          <cell r="E60" t="str">
            <v>III-A1</v>
          </cell>
          <cell r="F60">
            <v>1328686.6000000001</v>
          </cell>
        </row>
        <row r="61">
          <cell r="A61" t="str">
            <v>II-D1</v>
          </cell>
          <cell r="B61">
            <v>1227270.6000000001</v>
          </cell>
          <cell r="C61" t="str">
            <v>II-D2</v>
          </cell>
          <cell r="D61">
            <v>1257978.6000000001</v>
          </cell>
          <cell r="E61" t="str">
            <v>II-D3</v>
          </cell>
          <cell r="F61">
            <v>1288686.6000000001</v>
          </cell>
        </row>
        <row r="62">
          <cell r="A62" t="str">
            <v>II-C3</v>
          </cell>
          <cell r="B62">
            <v>1196562.6000000001</v>
          </cell>
          <cell r="C62" t="str">
            <v>II-D1</v>
          </cell>
          <cell r="D62">
            <v>1227270.6000000001</v>
          </cell>
          <cell r="E62" t="str">
            <v>II-D2</v>
          </cell>
          <cell r="F62">
            <v>1257978.6000000001</v>
          </cell>
        </row>
        <row r="63">
          <cell r="A63" t="str">
            <v>II-C2</v>
          </cell>
          <cell r="B63">
            <v>1165854.6000000001</v>
          </cell>
          <cell r="C63" t="str">
            <v>II-C3</v>
          </cell>
          <cell r="D63">
            <v>1196562.6000000001</v>
          </cell>
          <cell r="E63" t="str">
            <v>II-D1</v>
          </cell>
          <cell r="F63">
            <v>1227270.6000000001</v>
          </cell>
        </row>
        <row r="64">
          <cell r="A64" t="str">
            <v>II-C1</v>
          </cell>
          <cell r="B64">
            <v>1135146.6000000001</v>
          </cell>
          <cell r="C64" t="str">
            <v>II-C2</v>
          </cell>
          <cell r="D64">
            <v>1165854.6000000001</v>
          </cell>
          <cell r="E64" t="str">
            <v>II-C3</v>
          </cell>
          <cell r="F64">
            <v>1196562.6000000001</v>
          </cell>
        </row>
        <row r="65">
          <cell r="A65" t="str">
            <v>II-B3</v>
          </cell>
          <cell r="B65">
            <v>1104438.6000000001</v>
          </cell>
          <cell r="C65" t="str">
            <v>II-C1</v>
          </cell>
          <cell r="D65">
            <v>1135146.6000000001</v>
          </cell>
          <cell r="E65" t="str">
            <v>II-C2</v>
          </cell>
          <cell r="F65">
            <v>1165854.6000000001</v>
          </cell>
        </row>
        <row r="66">
          <cell r="A66" t="str">
            <v>II-B2</v>
          </cell>
          <cell r="B66">
            <v>1073730.6000000001</v>
          </cell>
          <cell r="C66" t="str">
            <v>II-B3</v>
          </cell>
          <cell r="D66">
            <v>1104438.6000000001</v>
          </cell>
          <cell r="E66" t="str">
            <v>II-C1</v>
          </cell>
          <cell r="F66">
            <v>1135146.6000000001</v>
          </cell>
        </row>
        <row r="67">
          <cell r="A67" t="str">
            <v>II-B1</v>
          </cell>
          <cell r="B67">
            <v>1043022.6</v>
          </cell>
          <cell r="C67" t="str">
            <v>II-B2</v>
          </cell>
          <cell r="D67">
            <v>1073730.6000000001</v>
          </cell>
          <cell r="E67" t="str">
            <v>II-B3</v>
          </cell>
          <cell r="F67">
            <v>1104438.6000000001</v>
          </cell>
        </row>
        <row r="68">
          <cell r="A68" t="str">
            <v>II-A3</v>
          </cell>
          <cell r="B68">
            <v>1012314.6</v>
          </cell>
          <cell r="C68" t="str">
            <v>II-B1</v>
          </cell>
          <cell r="D68">
            <v>1043022.6</v>
          </cell>
          <cell r="E68" t="str">
            <v>II-B2</v>
          </cell>
          <cell r="F68">
            <v>1073730.6000000001</v>
          </cell>
        </row>
        <row r="69">
          <cell r="A69" t="str">
            <v>II-A2</v>
          </cell>
          <cell r="B69">
            <v>981606.6</v>
          </cell>
          <cell r="C69" t="str">
            <v>II-A3</v>
          </cell>
          <cell r="D69">
            <v>1012314.6</v>
          </cell>
          <cell r="E69" t="str">
            <v>II-B1</v>
          </cell>
          <cell r="F69">
            <v>1043022.6</v>
          </cell>
        </row>
        <row r="70">
          <cell r="A70" t="str">
            <v>II-A1</v>
          </cell>
          <cell r="B70">
            <v>950898.6</v>
          </cell>
          <cell r="C70" t="str">
            <v>II-A2</v>
          </cell>
          <cell r="D70">
            <v>981606.6</v>
          </cell>
          <cell r="E70" t="str">
            <v>II-A3</v>
          </cell>
          <cell r="F70">
            <v>1012314.6</v>
          </cell>
        </row>
        <row r="71">
          <cell r="A71" t="str">
            <v>I-D3</v>
          </cell>
          <cell r="B71">
            <v>920898.6</v>
          </cell>
          <cell r="C71" t="str">
            <v>II-A1</v>
          </cell>
          <cell r="D71">
            <v>950898.6</v>
          </cell>
          <cell r="E71" t="str">
            <v>II-A2</v>
          </cell>
          <cell r="F71">
            <v>981606.6</v>
          </cell>
        </row>
        <row r="72">
          <cell r="A72" t="str">
            <v>I-D2</v>
          </cell>
          <cell r="B72">
            <v>891726</v>
          </cell>
          <cell r="C72" t="str">
            <v>I-D3</v>
          </cell>
          <cell r="D72">
            <v>920898.6</v>
          </cell>
          <cell r="E72" t="str">
            <v>II-A1</v>
          </cell>
          <cell r="F72">
            <v>950898.6</v>
          </cell>
        </row>
        <row r="73">
          <cell r="A73" t="str">
            <v>I-D1</v>
          </cell>
          <cell r="B73">
            <v>862553.4</v>
          </cell>
          <cell r="C73" t="str">
            <v>I-D2</v>
          </cell>
          <cell r="D73">
            <v>891726</v>
          </cell>
          <cell r="E73" t="str">
            <v>I-D3</v>
          </cell>
          <cell r="F73">
            <v>920898.6</v>
          </cell>
        </row>
        <row r="74">
          <cell r="A74" t="str">
            <v>I-C3</v>
          </cell>
          <cell r="B74">
            <v>833380.8</v>
          </cell>
          <cell r="C74" t="str">
            <v>I-D1</v>
          </cell>
          <cell r="D74">
            <v>862553.4</v>
          </cell>
          <cell r="E74" t="str">
            <v>I-D2</v>
          </cell>
          <cell r="F74">
            <v>891726</v>
          </cell>
        </row>
        <row r="75">
          <cell r="A75" t="str">
            <v>I-C2</v>
          </cell>
          <cell r="B75">
            <v>804208.2</v>
          </cell>
          <cell r="C75" t="str">
            <v>I-C3</v>
          </cell>
          <cell r="D75">
            <v>833380.8</v>
          </cell>
          <cell r="E75" t="str">
            <v>I-D1</v>
          </cell>
          <cell r="F75">
            <v>862553.4</v>
          </cell>
        </row>
        <row r="76">
          <cell r="A76" t="str">
            <v>I-C1</v>
          </cell>
          <cell r="B76">
            <v>775035.6</v>
          </cell>
          <cell r="C76" t="str">
            <v>I-C2</v>
          </cell>
          <cell r="D76">
            <v>804208.2</v>
          </cell>
          <cell r="E76" t="str">
            <v>I-C3</v>
          </cell>
          <cell r="F76">
            <v>833380.8</v>
          </cell>
        </row>
        <row r="77">
          <cell r="A77" t="str">
            <v>I-B3</v>
          </cell>
          <cell r="B77">
            <v>745863</v>
          </cell>
          <cell r="C77" t="str">
            <v>I-C1</v>
          </cell>
          <cell r="D77">
            <v>775035.6</v>
          </cell>
          <cell r="E77" t="str">
            <v>I-C2</v>
          </cell>
          <cell r="F77">
            <v>804208.2</v>
          </cell>
        </row>
        <row r="78">
          <cell r="A78" t="str">
            <v>I-B2</v>
          </cell>
          <cell r="B78">
            <v>716690.4</v>
          </cell>
          <cell r="C78" t="str">
            <v>I-B3</v>
          </cell>
          <cell r="D78">
            <v>745863</v>
          </cell>
          <cell r="E78" t="str">
            <v>I-C1</v>
          </cell>
          <cell r="F78">
            <v>775035.6</v>
          </cell>
        </row>
        <row r="79">
          <cell r="A79" t="str">
            <v>I-B1</v>
          </cell>
          <cell r="B79">
            <v>687517.8</v>
          </cell>
          <cell r="C79" t="str">
            <v>I-B2</v>
          </cell>
          <cell r="D79">
            <v>716690.4</v>
          </cell>
          <cell r="E79" t="str">
            <v>I-B3</v>
          </cell>
          <cell r="F79">
            <v>745863</v>
          </cell>
        </row>
        <row r="80">
          <cell r="A80" t="str">
            <v>I-A3</v>
          </cell>
          <cell r="B80">
            <v>658345.19999999995</v>
          </cell>
          <cell r="C80" t="str">
            <v>I-B1</v>
          </cell>
          <cell r="D80">
            <v>687517.8</v>
          </cell>
          <cell r="E80" t="str">
            <v>I-B2</v>
          </cell>
          <cell r="F80">
            <v>716690.4</v>
          </cell>
        </row>
        <row r="81">
          <cell r="A81" t="str">
            <v>I-A2</v>
          </cell>
          <cell r="B81">
            <v>629172.6</v>
          </cell>
          <cell r="C81" t="str">
            <v>I-A3</v>
          </cell>
          <cell r="D81">
            <v>658345.19999999995</v>
          </cell>
          <cell r="E81" t="str">
            <v>I-B1</v>
          </cell>
          <cell r="F81">
            <v>687517.8</v>
          </cell>
        </row>
        <row r="82">
          <cell r="A82" t="str">
            <v>I-A1</v>
          </cell>
          <cell r="B82">
            <v>600000</v>
          </cell>
          <cell r="C82" t="str">
            <v>I-A2</v>
          </cell>
          <cell r="D82">
            <v>629172.6</v>
          </cell>
          <cell r="E82" t="str">
            <v>I-A3</v>
          </cell>
          <cell r="F82">
            <v>658345.19999999995</v>
          </cell>
        </row>
        <row r="83">
          <cell r="C83" t="str">
            <v>I-A1</v>
          </cell>
          <cell r="D83">
            <v>600000</v>
          </cell>
          <cell r="E83" t="str">
            <v>I-A2</v>
          </cell>
          <cell r="F83">
            <v>629172.6</v>
          </cell>
        </row>
        <row r="84">
          <cell r="E84" t="str">
            <v>I-A1</v>
          </cell>
          <cell r="F84">
            <v>600000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IWANGAN"/>
      <sheetName val="MADIDIHANG"/>
      <sheetName val="SEMUMU"/>
      <sheetName val="SAGORI"/>
      <sheetName val="Sheet3"/>
      <sheetName val="RL_SAGORI"/>
      <sheetName val="TDR-DRT 2014"/>
      <sheetName val="Tarif"/>
      <sheetName val="#REF!"/>
      <sheetName val="Diproses Oleh Mario"/>
      <sheetName val="Sheet1"/>
      <sheetName val="Realisasi"/>
      <sheetName val="kontrak"/>
      <sheetName val="Tambahan kapal"/>
      <sheetName val="Tambahan kapal (2)"/>
      <sheetName val="Pertamina"/>
      <sheetName val="realisasi 14agust"/>
      <sheetName val="Kontrak Garopa"/>
      <sheetName val="DOCKING LIST ."/>
      <sheetName val="S'note Induk"/>
      <sheetName val="Biaya Realisasi"/>
      <sheetName val="Tambahan keseluruhan"/>
      <sheetName val="Pertamina (2)"/>
      <sheetName val="Realisasi (3)"/>
      <sheetName val="Sheet2"/>
      <sheetName val="Sheet1 (2)"/>
      <sheetName val="TDR-DRT_20149"/>
      <sheetName val="TDR-DRT_2014"/>
      <sheetName val="TDR-DRT_20141"/>
      <sheetName val="TDR-DRT_20142"/>
      <sheetName val="TDR-DRT_20143"/>
      <sheetName val="TDR-DRT_20144"/>
      <sheetName val="TDR-DRT_20145"/>
      <sheetName val="TDR-DRT_20147"/>
      <sheetName val="TDR-DRT_20146"/>
      <sheetName val="TDR-DRT_20148"/>
      <sheetName val="TDR-DRT_201410"/>
    </sheetNames>
    <sheetDataSet>
      <sheetData sheetId="0">
        <row r="116">
          <cell r="L116">
            <v>86679000</v>
          </cell>
        </row>
      </sheetData>
      <sheetData sheetId="1">
        <row r="116">
          <cell r="L116">
            <v>86679000</v>
          </cell>
        </row>
      </sheetData>
      <sheetData sheetId="2">
        <row r="116">
          <cell r="L116">
            <v>86679000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1D2C-EC79-4DB8-B3D4-7F80DB3388B0}">
  <sheetPr>
    <tabColor rgb="FF00B050"/>
  </sheetPr>
  <dimension ref="B1:AA53"/>
  <sheetViews>
    <sheetView tabSelected="1" topLeftCell="A5" zoomScale="65" workbookViewId="0">
      <selection activeCell="O23" sqref="O23"/>
    </sheetView>
  </sheetViews>
  <sheetFormatPr defaultColWidth="9.1796875" defaultRowHeight="12.5"/>
  <cols>
    <col min="1" max="1" width="2.26953125" style="36" customWidth="1"/>
    <col min="2" max="2" width="5.26953125" style="36" customWidth="1"/>
    <col min="3" max="3" width="27.81640625" style="34" customWidth="1"/>
    <col min="4" max="4" width="12.1796875" style="34" customWidth="1"/>
    <col min="5" max="5" width="15.81640625" style="37" customWidth="1"/>
    <col min="6" max="6" width="5.54296875" style="38" customWidth="1"/>
    <col min="7" max="7" width="5.453125" style="38" customWidth="1"/>
    <col min="8" max="8" width="5.7265625" style="38" customWidth="1"/>
    <col min="9" max="9" width="5.54296875" style="38" customWidth="1"/>
    <col min="10" max="10" width="5.26953125" style="47" customWidth="1"/>
    <col min="11" max="11" width="5.1796875" style="38" customWidth="1"/>
    <col min="12" max="13" width="5" style="38" customWidth="1"/>
    <col min="14" max="14" width="5.1796875" style="38" customWidth="1"/>
    <col min="15" max="16" width="5.26953125" style="38" customWidth="1"/>
    <col min="17" max="17" width="5.54296875" style="38" customWidth="1"/>
    <col min="18" max="18" width="15.7265625" style="36" customWidth="1"/>
    <col min="19" max="19" width="16.1796875" style="36" customWidth="1"/>
    <col min="20" max="20" width="10.81640625" style="36" customWidth="1"/>
    <col min="21" max="22" width="16.26953125" style="38" bestFit="1" customWidth="1"/>
    <col min="23" max="25" width="7.6328125" style="36" bestFit="1" customWidth="1"/>
    <col min="26" max="26" width="25.26953125" style="36" customWidth="1"/>
    <col min="27" max="27" width="20.26953125" style="36" customWidth="1"/>
    <col min="28" max="16384" width="9.1796875" style="36"/>
  </cols>
  <sheetData>
    <row r="1" spans="2:27" s="1" customFormat="1" ht="18" customHeight="1">
      <c r="B1" s="99" t="s">
        <v>93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8"/>
      <c r="V1" s="98"/>
      <c r="W1" s="98"/>
      <c r="X1" s="58"/>
    </row>
    <row r="2" spans="2:27" s="1" customFormat="1" ht="18" customHeight="1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8"/>
      <c r="V2" s="98"/>
      <c r="W2" s="98"/>
      <c r="X2" s="58"/>
    </row>
    <row r="3" spans="2:27" s="6" customFormat="1" ht="24" customHeight="1">
      <c r="B3" s="2"/>
      <c r="C3" s="3"/>
      <c r="D3" s="3"/>
      <c r="E3" s="3"/>
      <c r="F3" s="4"/>
      <c r="G3" s="4"/>
      <c r="H3" s="4"/>
      <c r="I3" s="4"/>
      <c r="J3" s="42" t="s">
        <v>92</v>
      </c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7" s="6" customFormat="1" ht="24" customHeight="1">
      <c r="B4" s="2"/>
      <c r="C4" s="3"/>
      <c r="D4" s="3"/>
      <c r="E4" s="3"/>
      <c r="F4" s="4"/>
      <c r="G4" s="4"/>
      <c r="H4" s="4"/>
      <c r="I4" s="4"/>
      <c r="J4" s="42"/>
      <c r="K4" s="5"/>
      <c r="L4" s="5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7" s="10" customFormat="1" ht="41.5" customHeight="1">
      <c r="B5" s="101" t="s">
        <v>0</v>
      </c>
      <c r="C5" s="103" t="s">
        <v>1</v>
      </c>
      <c r="D5" s="103" t="s">
        <v>11</v>
      </c>
      <c r="E5" s="105" t="s">
        <v>12</v>
      </c>
      <c r="F5" s="107" t="s">
        <v>13</v>
      </c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9"/>
      <c r="R5" s="7"/>
      <c r="S5" s="8"/>
      <c r="T5" s="9"/>
      <c r="U5" s="100" t="s">
        <v>51</v>
      </c>
      <c r="V5" s="100"/>
      <c r="W5" s="100" t="s">
        <v>78</v>
      </c>
      <c r="X5" s="100"/>
      <c r="Y5" s="100"/>
      <c r="Z5" s="100" t="s">
        <v>52</v>
      </c>
      <c r="AA5" s="100" t="s">
        <v>53</v>
      </c>
    </row>
    <row r="6" spans="2:27" s="10" customFormat="1" ht="66.75" customHeight="1">
      <c r="B6" s="102"/>
      <c r="C6" s="104"/>
      <c r="D6" s="104"/>
      <c r="E6" s="106"/>
      <c r="F6" s="11" t="s">
        <v>2</v>
      </c>
      <c r="G6" s="11" t="s">
        <v>3</v>
      </c>
      <c r="H6" s="11" t="s">
        <v>4</v>
      </c>
      <c r="I6" s="11" t="s">
        <v>5</v>
      </c>
      <c r="J6" s="67" t="s">
        <v>6</v>
      </c>
      <c r="K6" s="11" t="s">
        <v>7</v>
      </c>
      <c r="L6" s="11" t="s">
        <v>8</v>
      </c>
      <c r="M6" s="11" t="s">
        <v>14</v>
      </c>
      <c r="N6" s="11" t="s">
        <v>15</v>
      </c>
      <c r="O6" s="11" t="s">
        <v>9</v>
      </c>
      <c r="P6" s="11" t="s">
        <v>16</v>
      </c>
      <c r="Q6" s="11" t="s">
        <v>10</v>
      </c>
      <c r="R6" s="12" t="s">
        <v>49</v>
      </c>
      <c r="S6" s="12" t="s">
        <v>111</v>
      </c>
      <c r="T6" s="13" t="s">
        <v>76</v>
      </c>
      <c r="U6" s="65" t="s">
        <v>50</v>
      </c>
      <c r="V6" s="65" t="s">
        <v>54</v>
      </c>
      <c r="W6" s="66" t="s">
        <v>55</v>
      </c>
      <c r="X6" s="66" t="s">
        <v>57</v>
      </c>
      <c r="Y6" s="66" t="s">
        <v>58</v>
      </c>
      <c r="Z6" s="100"/>
      <c r="AA6" s="100"/>
    </row>
    <row r="7" spans="2:27" s="10" customFormat="1" ht="12.75" hidden="1" customHeight="1">
      <c r="B7" s="59"/>
      <c r="C7" s="60" t="s">
        <v>17</v>
      </c>
      <c r="D7" s="60"/>
      <c r="E7" s="61"/>
      <c r="F7" s="14"/>
      <c r="G7" s="14"/>
      <c r="H7" s="15"/>
      <c r="I7" s="14"/>
      <c r="J7" s="68"/>
      <c r="K7" s="51"/>
      <c r="L7" s="14"/>
      <c r="M7" s="15"/>
      <c r="N7" s="14"/>
      <c r="O7" s="14"/>
      <c r="P7" s="14"/>
      <c r="Q7" s="14"/>
      <c r="R7" s="12"/>
      <c r="S7" s="12"/>
      <c r="T7" s="12"/>
      <c r="U7" s="63"/>
      <c r="V7" s="64">
        <v>45650</v>
      </c>
      <c r="W7" s="63"/>
      <c r="X7" s="63"/>
      <c r="Y7" s="63"/>
      <c r="Z7" s="63"/>
      <c r="AA7" s="63"/>
    </row>
    <row r="8" spans="2:27" s="10" customFormat="1" ht="15.75" hidden="1" customHeight="1">
      <c r="B8" s="39">
        <f>B6+1</f>
        <v>1</v>
      </c>
      <c r="C8" s="40" t="s">
        <v>18</v>
      </c>
      <c r="D8" s="40" t="s">
        <v>17</v>
      </c>
      <c r="E8" s="17" t="s">
        <v>19</v>
      </c>
      <c r="F8" s="54"/>
      <c r="G8" s="54"/>
      <c r="H8" s="54"/>
      <c r="I8" s="69"/>
      <c r="J8" s="54"/>
      <c r="K8" s="51"/>
      <c r="L8" s="52"/>
      <c r="M8" s="53" t="s">
        <v>20</v>
      </c>
      <c r="N8" s="52"/>
      <c r="O8" s="52"/>
      <c r="P8" s="54"/>
      <c r="Q8" s="18"/>
      <c r="R8" s="48">
        <v>44044</v>
      </c>
      <c r="S8" s="55"/>
      <c r="T8" s="56"/>
      <c r="U8" s="63"/>
      <c r="V8" s="64">
        <v>44625</v>
      </c>
      <c r="W8" s="63"/>
      <c r="X8" s="63"/>
      <c r="Y8" s="63"/>
      <c r="Z8" s="63"/>
      <c r="AA8" s="63"/>
    </row>
    <row r="9" spans="2:27" s="10" customFormat="1" ht="15.75" hidden="1" customHeight="1">
      <c r="B9" s="39">
        <f>B8+1</f>
        <v>2</v>
      </c>
      <c r="C9" s="40" t="s">
        <v>21</v>
      </c>
      <c r="D9" s="40" t="s">
        <v>17</v>
      </c>
      <c r="E9" s="17" t="s">
        <v>22</v>
      </c>
      <c r="F9" s="54"/>
      <c r="G9" s="54"/>
      <c r="H9" s="54"/>
      <c r="I9" s="69"/>
      <c r="J9" s="54"/>
      <c r="K9" s="54"/>
      <c r="L9" s="54"/>
      <c r="M9" s="51"/>
      <c r="N9" s="52"/>
      <c r="O9" s="53" t="s">
        <v>20</v>
      </c>
      <c r="P9" s="19"/>
      <c r="Q9" s="18"/>
      <c r="R9" s="48">
        <v>43733</v>
      </c>
      <c r="S9" s="55"/>
      <c r="T9" s="56"/>
      <c r="U9" s="63"/>
      <c r="V9" s="64">
        <v>44429</v>
      </c>
      <c r="W9" s="63"/>
      <c r="X9" s="63"/>
      <c r="Y9" s="63"/>
      <c r="Z9" s="63"/>
      <c r="AA9" s="63"/>
    </row>
    <row r="10" spans="2:27" s="10" customFormat="1" ht="15.75" hidden="1" customHeight="1">
      <c r="B10" s="39">
        <f>B9+1</f>
        <v>3</v>
      </c>
      <c r="C10" s="57" t="s">
        <v>23</v>
      </c>
      <c r="D10" s="57" t="s">
        <v>17</v>
      </c>
      <c r="E10" s="57" t="s">
        <v>24</v>
      </c>
      <c r="F10" s="54"/>
      <c r="G10" s="54"/>
      <c r="H10" s="54"/>
      <c r="I10" s="69"/>
      <c r="J10" s="54"/>
      <c r="K10" s="54"/>
      <c r="L10" s="54"/>
      <c r="M10" s="51"/>
      <c r="N10" s="53" t="s">
        <v>20</v>
      </c>
      <c r="O10" s="50"/>
      <c r="P10" s="54"/>
      <c r="Q10" s="18"/>
      <c r="R10" s="48">
        <v>43392</v>
      </c>
      <c r="S10" s="55"/>
      <c r="T10" s="56"/>
      <c r="U10" s="63"/>
      <c r="V10" s="64">
        <v>45893</v>
      </c>
      <c r="W10" s="63"/>
      <c r="X10" s="63"/>
      <c r="Y10" s="63"/>
      <c r="Z10" s="63"/>
      <c r="AA10" s="63"/>
    </row>
    <row r="11" spans="2:27" s="10" customFormat="1" ht="15.75" customHeight="1">
      <c r="B11" s="16"/>
      <c r="C11" s="60" t="s">
        <v>62</v>
      </c>
      <c r="D11" s="20"/>
      <c r="E11" s="21"/>
      <c r="F11" s="54"/>
      <c r="G11" s="54"/>
      <c r="H11" s="54"/>
      <c r="I11" s="69"/>
      <c r="J11" s="54"/>
      <c r="K11" s="54"/>
      <c r="L11" s="54"/>
      <c r="M11" s="54"/>
      <c r="N11" s="54"/>
      <c r="O11" s="54"/>
      <c r="P11" s="54"/>
      <c r="Q11" s="18"/>
      <c r="R11" s="55"/>
      <c r="S11" s="55"/>
      <c r="T11" s="56"/>
      <c r="U11" s="63"/>
      <c r="V11" s="64"/>
      <c r="W11" s="63"/>
      <c r="X11" s="63"/>
      <c r="Y11" s="63"/>
      <c r="Z11" s="63"/>
      <c r="AA11" s="63"/>
    </row>
    <row r="12" spans="2:27" s="10" customFormat="1" ht="25" customHeight="1">
      <c r="B12" s="70">
        <v>1</v>
      </c>
      <c r="C12" s="40" t="s">
        <v>91</v>
      </c>
      <c r="D12" s="40" t="s">
        <v>62</v>
      </c>
      <c r="E12" s="17" t="s">
        <v>22</v>
      </c>
      <c r="F12" s="71" t="s">
        <v>20</v>
      </c>
      <c r="G12" s="72"/>
      <c r="H12" s="72"/>
      <c r="I12" s="72"/>
      <c r="J12" s="72"/>
      <c r="K12" s="72"/>
      <c r="L12" s="72"/>
      <c r="M12" s="72"/>
      <c r="N12" s="71"/>
      <c r="O12" s="71"/>
      <c r="P12" s="71"/>
      <c r="Q12" s="70"/>
      <c r="R12" s="75" t="s">
        <v>105</v>
      </c>
      <c r="S12" s="75" t="s">
        <v>106</v>
      </c>
      <c r="T12" s="75" t="s">
        <v>96</v>
      </c>
      <c r="U12" s="74" t="s">
        <v>112</v>
      </c>
      <c r="V12" s="75" t="s">
        <v>105</v>
      </c>
      <c r="W12" s="84"/>
      <c r="X12" s="84"/>
      <c r="Y12" s="84"/>
      <c r="Z12" s="75"/>
      <c r="AA12" s="75"/>
    </row>
    <row r="13" spans="2:27" s="10" customFormat="1" ht="25" customHeight="1">
      <c r="B13" s="89">
        <v>2</v>
      </c>
      <c r="C13" s="90" t="s">
        <v>61</v>
      </c>
      <c r="D13" s="90" t="s">
        <v>62</v>
      </c>
      <c r="E13" s="91" t="s">
        <v>24</v>
      </c>
      <c r="F13" s="92"/>
      <c r="G13" s="93" t="s">
        <v>20</v>
      </c>
      <c r="H13" s="93"/>
      <c r="I13" s="93"/>
      <c r="J13" s="93"/>
      <c r="K13" s="93"/>
      <c r="L13" s="93"/>
      <c r="M13" s="93"/>
      <c r="N13" s="92"/>
      <c r="O13" s="92"/>
      <c r="P13" s="92"/>
      <c r="Q13" s="89"/>
      <c r="R13" s="94" t="s">
        <v>94</v>
      </c>
      <c r="S13" s="94" t="s">
        <v>107</v>
      </c>
      <c r="T13" s="94" t="s">
        <v>96</v>
      </c>
      <c r="U13" s="95" t="s">
        <v>95</v>
      </c>
      <c r="V13" s="96" t="s">
        <v>97</v>
      </c>
      <c r="W13" s="97">
        <v>11920.600000000006</v>
      </c>
      <c r="X13" s="97">
        <v>16446.5</v>
      </c>
      <c r="Y13" s="97">
        <v>15878.25</v>
      </c>
      <c r="Z13" s="94" t="s">
        <v>56</v>
      </c>
      <c r="AA13" s="94"/>
    </row>
    <row r="14" spans="2:27" s="10" customFormat="1" ht="25" customHeight="1">
      <c r="B14" s="76">
        <v>3</v>
      </c>
      <c r="C14" s="57" t="s">
        <v>63</v>
      </c>
      <c r="D14" s="57" t="s">
        <v>62</v>
      </c>
      <c r="E14" s="26" t="s">
        <v>24</v>
      </c>
      <c r="F14" s="77"/>
      <c r="G14" s="78"/>
      <c r="H14" s="78"/>
      <c r="I14" s="78" t="s">
        <v>20</v>
      </c>
      <c r="J14" s="78"/>
      <c r="K14" s="78"/>
      <c r="L14" s="78"/>
      <c r="M14" s="78"/>
      <c r="N14" s="77"/>
      <c r="O14" s="77"/>
      <c r="P14" s="77"/>
      <c r="Q14" s="76"/>
      <c r="R14" s="79">
        <v>46141</v>
      </c>
      <c r="S14" s="79">
        <v>45776</v>
      </c>
      <c r="T14" s="87" t="s">
        <v>60</v>
      </c>
      <c r="U14" s="79">
        <v>46141</v>
      </c>
      <c r="V14" s="79">
        <v>46141</v>
      </c>
      <c r="W14" s="83">
        <v>19580</v>
      </c>
      <c r="X14" s="83">
        <v>45408</v>
      </c>
      <c r="Y14" s="83">
        <v>45408</v>
      </c>
      <c r="Z14" s="79" t="s">
        <v>56</v>
      </c>
      <c r="AA14" s="79"/>
    </row>
    <row r="15" spans="2:27" s="10" customFormat="1" ht="25" customHeight="1">
      <c r="B15" s="70">
        <v>4</v>
      </c>
      <c r="C15" s="40" t="s">
        <v>65</v>
      </c>
      <c r="D15" s="40" t="s">
        <v>62</v>
      </c>
      <c r="E15" s="17" t="s">
        <v>22</v>
      </c>
      <c r="F15" s="71"/>
      <c r="G15" s="72"/>
      <c r="H15" s="72"/>
      <c r="I15" s="72"/>
      <c r="J15" s="72" t="s">
        <v>20</v>
      </c>
      <c r="K15" s="73"/>
      <c r="L15" s="73"/>
      <c r="M15" s="72"/>
      <c r="N15" s="71"/>
      <c r="O15" s="71"/>
      <c r="P15" s="71"/>
      <c r="Q15" s="70"/>
      <c r="R15" s="75" t="s">
        <v>79</v>
      </c>
      <c r="S15" s="75" t="s">
        <v>108</v>
      </c>
      <c r="T15" s="87" t="s">
        <v>60</v>
      </c>
      <c r="U15" s="75" t="s">
        <v>79</v>
      </c>
      <c r="V15" s="75" t="s">
        <v>79</v>
      </c>
      <c r="W15" s="84">
        <v>10760</v>
      </c>
      <c r="X15" s="84">
        <v>38884</v>
      </c>
      <c r="Y15" s="84">
        <v>16738</v>
      </c>
      <c r="Z15" s="75" t="s">
        <v>56</v>
      </c>
      <c r="AA15" s="81"/>
    </row>
    <row r="16" spans="2:27" s="10" customFormat="1" ht="25" customHeight="1">
      <c r="B16" s="76">
        <v>5</v>
      </c>
      <c r="C16" s="57" t="s">
        <v>64</v>
      </c>
      <c r="D16" s="57" t="s">
        <v>62</v>
      </c>
      <c r="E16" s="26" t="s">
        <v>24</v>
      </c>
      <c r="F16" s="77"/>
      <c r="G16" s="78"/>
      <c r="H16" s="78"/>
      <c r="I16" s="78"/>
      <c r="J16" s="78"/>
      <c r="K16" s="78" t="s">
        <v>20</v>
      </c>
      <c r="L16" s="78"/>
      <c r="M16" s="78"/>
      <c r="N16" s="77"/>
      <c r="O16" s="77"/>
      <c r="P16" s="77"/>
      <c r="Q16" s="76"/>
      <c r="R16" s="79" t="s">
        <v>80</v>
      </c>
      <c r="S16" s="79" t="s">
        <v>109</v>
      </c>
      <c r="T16" s="87" t="s">
        <v>60</v>
      </c>
      <c r="U16" s="80" t="s">
        <v>98</v>
      </c>
      <c r="V16" s="80" t="s">
        <v>80</v>
      </c>
      <c r="W16" s="83">
        <v>6935</v>
      </c>
      <c r="X16" s="83">
        <v>11121</v>
      </c>
      <c r="Y16" s="83">
        <v>11169</v>
      </c>
      <c r="Z16" s="86" t="s">
        <v>56</v>
      </c>
      <c r="AA16" s="79"/>
    </row>
    <row r="17" spans="2:27" s="10" customFormat="1" ht="25" customHeight="1">
      <c r="B17" s="70">
        <v>6</v>
      </c>
      <c r="C17" s="40" t="s">
        <v>70</v>
      </c>
      <c r="D17" s="40" t="s">
        <v>62</v>
      </c>
      <c r="E17" s="17" t="s">
        <v>22</v>
      </c>
      <c r="F17" s="71"/>
      <c r="G17" s="72"/>
      <c r="H17" s="72"/>
      <c r="I17" s="72"/>
      <c r="J17" s="72"/>
      <c r="K17" s="72" t="s">
        <v>20</v>
      </c>
      <c r="L17" s="73"/>
      <c r="M17" s="72"/>
      <c r="N17" s="72"/>
      <c r="O17" s="72"/>
      <c r="P17" s="71"/>
      <c r="Q17" s="70"/>
      <c r="R17" s="88" t="s">
        <v>82</v>
      </c>
      <c r="S17" s="74">
        <v>45602</v>
      </c>
      <c r="T17" s="87" t="s">
        <v>60</v>
      </c>
      <c r="U17" s="74">
        <v>45624</v>
      </c>
      <c r="V17" s="75" t="s">
        <v>82</v>
      </c>
      <c r="W17" s="84">
        <v>13303.35</v>
      </c>
      <c r="X17" s="84">
        <v>17199.129999999997</v>
      </c>
      <c r="Y17" s="84">
        <v>17293</v>
      </c>
      <c r="Z17" s="75" t="s">
        <v>75</v>
      </c>
      <c r="AA17" s="81"/>
    </row>
    <row r="18" spans="2:27" s="10" customFormat="1" ht="25" customHeight="1">
      <c r="B18" s="70">
        <v>7</v>
      </c>
      <c r="C18" s="40" t="s">
        <v>66</v>
      </c>
      <c r="D18" s="40" t="s">
        <v>62</v>
      </c>
      <c r="E18" s="17" t="s">
        <v>22</v>
      </c>
      <c r="F18" s="71"/>
      <c r="G18" s="72"/>
      <c r="H18" s="72"/>
      <c r="I18" s="72"/>
      <c r="J18" s="72"/>
      <c r="K18" s="72"/>
      <c r="L18" s="72" t="s">
        <v>20</v>
      </c>
      <c r="M18" s="71"/>
      <c r="N18" s="71"/>
      <c r="O18" s="71"/>
      <c r="P18" s="71"/>
      <c r="Q18" s="70"/>
      <c r="R18" s="75" t="s">
        <v>99</v>
      </c>
      <c r="S18" s="75" t="s">
        <v>110</v>
      </c>
      <c r="T18" s="79" t="s">
        <v>96</v>
      </c>
      <c r="U18" s="75" t="s">
        <v>100</v>
      </c>
      <c r="V18" s="75" t="s">
        <v>99</v>
      </c>
      <c r="W18" s="84">
        <v>15224</v>
      </c>
      <c r="X18" s="84">
        <v>14830</v>
      </c>
      <c r="Y18" s="84">
        <v>14066</v>
      </c>
      <c r="Z18" s="75" t="s">
        <v>56</v>
      </c>
      <c r="AA18" s="81"/>
    </row>
    <row r="19" spans="2:27" s="10" customFormat="1" ht="25" customHeight="1">
      <c r="B19" s="76">
        <v>8</v>
      </c>
      <c r="C19" s="57" t="s">
        <v>67</v>
      </c>
      <c r="D19" s="57" t="s">
        <v>62</v>
      </c>
      <c r="E19" s="26" t="s">
        <v>24</v>
      </c>
      <c r="F19" s="77"/>
      <c r="G19" s="78"/>
      <c r="H19" s="78"/>
      <c r="I19" s="78"/>
      <c r="J19" s="78"/>
      <c r="K19" s="78"/>
      <c r="L19" s="78"/>
      <c r="M19" s="77" t="s">
        <v>20</v>
      </c>
      <c r="N19" s="77"/>
      <c r="O19" s="77"/>
      <c r="P19" s="77"/>
      <c r="Q19" s="76"/>
      <c r="R19" s="79">
        <v>45925</v>
      </c>
      <c r="S19" s="79" t="s">
        <v>86</v>
      </c>
      <c r="T19" s="79" t="s">
        <v>59</v>
      </c>
      <c r="U19" s="80" t="s">
        <v>87</v>
      </c>
      <c r="V19" s="79" t="s">
        <v>81</v>
      </c>
      <c r="W19" s="83">
        <v>14933.45</v>
      </c>
      <c r="X19" s="83">
        <v>14359.25</v>
      </c>
      <c r="Y19" s="83">
        <v>14359.25</v>
      </c>
      <c r="Z19" s="79" t="s">
        <v>75</v>
      </c>
      <c r="AA19" s="79"/>
    </row>
    <row r="20" spans="2:27" s="10" customFormat="1" ht="25" customHeight="1">
      <c r="B20" s="70">
        <v>9</v>
      </c>
      <c r="C20" s="40" t="s">
        <v>72</v>
      </c>
      <c r="D20" s="40" t="s">
        <v>62</v>
      </c>
      <c r="E20" s="17" t="s">
        <v>22</v>
      </c>
      <c r="F20" s="71"/>
      <c r="G20" s="72"/>
      <c r="H20" s="72"/>
      <c r="I20" s="72"/>
      <c r="J20" s="72"/>
      <c r="K20" s="72"/>
      <c r="L20" s="72"/>
      <c r="M20" s="72" t="s">
        <v>20</v>
      </c>
      <c r="N20" s="71"/>
      <c r="O20" s="71"/>
      <c r="P20" s="71"/>
      <c r="Q20" s="70"/>
      <c r="R20" s="75" t="s">
        <v>101</v>
      </c>
      <c r="S20" s="74">
        <v>45603</v>
      </c>
      <c r="T20" s="75" t="s">
        <v>59</v>
      </c>
      <c r="U20" s="74">
        <v>45623</v>
      </c>
      <c r="V20" s="75" t="s">
        <v>101</v>
      </c>
      <c r="W20" s="84">
        <v>8968.3000000000011</v>
      </c>
      <c r="X20" s="84">
        <v>14181.3</v>
      </c>
      <c r="Y20" s="84">
        <v>14181.3</v>
      </c>
      <c r="Z20" s="75" t="s">
        <v>56</v>
      </c>
      <c r="AA20" s="81"/>
    </row>
    <row r="21" spans="2:27" s="10" customFormat="1" ht="25" customHeight="1">
      <c r="B21" s="76">
        <v>10</v>
      </c>
      <c r="C21" s="57" t="s">
        <v>68</v>
      </c>
      <c r="D21" s="57" t="s">
        <v>62</v>
      </c>
      <c r="E21" s="26" t="s">
        <v>24</v>
      </c>
      <c r="F21" s="77"/>
      <c r="G21" s="78"/>
      <c r="H21" s="78"/>
      <c r="I21" s="78"/>
      <c r="J21" s="78"/>
      <c r="K21" s="78"/>
      <c r="L21" s="78"/>
      <c r="M21" s="78"/>
      <c r="N21" s="77" t="s">
        <v>20</v>
      </c>
      <c r="O21" s="77"/>
      <c r="P21" s="77"/>
      <c r="Q21" s="76"/>
      <c r="R21" s="79">
        <v>45918</v>
      </c>
      <c r="S21" s="79" t="s">
        <v>86</v>
      </c>
      <c r="T21" s="79" t="s">
        <v>96</v>
      </c>
      <c r="U21" s="80" t="s">
        <v>88</v>
      </c>
      <c r="V21" s="79">
        <v>45918</v>
      </c>
      <c r="W21" s="83">
        <v>17947.419999999998</v>
      </c>
      <c r="X21" s="83">
        <v>26388.880000000001</v>
      </c>
      <c r="Y21" s="83">
        <v>29790.38</v>
      </c>
      <c r="Z21" s="79" t="s">
        <v>56</v>
      </c>
      <c r="AA21" s="79"/>
    </row>
    <row r="22" spans="2:27" s="10" customFormat="1" ht="25" customHeight="1">
      <c r="B22" s="70">
        <v>11</v>
      </c>
      <c r="C22" s="40" t="s">
        <v>71</v>
      </c>
      <c r="D22" s="40" t="s">
        <v>62</v>
      </c>
      <c r="E22" s="17" t="s">
        <v>22</v>
      </c>
      <c r="F22" s="71"/>
      <c r="G22" s="72"/>
      <c r="H22" s="72"/>
      <c r="I22" s="72"/>
      <c r="J22" s="72"/>
      <c r="K22" s="72"/>
      <c r="L22" s="73"/>
      <c r="M22" s="72"/>
      <c r="N22" s="71"/>
      <c r="O22" s="71" t="s">
        <v>20</v>
      </c>
      <c r="P22" s="71"/>
      <c r="Q22" s="70"/>
      <c r="R22" s="75">
        <v>46013</v>
      </c>
      <c r="S22" s="75">
        <v>45626</v>
      </c>
      <c r="T22" s="87" t="s">
        <v>60</v>
      </c>
      <c r="U22" s="74" t="s">
        <v>90</v>
      </c>
      <c r="V22" s="75" t="s">
        <v>83</v>
      </c>
      <c r="W22" s="84">
        <v>47006.199999999953</v>
      </c>
      <c r="X22" s="84">
        <v>37403</v>
      </c>
      <c r="Y22" s="84">
        <v>36129</v>
      </c>
      <c r="Z22" s="75" t="s">
        <v>56</v>
      </c>
      <c r="AA22" s="81"/>
    </row>
    <row r="23" spans="2:27" s="10" customFormat="1" ht="25" customHeight="1">
      <c r="B23" s="76">
        <v>12</v>
      </c>
      <c r="C23" s="57" t="s">
        <v>73</v>
      </c>
      <c r="D23" s="57" t="s">
        <v>62</v>
      </c>
      <c r="E23" s="26" t="s">
        <v>24</v>
      </c>
      <c r="F23" s="77"/>
      <c r="G23" s="78"/>
      <c r="H23" s="78"/>
      <c r="I23" s="78"/>
      <c r="J23" s="78"/>
      <c r="K23" s="78"/>
      <c r="L23" s="78"/>
      <c r="M23" s="78"/>
      <c r="N23" s="77"/>
      <c r="O23" s="77" t="s">
        <v>20</v>
      </c>
      <c r="P23" s="76"/>
      <c r="Q23" s="76"/>
      <c r="R23" s="79" t="s">
        <v>104</v>
      </c>
      <c r="S23" s="79">
        <v>45626</v>
      </c>
      <c r="T23" s="79" t="s">
        <v>102</v>
      </c>
      <c r="U23" s="80" t="s">
        <v>77</v>
      </c>
      <c r="V23" s="79" t="s">
        <v>103</v>
      </c>
      <c r="W23" s="83"/>
      <c r="X23" s="83"/>
      <c r="Y23" s="83"/>
      <c r="Z23" s="79" t="s">
        <v>56</v>
      </c>
      <c r="AA23" s="79"/>
    </row>
    <row r="24" spans="2:27" s="10" customFormat="1" ht="25" customHeight="1">
      <c r="B24" s="76">
        <v>13</v>
      </c>
      <c r="C24" s="57" t="s">
        <v>69</v>
      </c>
      <c r="D24" s="57" t="s">
        <v>62</v>
      </c>
      <c r="E24" s="26" t="s">
        <v>24</v>
      </c>
      <c r="F24" s="77"/>
      <c r="G24" s="78"/>
      <c r="H24" s="78"/>
      <c r="I24" s="78"/>
      <c r="J24" s="78"/>
      <c r="K24" s="78"/>
      <c r="L24" s="78"/>
      <c r="M24" s="78"/>
      <c r="N24" s="77"/>
      <c r="O24" s="77"/>
      <c r="P24" s="77" t="s">
        <v>20</v>
      </c>
      <c r="Q24" s="76"/>
      <c r="R24" s="79">
        <v>45965</v>
      </c>
      <c r="S24" s="79" t="s">
        <v>89</v>
      </c>
      <c r="T24" s="79" t="s">
        <v>59</v>
      </c>
      <c r="U24" s="80">
        <v>45600</v>
      </c>
      <c r="V24" s="79" t="s">
        <v>84</v>
      </c>
      <c r="W24" s="83"/>
      <c r="X24" s="83"/>
      <c r="Y24" s="83"/>
      <c r="Z24" s="79" t="s">
        <v>56</v>
      </c>
      <c r="AA24" s="79"/>
    </row>
    <row r="26" spans="2:27" s="10" customFormat="1" ht="15.75" hidden="1" customHeight="1">
      <c r="B26" s="39">
        <v>1</v>
      </c>
      <c r="C26" s="40" t="s">
        <v>26</v>
      </c>
      <c r="D26" s="40" t="s">
        <v>25</v>
      </c>
      <c r="E26" s="17" t="s">
        <v>22</v>
      </c>
      <c r="F26" s="54"/>
      <c r="G26" s="54"/>
      <c r="H26" s="54"/>
      <c r="I26" s="54"/>
      <c r="J26" s="43"/>
      <c r="K26" s="54"/>
      <c r="L26" s="51"/>
      <c r="M26" s="52"/>
      <c r="N26" s="54"/>
      <c r="O26" s="53" t="s">
        <v>20</v>
      </c>
      <c r="P26" s="54"/>
      <c r="Q26" s="18"/>
      <c r="R26" s="55"/>
      <c r="S26" s="55">
        <v>44398</v>
      </c>
      <c r="T26" s="55"/>
      <c r="U26" s="56"/>
      <c r="V26" s="56"/>
      <c r="W26" s="55"/>
      <c r="X26" s="62"/>
    </row>
    <row r="27" spans="2:27" s="10" customFormat="1" ht="15.75" hidden="1" customHeight="1">
      <c r="B27" s="39">
        <f>B26+1</f>
        <v>2</v>
      </c>
      <c r="C27" s="40" t="s">
        <v>27</v>
      </c>
      <c r="D27" s="40" t="s">
        <v>25</v>
      </c>
      <c r="E27" s="17" t="s">
        <v>22</v>
      </c>
      <c r="F27" s="54"/>
      <c r="G27" s="54"/>
      <c r="H27" s="54"/>
      <c r="I27" s="54"/>
      <c r="J27" s="43"/>
      <c r="K27" s="54"/>
      <c r="L27" s="52"/>
      <c r="M27" s="53" t="s">
        <v>20</v>
      </c>
      <c r="N27" s="54"/>
      <c r="O27" s="54"/>
      <c r="P27" s="54"/>
      <c r="Q27" s="18"/>
      <c r="R27" s="55"/>
      <c r="S27" s="55">
        <v>43286</v>
      </c>
      <c r="T27" s="55"/>
      <c r="U27" s="56"/>
      <c r="V27" s="56"/>
      <c r="W27" s="55"/>
      <c r="X27" s="62"/>
    </row>
    <row r="28" spans="2:27" s="10" customFormat="1" ht="15.75" hidden="1" customHeight="1">
      <c r="B28" s="39">
        <f>B27+1</f>
        <v>3</v>
      </c>
      <c r="C28" s="40" t="s">
        <v>28</v>
      </c>
      <c r="D28" s="40" t="s">
        <v>25</v>
      </c>
      <c r="E28" s="17" t="s">
        <v>22</v>
      </c>
      <c r="F28" s="54"/>
      <c r="G28" s="54"/>
      <c r="H28" s="54"/>
      <c r="I28" s="54"/>
      <c r="J28" s="43"/>
      <c r="K28" s="54"/>
      <c r="L28" s="54"/>
      <c r="M28" s="54"/>
      <c r="N28" s="52"/>
      <c r="O28" s="53" t="s">
        <v>20</v>
      </c>
      <c r="P28" s="54"/>
      <c r="Q28" s="18"/>
      <c r="R28" s="55"/>
      <c r="S28" s="55">
        <v>43725</v>
      </c>
      <c r="T28" s="55"/>
      <c r="U28" s="56"/>
      <c r="V28" s="56"/>
      <c r="W28" s="55"/>
      <c r="X28" s="62"/>
    </row>
    <row r="29" spans="2:27" s="10" customFormat="1" ht="15.75" hidden="1" customHeight="1">
      <c r="B29" s="39">
        <v>4</v>
      </c>
      <c r="C29" s="40" t="s">
        <v>29</v>
      </c>
      <c r="D29" s="40" t="s">
        <v>25</v>
      </c>
      <c r="E29" s="17" t="s">
        <v>22</v>
      </c>
      <c r="F29" s="54"/>
      <c r="G29" s="54"/>
      <c r="H29" s="54"/>
      <c r="I29" s="54"/>
      <c r="J29" s="43"/>
      <c r="K29" s="54"/>
      <c r="L29" s="54"/>
      <c r="M29" s="54"/>
      <c r="N29" s="52"/>
      <c r="O29" s="54"/>
      <c r="P29" s="53" t="s">
        <v>20</v>
      </c>
      <c r="Q29" s="18"/>
      <c r="R29" s="55"/>
      <c r="S29" s="55">
        <v>44543</v>
      </c>
      <c r="T29" s="55"/>
      <c r="U29" s="56"/>
      <c r="V29" s="56"/>
      <c r="W29" s="55"/>
      <c r="X29" s="62"/>
    </row>
    <row r="30" spans="2:27" s="10" customFormat="1" ht="15.75" hidden="1" customHeight="1">
      <c r="B30" s="39">
        <v>5</v>
      </c>
      <c r="C30" s="40" t="s">
        <v>30</v>
      </c>
      <c r="D30" s="40" t="s">
        <v>25</v>
      </c>
      <c r="E30" s="17" t="s">
        <v>22</v>
      </c>
      <c r="F30" s="54"/>
      <c r="G30" s="54"/>
      <c r="H30" s="54"/>
      <c r="I30" s="53" t="s">
        <v>20</v>
      </c>
      <c r="J30" s="44"/>
      <c r="K30" s="54"/>
      <c r="L30" s="54"/>
      <c r="M30" s="54"/>
      <c r="N30" s="54"/>
      <c r="O30" s="54"/>
      <c r="P30" s="54"/>
      <c r="Q30" s="18"/>
      <c r="R30" s="55"/>
      <c r="S30" s="55">
        <v>44721</v>
      </c>
      <c r="T30" s="55"/>
      <c r="U30" s="56"/>
      <c r="V30" s="56"/>
      <c r="W30" s="55"/>
      <c r="X30" s="62"/>
    </row>
    <row r="31" spans="2:27" s="10" customFormat="1" ht="15.75" hidden="1" customHeight="1">
      <c r="B31" s="39">
        <f t="shared" ref="B31" si="0">B30+1</f>
        <v>6</v>
      </c>
      <c r="C31" s="40" t="s">
        <v>34</v>
      </c>
      <c r="D31" s="40" t="s">
        <v>25</v>
      </c>
      <c r="E31" s="17" t="s">
        <v>22</v>
      </c>
      <c r="F31" s="54"/>
      <c r="G31" s="54"/>
      <c r="H31" s="54"/>
      <c r="I31" s="53" t="s">
        <v>20</v>
      </c>
      <c r="J31" s="46"/>
      <c r="K31" s="54"/>
      <c r="L31" s="54"/>
      <c r="M31" s="54"/>
      <c r="N31" s="54"/>
      <c r="O31" s="54"/>
      <c r="P31" s="54"/>
      <c r="Q31" s="18"/>
      <c r="R31" s="55"/>
      <c r="S31" s="55">
        <v>43620</v>
      </c>
      <c r="T31" s="27"/>
      <c r="U31" s="56"/>
      <c r="V31" s="56"/>
      <c r="W31" s="55"/>
      <c r="X31" s="62"/>
    </row>
    <row r="32" spans="2:27" s="10" customFormat="1" ht="15.75" hidden="1" customHeight="1">
      <c r="B32" s="39">
        <v>7</v>
      </c>
      <c r="C32" s="57" t="s">
        <v>31</v>
      </c>
      <c r="D32" s="57" t="s">
        <v>25</v>
      </c>
      <c r="E32" s="26" t="s">
        <v>24</v>
      </c>
      <c r="F32" s="54"/>
      <c r="G32" s="54"/>
      <c r="H32" s="54"/>
      <c r="I32" s="53" t="s">
        <v>20</v>
      </c>
      <c r="J32" s="44"/>
      <c r="K32" s="54"/>
      <c r="L32" s="54"/>
      <c r="M32" s="54"/>
      <c r="N32" s="54"/>
      <c r="O32" s="54"/>
      <c r="P32" s="54"/>
      <c r="Q32" s="18"/>
      <c r="R32" s="55"/>
      <c r="S32" s="55">
        <v>44403</v>
      </c>
      <c r="T32" s="55"/>
      <c r="U32" s="56"/>
      <c r="V32" s="56"/>
      <c r="W32" s="55"/>
      <c r="X32" s="62"/>
    </row>
    <row r="33" spans="2:24" s="10" customFormat="1" ht="15.75" hidden="1" customHeight="1">
      <c r="B33" s="39">
        <f t="shared" ref="B33:B34" si="1">B32+1</f>
        <v>8</v>
      </c>
      <c r="C33" s="57" t="s">
        <v>32</v>
      </c>
      <c r="D33" s="57" t="s">
        <v>25</v>
      </c>
      <c r="E33" s="26" t="s">
        <v>24</v>
      </c>
      <c r="F33" s="54"/>
      <c r="G33" s="52"/>
      <c r="H33" s="53" t="s">
        <v>20</v>
      </c>
      <c r="I33" s="54"/>
      <c r="J33" s="43"/>
      <c r="K33" s="54"/>
      <c r="L33" s="52"/>
      <c r="M33" s="54"/>
      <c r="N33" s="54"/>
      <c r="O33" s="54"/>
      <c r="P33" s="54"/>
      <c r="Q33" s="18"/>
      <c r="R33" s="55"/>
      <c r="S33" s="55">
        <v>43599</v>
      </c>
      <c r="T33" s="27"/>
      <c r="U33" s="56"/>
      <c r="V33" s="56"/>
      <c r="W33" s="55"/>
      <c r="X33" s="62"/>
    </row>
    <row r="34" spans="2:24" s="10" customFormat="1" ht="15.75" hidden="1" customHeight="1">
      <c r="B34" s="39">
        <f t="shared" si="1"/>
        <v>9</v>
      </c>
      <c r="C34" s="57" t="s">
        <v>33</v>
      </c>
      <c r="D34" s="57" t="s">
        <v>25</v>
      </c>
      <c r="E34" s="26" t="s">
        <v>24</v>
      </c>
      <c r="F34" s="54"/>
      <c r="G34" s="54"/>
      <c r="H34" s="54"/>
      <c r="I34" s="54"/>
      <c r="J34" s="43"/>
      <c r="K34" s="52"/>
      <c r="L34" s="52"/>
      <c r="M34" s="53" t="s">
        <v>20</v>
      </c>
      <c r="N34" s="51"/>
      <c r="O34" s="54"/>
      <c r="P34" s="54"/>
      <c r="Q34" s="18"/>
      <c r="R34" s="55"/>
      <c r="S34" s="55">
        <v>44493</v>
      </c>
      <c r="T34" s="55"/>
      <c r="U34" s="56"/>
      <c r="V34" s="56"/>
      <c r="W34" s="55"/>
      <c r="X34" s="62"/>
    </row>
    <row r="35" spans="2:24" s="10" customFormat="1" ht="15.75" hidden="1" customHeight="1">
      <c r="B35" s="16"/>
      <c r="C35" s="60" t="s">
        <v>35</v>
      </c>
      <c r="D35" s="20"/>
      <c r="E35" s="21"/>
      <c r="F35" s="54"/>
      <c r="G35" s="51"/>
      <c r="H35" s="54"/>
      <c r="I35" s="54"/>
      <c r="J35" s="43"/>
      <c r="K35" s="54"/>
      <c r="L35" s="54"/>
      <c r="M35" s="54"/>
      <c r="N35" s="54"/>
      <c r="O35" s="54"/>
      <c r="P35" s="54"/>
      <c r="Q35" s="18"/>
      <c r="R35" s="55"/>
      <c r="S35" s="55"/>
      <c r="T35" s="55"/>
      <c r="U35" s="56"/>
      <c r="V35" s="56"/>
      <c r="W35" s="55"/>
      <c r="X35" s="62"/>
    </row>
    <row r="36" spans="2:24" s="10" customFormat="1" ht="15.75" hidden="1" customHeight="1">
      <c r="B36" s="16">
        <v>1</v>
      </c>
      <c r="C36" s="57" t="s">
        <v>36</v>
      </c>
      <c r="D36" s="57" t="s">
        <v>35</v>
      </c>
      <c r="E36" s="26" t="s">
        <v>24</v>
      </c>
      <c r="F36" s="54"/>
      <c r="G36" s="54"/>
      <c r="H36" s="54"/>
      <c r="I36" s="54"/>
      <c r="J36" s="45"/>
      <c r="K36" s="54"/>
      <c r="L36" s="54"/>
      <c r="M36" s="53" t="s">
        <v>20</v>
      </c>
      <c r="N36" s="19"/>
      <c r="O36" s="51"/>
      <c r="P36" s="54"/>
      <c r="Q36" s="18"/>
      <c r="R36" s="55"/>
      <c r="S36" s="55">
        <v>44901</v>
      </c>
      <c r="T36" s="55"/>
      <c r="U36" s="56"/>
      <c r="V36" s="56"/>
      <c r="W36" s="55"/>
      <c r="X36" s="62"/>
    </row>
    <row r="37" spans="2:24" s="10" customFormat="1" ht="15.75" hidden="1" customHeight="1">
      <c r="B37" s="16">
        <f>B36+1</f>
        <v>2</v>
      </c>
      <c r="C37" s="57" t="s">
        <v>37</v>
      </c>
      <c r="D37" s="57" t="s">
        <v>35</v>
      </c>
      <c r="E37" s="26" t="s">
        <v>24</v>
      </c>
      <c r="F37" s="54"/>
      <c r="G37" s="54"/>
      <c r="H37" s="54"/>
      <c r="I37" s="54"/>
      <c r="J37" s="43"/>
      <c r="K37" s="54"/>
      <c r="L37" s="54"/>
      <c r="M37" s="54"/>
      <c r="N37" s="53" t="s">
        <v>20</v>
      </c>
      <c r="O37" s="52"/>
      <c r="P37" s="51"/>
      <c r="Q37" s="18"/>
      <c r="R37" s="55"/>
      <c r="S37" s="55">
        <v>44125</v>
      </c>
      <c r="T37" s="55"/>
      <c r="U37" s="56"/>
      <c r="V37" s="56"/>
      <c r="W37" s="55"/>
      <c r="X37" s="62"/>
    </row>
    <row r="38" spans="2:24" s="10" customFormat="1" ht="15.75" hidden="1" customHeight="1">
      <c r="B38" s="16">
        <f>B37+1</f>
        <v>3</v>
      </c>
      <c r="C38" s="57" t="s">
        <v>38</v>
      </c>
      <c r="D38" s="57" t="s">
        <v>35</v>
      </c>
      <c r="E38" s="26" t="s">
        <v>24</v>
      </c>
      <c r="F38" s="53" t="s">
        <v>20</v>
      </c>
      <c r="H38" s="51"/>
      <c r="I38" s="54"/>
      <c r="J38" s="43"/>
      <c r="K38" s="54"/>
      <c r="L38" s="51"/>
      <c r="M38" s="54"/>
      <c r="N38" s="54"/>
      <c r="O38" s="54"/>
      <c r="Q38" s="18"/>
      <c r="R38" s="55"/>
      <c r="S38" s="55">
        <v>43102</v>
      </c>
      <c r="T38" s="27"/>
      <c r="U38" s="56"/>
      <c r="V38" s="56"/>
      <c r="W38" s="55"/>
      <c r="X38" s="62"/>
    </row>
    <row r="39" spans="2:24" s="10" customFormat="1" ht="15.75" hidden="1" customHeight="1">
      <c r="B39" s="16"/>
      <c r="C39" s="60" t="s">
        <v>39</v>
      </c>
      <c r="D39" s="20"/>
      <c r="E39" s="21"/>
      <c r="F39" s="54"/>
      <c r="G39" s="51"/>
      <c r="H39" s="54"/>
      <c r="I39" s="54"/>
      <c r="J39" s="43"/>
      <c r="K39" s="54"/>
      <c r="L39" s="54"/>
      <c r="M39" s="54"/>
      <c r="N39" s="54"/>
      <c r="O39" s="54"/>
      <c r="P39" s="54"/>
      <c r="Q39" s="18"/>
      <c r="R39" s="55"/>
      <c r="S39" s="55"/>
      <c r="T39" s="55"/>
      <c r="U39" s="56"/>
      <c r="V39" s="56"/>
      <c r="W39" s="55"/>
      <c r="X39" s="62"/>
    </row>
    <row r="40" spans="2:24" s="10" customFormat="1" ht="15.75" hidden="1" customHeight="1">
      <c r="B40" s="16">
        <v>1</v>
      </c>
      <c r="C40" s="40" t="s">
        <v>40</v>
      </c>
      <c r="D40" s="40" t="s">
        <v>39</v>
      </c>
      <c r="E40" s="17" t="s">
        <v>22</v>
      </c>
      <c r="F40" s="54"/>
      <c r="G40" s="54"/>
      <c r="H40" s="54"/>
      <c r="I40" s="52"/>
      <c r="J40" s="43"/>
      <c r="K40" s="51"/>
      <c r="L40" s="53" t="s">
        <v>20</v>
      </c>
      <c r="N40" s="54"/>
      <c r="O40" s="54"/>
      <c r="P40" s="54"/>
      <c r="Q40" s="18"/>
      <c r="R40" s="55"/>
      <c r="S40" s="55">
        <v>43616</v>
      </c>
      <c r="T40" s="27"/>
      <c r="U40" s="56"/>
      <c r="V40" s="56"/>
      <c r="W40" s="55"/>
      <c r="X40" s="62"/>
    </row>
    <row r="41" spans="2:24" s="10" customFormat="1" ht="15.75" hidden="1" customHeight="1">
      <c r="B41" s="16">
        <f>B40+1</f>
        <v>2</v>
      </c>
      <c r="C41" s="57" t="s">
        <v>41</v>
      </c>
      <c r="D41" s="57" t="s">
        <v>39</v>
      </c>
      <c r="E41" s="26" t="s">
        <v>24</v>
      </c>
      <c r="F41" s="54"/>
      <c r="G41" s="53" t="s">
        <v>20</v>
      </c>
      <c r="H41" s="54"/>
      <c r="I41" s="54"/>
      <c r="J41" s="43"/>
      <c r="K41" s="54"/>
      <c r="L41" s="54"/>
      <c r="M41" s="54"/>
      <c r="N41" s="51"/>
      <c r="O41" s="54"/>
      <c r="P41" s="54"/>
      <c r="Q41" s="18"/>
      <c r="R41" s="55"/>
      <c r="S41" s="55">
        <v>43145</v>
      </c>
      <c r="T41" s="27"/>
      <c r="U41" s="56"/>
      <c r="V41" s="56"/>
      <c r="W41" s="55"/>
      <c r="X41" s="62"/>
    </row>
    <row r="42" spans="2:24" s="10" customFormat="1" ht="15.75" hidden="1" customHeight="1">
      <c r="B42" s="16">
        <v>3</v>
      </c>
      <c r="C42" s="41" t="s">
        <v>48</v>
      </c>
      <c r="D42" s="57" t="s">
        <v>39</v>
      </c>
      <c r="E42" s="26"/>
      <c r="F42" s="54"/>
      <c r="G42" s="52"/>
      <c r="H42" s="54"/>
      <c r="I42" s="54"/>
      <c r="J42" s="43"/>
      <c r="K42" s="54"/>
      <c r="L42" s="54"/>
      <c r="M42" s="54"/>
      <c r="N42" s="53" t="s">
        <v>20</v>
      </c>
      <c r="O42" s="54"/>
      <c r="P42" s="54"/>
      <c r="Q42" s="18"/>
      <c r="R42" s="55"/>
      <c r="S42" s="55"/>
      <c r="T42" s="27"/>
      <c r="U42" s="56"/>
      <c r="V42" s="56"/>
      <c r="W42" s="55"/>
      <c r="X42" s="62"/>
    </row>
    <row r="43" spans="2:24" s="10" customFormat="1" ht="15.75" hidden="1" customHeight="1">
      <c r="B43" s="16">
        <v>4</v>
      </c>
      <c r="C43" s="41" t="s">
        <v>48</v>
      </c>
      <c r="D43" s="57"/>
      <c r="E43" s="26"/>
      <c r="F43" s="54"/>
      <c r="G43" s="52"/>
      <c r="H43" s="54"/>
      <c r="I43" s="54"/>
      <c r="J43" s="43"/>
      <c r="K43" s="54"/>
      <c r="L43" s="54"/>
      <c r="M43" s="54"/>
      <c r="N43" s="53"/>
      <c r="O43" s="54"/>
      <c r="P43" s="54"/>
      <c r="Q43" s="18"/>
      <c r="R43" s="55"/>
      <c r="S43" s="55"/>
      <c r="T43" s="27"/>
      <c r="U43" s="56"/>
      <c r="V43" s="56"/>
      <c r="W43" s="55"/>
      <c r="X43" s="62"/>
    </row>
    <row r="44" spans="2:24" s="10" customFormat="1" ht="15.75" hidden="1" customHeight="1">
      <c r="B44" s="16"/>
      <c r="C44" s="60" t="s">
        <v>42</v>
      </c>
      <c r="D44" s="20"/>
      <c r="E44" s="21"/>
      <c r="F44" s="54"/>
      <c r="G44" s="54"/>
      <c r="H44" s="54"/>
      <c r="I44" s="54"/>
      <c r="J44" s="43"/>
      <c r="K44" s="54"/>
      <c r="L44" s="54"/>
      <c r="M44" s="54"/>
      <c r="N44" s="51"/>
      <c r="O44" s="54"/>
      <c r="P44" s="54"/>
      <c r="Q44" s="18"/>
      <c r="R44" s="55"/>
      <c r="S44" s="55"/>
      <c r="T44" s="55"/>
      <c r="U44" s="56"/>
      <c r="V44" s="56"/>
      <c r="W44" s="55"/>
      <c r="X44" s="62"/>
    </row>
    <row r="45" spans="2:24" s="10" customFormat="1" ht="15.75" hidden="1" customHeight="1">
      <c r="B45" s="16">
        <v>1</v>
      </c>
      <c r="C45" s="40" t="s">
        <v>43</v>
      </c>
      <c r="D45" s="40" t="s">
        <v>42</v>
      </c>
      <c r="E45" s="17" t="s">
        <v>22</v>
      </c>
      <c r="F45" s="51"/>
      <c r="G45" s="52"/>
      <c r="H45" s="53" t="s">
        <v>20</v>
      </c>
      <c r="I45" s="54"/>
      <c r="J45" s="43"/>
      <c r="K45" s="54"/>
      <c r="L45" s="54"/>
      <c r="M45" s="54"/>
      <c r="N45" s="54"/>
      <c r="O45" s="54"/>
      <c r="P45" s="54"/>
      <c r="Q45" s="23"/>
      <c r="R45" s="55"/>
      <c r="S45" s="55">
        <v>44569</v>
      </c>
      <c r="T45" s="27"/>
      <c r="U45" s="56"/>
      <c r="V45" s="56"/>
      <c r="W45" s="55"/>
      <c r="X45" s="62"/>
    </row>
    <row r="46" spans="2:24" s="10" customFormat="1" ht="15.75" hidden="1" customHeight="1">
      <c r="B46" s="16">
        <f>B45+1</f>
        <v>2</v>
      </c>
      <c r="C46" s="40" t="s">
        <v>44</v>
      </c>
      <c r="D46" s="40" t="s">
        <v>42</v>
      </c>
      <c r="E46" s="17" t="s">
        <v>22</v>
      </c>
      <c r="F46" s="51"/>
      <c r="G46" s="54"/>
      <c r="H46" s="51"/>
      <c r="I46" s="54"/>
      <c r="J46" s="44"/>
      <c r="K46" s="53" t="s">
        <v>20</v>
      </c>
      <c r="L46" s="54"/>
      <c r="M46" s="54"/>
      <c r="N46" s="54"/>
      <c r="O46" s="54"/>
      <c r="P46" s="54"/>
      <c r="Q46" s="18"/>
      <c r="R46" s="55"/>
      <c r="S46" s="55">
        <v>43177</v>
      </c>
      <c r="T46" s="27"/>
      <c r="U46" s="56"/>
      <c r="V46" s="56"/>
      <c r="W46" s="55"/>
      <c r="X46" s="62"/>
    </row>
    <row r="47" spans="2:24" s="10" customFormat="1" ht="15.75" hidden="1" customHeight="1">
      <c r="B47" s="16">
        <f>B46+1</f>
        <v>3</v>
      </c>
      <c r="C47" s="57" t="s">
        <v>45</v>
      </c>
      <c r="D47" s="57" t="s">
        <v>42</v>
      </c>
      <c r="E47" s="26" t="s">
        <v>24</v>
      </c>
      <c r="F47" s="54"/>
      <c r="G47" s="54"/>
      <c r="H47" s="54"/>
      <c r="I47" s="54"/>
      <c r="J47" s="43"/>
      <c r="K47" s="54"/>
      <c r="L47" s="54"/>
      <c r="M47" s="54"/>
      <c r="N47" s="53" t="s">
        <v>20</v>
      </c>
      <c r="O47" s="54"/>
      <c r="P47" s="51"/>
      <c r="Q47" s="25"/>
      <c r="R47" s="55"/>
      <c r="S47" s="55">
        <v>44172</v>
      </c>
      <c r="T47" s="55"/>
      <c r="U47" s="56"/>
      <c r="V47" s="56"/>
      <c r="W47" s="55"/>
      <c r="X47" s="62"/>
    </row>
    <row r="48" spans="2:24" s="31" customFormat="1" ht="14">
      <c r="B48" s="28" t="s">
        <v>46</v>
      </c>
      <c r="C48" s="29"/>
      <c r="D48" s="29"/>
      <c r="E48" s="29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U48" s="30"/>
      <c r="V48" s="30"/>
    </row>
    <row r="49" spans="2:22" s="31" customFormat="1" ht="15.5">
      <c r="B49" s="22" t="s">
        <v>20</v>
      </c>
      <c r="C49" s="32" t="s">
        <v>22</v>
      </c>
      <c r="D49" s="32"/>
      <c r="E49" s="29"/>
      <c r="F49" s="30"/>
      <c r="G49" s="30"/>
      <c r="H49" s="49"/>
      <c r="I49" s="30"/>
      <c r="J49" s="30"/>
      <c r="K49" s="30"/>
      <c r="L49" s="30"/>
      <c r="M49" s="30"/>
      <c r="N49" s="30"/>
      <c r="O49" s="30"/>
      <c r="P49" s="30"/>
      <c r="Q49" s="30"/>
      <c r="U49" s="30"/>
      <c r="V49" s="30"/>
    </row>
    <row r="50" spans="2:22" s="31" customFormat="1" ht="15.5">
      <c r="B50" s="24" t="s">
        <v>20</v>
      </c>
      <c r="C50" s="32" t="s">
        <v>24</v>
      </c>
      <c r="D50" s="32"/>
      <c r="E50" s="3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U50" s="30"/>
      <c r="V50" s="30"/>
    </row>
    <row r="51" spans="2:22" s="31" customFormat="1" ht="15.5">
      <c r="B51" s="33" t="s">
        <v>20</v>
      </c>
      <c r="C51" s="32" t="s">
        <v>74</v>
      </c>
      <c r="D51" s="32"/>
      <c r="E51" s="32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U51" s="30"/>
      <c r="V51" s="30"/>
    </row>
    <row r="52" spans="2:22" s="1" customFormat="1" ht="14">
      <c r="B52" s="1" t="s">
        <v>47</v>
      </c>
      <c r="C52" s="34"/>
      <c r="D52" s="85">
        <v>13</v>
      </c>
      <c r="E52" s="6" t="s">
        <v>85</v>
      </c>
      <c r="F52" s="35"/>
      <c r="G52" s="35"/>
      <c r="H52" s="35"/>
      <c r="I52" s="30"/>
      <c r="J52" s="30"/>
      <c r="K52" s="30"/>
      <c r="L52" s="30"/>
      <c r="M52" s="35"/>
      <c r="N52" s="35"/>
      <c r="O52" s="35"/>
      <c r="P52" s="35"/>
      <c r="Q52" s="35"/>
      <c r="U52" s="35"/>
      <c r="V52" s="35"/>
    </row>
    <row r="53" spans="2:22" ht="14">
      <c r="I53" s="30"/>
      <c r="J53" s="30"/>
      <c r="K53" s="30"/>
      <c r="L53" s="30"/>
    </row>
  </sheetData>
  <mergeCells count="10">
    <mergeCell ref="B1:T2"/>
    <mergeCell ref="Z5:Z6"/>
    <mergeCell ref="AA5:AA6"/>
    <mergeCell ref="B5:B6"/>
    <mergeCell ref="C5:C6"/>
    <mergeCell ref="D5:D6"/>
    <mergeCell ref="E5:E6"/>
    <mergeCell ref="F5:Q5"/>
    <mergeCell ref="U5:V5"/>
    <mergeCell ref="W5:Y5"/>
  </mergeCells>
  <pageMargins left="0.70866141732283472" right="0.70866141732283472" top="0.74803149606299213" bottom="0.74803149606299213" header="0.31496062992125984" footer="0.31496062992125984"/>
  <pageSetup scale="5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10C7-9533-4A23-8D56-E09B6B9C2429}">
  <sheetPr>
    <tabColor rgb="FFFFC000"/>
  </sheetPr>
  <dimension ref="A2:B73"/>
  <sheetViews>
    <sheetView zoomScale="47" workbookViewId="0">
      <selection activeCell="B74" sqref="B74"/>
    </sheetView>
  </sheetViews>
  <sheetFormatPr defaultRowHeight="12.5"/>
  <sheetData>
    <row r="2" spans="1:2" ht="13">
      <c r="A2" s="82">
        <v>1</v>
      </c>
      <c r="B2" s="82" t="s">
        <v>63</v>
      </c>
    </row>
    <row r="34" spans="1:2" ht="13">
      <c r="A34" s="82">
        <v>2</v>
      </c>
      <c r="B34" s="82" t="s">
        <v>67</v>
      </c>
    </row>
    <row r="73" spans="1:2" ht="13">
      <c r="A73" s="82">
        <v>3</v>
      </c>
      <c r="B73" s="82" t="s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JADWAL DOCKING OK</vt:lpstr>
      <vt:lpstr>VISA</vt:lpstr>
    </vt:vector>
  </TitlesOfParts>
  <Company>PT. ASDP (PERSERO)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Admin</cp:lastModifiedBy>
  <cp:lastPrinted>2022-03-08T08:37:47Z</cp:lastPrinted>
  <dcterms:created xsi:type="dcterms:W3CDTF">2005-02-17T05:32:40Z</dcterms:created>
  <dcterms:modified xsi:type="dcterms:W3CDTF">2025-08-16T10:12:39Z</dcterms:modified>
</cp:coreProperties>
</file>