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SDP\01. ASDP TERNATE\2024 ASDP TERNATE\ASDP TERNATE\2025\44. RKA 2026\"/>
    </mc:Choice>
  </mc:AlternateContent>
  <xr:revisionPtr revIDLastSave="0" documentId="13_ncr:1_{0165A418-4E65-4ADE-A385-3B6E116A4C9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Prognosa (2)" sheetId="13" state="hidden" r:id="rId1"/>
    <sheet name="data Prognosa rutin real (2)" sheetId="16" state="hidden" r:id="rId2"/>
    <sheet name="data Prognosa rutin real" sheetId="14" r:id="rId3"/>
    <sheet name="Prognosa" sheetId="12" state="hidden" r:id="rId4"/>
    <sheet name="data Prognosa rutin" sheetId="11" state="hidden" r:id="rId5"/>
    <sheet name="JANUARI" sheetId="1" state="hidden" r:id="rId6"/>
    <sheet name="FEBRUARI" sheetId="2" state="hidden" r:id="rId7"/>
    <sheet name="MARET" sheetId="3" state="hidden" r:id="rId8"/>
    <sheet name="APRIL" sheetId="4" state="hidden" r:id="rId9"/>
    <sheet name="MEI" sheetId="5" state="hidden" r:id="rId10"/>
    <sheet name="JUNI" sheetId="6" state="hidden" r:id="rId11"/>
    <sheet name="JULI" sheetId="7" state="hidden" r:id="rId12"/>
    <sheet name="AGUSTUS" sheetId="8" state="hidden" r:id="rId13"/>
    <sheet name="Beban Biaya Inv" sheetId="9" state="hidden" r:id="rId14"/>
    <sheet name="Rekap Pembayaran" sheetId="10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12" hidden="1">AGUSTUS!$B$9:$AB$28</definedName>
    <definedName name="_xlnm._FilterDatabase" localSheetId="8" hidden="1">APRIL!$B$7:$AB$26</definedName>
    <definedName name="_xlnm._FilterDatabase" localSheetId="11" hidden="1">JULI!$B$7:$AB$51</definedName>
    <definedName name="_xlnm._FilterDatabase" localSheetId="10" hidden="1">JUNI!$B$7:$AB$32</definedName>
    <definedName name="_xlnm._FilterDatabase" localSheetId="9" hidden="1">MEI!$B$7:$AB$38</definedName>
    <definedName name="KANTOR">#REF!</definedName>
    <definedName name="MA.5120_I" localSheetId="3">#REF!</definedName>
    <definedName name="MA.5120_I" localSheetId="0">#REF!</definedName>
    <definedName name="MA.5120_I">#REF!</definedName>
    <definedName name="MA.5120_II" localSheetId="3">#REF!</definedName>
    <definedName name="MA.5120_II" localSheetId="0">#REF!</definedName>
    <definedName name="MA.5120_II">#REF!</definedName>
    <definedName name="MA.5125" localSheetId="3">#REF!</definedName>
    <definedName name="MA.5125" localSheetId="0">#REF!</definedName>
    <definedName name="MA.5125">#REF!</definedName>
    <definedName name="MM.5120_I" localSheetId="3">#REF!</definedName>
    <definedName name="MM.5120_I" localSheetId="0">#REF!</definedName>
    <definedName name="MM.5120_I">#REF!</definedName>
    <definedName name="MM.5120_II" localSheetId="3">#REF!</definedName>
    <definedName name="MM.5120_II" localSheetId="0">#REF!</definedName>
    <definedName name="MM.5120_II">#REF!</definedName>
    <definedName name="MM.5125" localSheetId="3">#REF!</definedName>
    <definedName name="MM.5125" localSheetId="0">#REF!</definedName>
    <definedName name="MM.5125">#REF!</definedName>
    <definedName name="MS.5120_I" localSheetId="3">#REF!</definedName>
    <definedName name="MS.5120_I" localSheetId="0">#REF!</definedName>
    <definedName name="MS.5120_I">#REF!</definedName>
    <definedName name="MS.5120_II" localSheetId="3">#REF!</definedName>
    <definedName name="MS.5120_II" localSheetId="0">#REF!</definedName>
    <definedName name="MS.5120_II">#REF!</definedName>
    <definedName name="MS.5125" localSheetId="3">#REF!</definedName>
    <definedName name="MS.5125" localSheetId="0">#REF!</definedName>
    <definedName name="MS.5125">#REF!</definedName>
    <definedName name="MU.5120_I" localSheetId="3">#REF!</definedName>
    <definedName name="MU.5120_I" localSheetId="0">#REF!</definedName>
    <definedName name="MU.5120_I">#REF!</definedName>
    <definedName name="MU.5120_II" localSheetId="3">#REF!</definedName>
    <definedName name="MU.5120_II" localSheetId="0">#REF!</definedName>
    <definedName name="MU.5120_II">#REF!</definedName>
    <definedName name="MU.5125" localSheetId="3">#REF!</definedName>
    <definedName name="MU.5125" localSheetId="0">#REF!</definedName>
    <definedName name="MU.5125">#REF!</definedName>
    <definedName name="_xlnm.Print_Area" localSheetId="3">#REF!</definedName>
    <definedName name="_xlnm.Print_Area" localSheetId="0">#REF!</definedName>
    <definedName name="_xlnm.Print_Area">#REF!</definedName>
    <definedName name="PT.ASDP__PESERO">#REF!</definedName>
    <definedName name="vvzh">[1]SEMUMU!$L$116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7" i="14" l="1"/>
  <c r="U145" i="14"/>
  <c r="U144" i="14"/>
  <c r="U143" i="14"/>
  <c r="U142" i="14"/>
  <c r="U141" i="14"/>
  <c r="U140" i="14"/>
  <c r="U135" i="14"/>
  <c r="U133" i="14"/>
  <c r="U132" i="14"/>
  <c r="U131" i="14"/>
  <c r="U130" i="14"/>
  <c r="U129" i="14"/>
  <c r="U128" i="14"/>
  <c r="U127" i="14"/>
  <c r="U125" i="14"/>
  <c r="U124" i="14"/>
  <c r="U123" i="14"/>
  <c r="U122" i="14"/>
  <c r="U121" i="14"/>
  <c r="U120" i="14"/>
  <c r="U119" i="14"/>
  <c r="U118" i="14"/>
  <c r="U117" i="14"/>
  <c r="U115" i="14"/>
  <c r="U114" i="14"/>
  <c r="U113" i="14"/>
  <c r="U112" i="14"/>
  <c r="U111" i="14"/>
  <c r="U110" i="14"/>
  <c r="U109" i="14"/>
  <c r="U108" i="14"/>
  <c r="U107" i="14"/>
  <c r="U105" i="14"/>
  <c r="U104" i="14"/>
  <c r="U103" i="14"/>
  <c r="U102" i="14"/>
  <c r="U101" i="14"/>
  <c r="U100" i="14"/>
  <c r="U99" i="14"/>
  <c r="U98" i="14"/>
  <c r="U97" i="14"/>
  <c r="U95" i="14"/>
  <c r="U94" i="14"/>
  <c r="U93" i="14"/>
  <c r="U92" i="14"/>
  <c r="U91" i="14"/>
  <c r="U90" i="14"/>
  <c r="U89" i="14"/>
  <c r="U88" i="14"/>
  <c r="U87" i="14"/>
  <c r="U85" i="14"/>
  <c r="U84" i="14"/>
  <c r="U83" i="14"/>
  <c r="U82" i="14"/>
  <c r="U81" i="14"/>
  <c r="U80" i="14"/>
  <c r="U79" i="14"/>
  <c r="U78" i="14"/>
  <c r="U77" i="14"/>
  <c r="U75" i="14"/>
  <c r="U74" i="14"/>
  <c r="U73" i="14"/>
  <c r="U72" i="14"/>
  <c r="U71" i="14"/>
  <c r="U70" i="14"/>
  <c r="U69" i="14"/>
  <c r="U68" i="14"/>
  <c r="U67" i="14"/>
  <c r="U65" i="14"/>
  <c r="U64" i="14"/>
  <c r="U63" i="14"/>
  <c r="U62" i="14"/>
  <c r="U61" i="14"/>
  <c r="U60" i="14"/>
  <c r="U59" i="14"/>
  <c r="U58" i="14"/>
  <c r="U57" i="14"/>
  <c r="U55" i="14"/>
  <c r="U54" i="14"/>
  <c r="U53" i="14"/>
  <c r="U52" i="14"/>
  <c r="U51" i="14"/>
  <c r="U50" i="14"/>
  <c r="U49" i="14"/>
  <c r="U48" i="14"/>
  <c r="U47" i="14"/>
  <c r="U45" i="14"/>
  <c r="U44" i="14"/>
  <c r="U43" i="14"/>
  <c r="U42" i="14"/>
  <c r="U41" i="14"/>
  <c r="U40" i="14"/>
  <c r="U39" i="14"/>
  <c r="U38" i="14"/>
  <c r="U37" i="14"/>
  <c r="U35" i="14"/>
  <c r="U34" i="14"/>
  <c r="U33" i="14"/>
  <c r="U32" i="14"/>
  <c r="U31" i="14"/>
  <c r="U30" i="14"/>
  <c r="U29" i="14"/>
  <c r="U28" i="14"/>
  <c r="U27" i="14"/>
  <c r="U25" i="14"/>
  <c r="U24" i="14"/>
  <c r="U23" i="14"/>
  <c r="U22" i="14"/>
  <c r="U21" i="14"/>
  <c r="U20" i="14"/>
  <c r="U19" i="14"/>
  <c r="U18" i="14"/>
  <c r="U17" i="14"/>
  <c r="U15" i="14"/>
  <c r="U14" i="14"/>
  <c r="U13" i="14"/>
  <c r="U12" i="14"/>
  <c r="U11" i="14"/>
  <c r="U10" i="14"/>
  <c r="U9" i="14"/>
  <c r="U8" i="14"/>
  <c r="T147" i="14"/>
  <c r="T145" i="14"/>
  <c r="T144" i="14"/>
  <c r="T143" i="14"/>
  <c r="T142" i="14"/>
  <c r="T141" i="14"/>
  <c r="T140" i="14"/>
  <c r="T139" i="14"/>
  <c r="T135" i="14"/>
  <c r="T134" i="14"/>
  <c r="U134" i="14" s="1"/>
  <c r="T133" i="14"/>
  <c r="T132" i="14"/>
  <c r="T131" i="14"/>
  <c r="T130" i="14"/>
  <c r="T129" i="14"/>
  <c r="T128" i="14"/>
  <c r="T127" i="14"/>
  <c r="T125" i="14"/>
  <c r="T124" i="14"/>
  <c r="T123" i="14"/>
  <c r="T122" i="14"/>
  <c r="T121" i="14"/>
  <c r="T120" i="14"/>
  <c r="T119" i="14"/>
  <c r="T118" i="14"/>
  <c r="T117" i="14"/>
  <c r="T115" i="14"/>
  <c r="T114" i="14"/>
  <c r="T113" i="14"/>
  <c r="T112" i="14"/>
  <c r="T111" i="14"/>
  <c r="T110" i="14"/>
  <c r="T109" i="14"/>
  <c r="T108" i="14"/>
  <c r="T107" i="14"/>
  <c r="T105" i="14"/>
  <c r="T104" i="14"/>
  <c r="T103" i="14"/>
  <c r="T102" i="14"/>
  <c r="T101" i="14"/>
  <c r="T100" i="14"/>
  <c r="T99" i="14"/>
  <c r="T98" i="14"/>
  <c r="T97" i="14"/>
  <c r="T95" i="14"/>
  <c r="T94" i="14"/>
  <c r="T93" i="14"/>
  <c r="T92" i="14"/>
  <c r="T91" i="14"/>
  <c r="T90" i="14"/>
  <c r="T89" i="14"/>
  <c r="T88" i="14"/>
  <c r="T87" i="14"/>
  <c r="T85" i="14"/>
  <c r="T84" i="14"/>
  <c r="T83" i="14"/>
  <c r="T82" i="14"/>
  <c r="T81" i="14"/>
  <c r="T80" i="14"/>
  <c r="T79" i="14"/>
  <c r="T78" i="14"/>
  <c r="T77" i="14"/>
  <c r="T75" i="14"/>
  <c r="T74" i="14"/>
  <c r="T73" i="14"/>
  <c r="T72" i="14"/>
  <c r="T71" i="14"/>
  <c r="T70" i="14"/>
  <c r="T69" i="14"/>
  <c r="T68" i="14"/>
  <c r="T67" i="14"/>
  <c r="T65" i="14"/>
  <c r="T64" i="14"/>
  <c r="T63" i="14"/>
  <c r="T62" i="14"/>
  <c r="T61" i="14"/>
  <c r="T60" i="14"/>
  <c r="T59" i="14"/>
  <c r="T58" i="14"/>
  <c r="T57" i="14"/>
  <c r="T55" i="14"/>
  <c r="T54" i="14"/>
  <c r="T53" i="14"/>
  <c r="T52" i="14"/>
  <c r="T51" i="14"/>
  <c r="T50" i="14"/>
  <c r="T49" i="14"/>
  <c r="T48" i="14"/>
  <c r="T47" i="14"/>
  <c r="T45" i="14"/>
  <c r="T44" i="14"/>
  <c r="T43" i="14"/>
  <c r="T42" i="14"/>
  <c r="T41" i="14"/>
  <c r="T40" i="14"/>
  <c r="T39" i="14"/>
  <c r="T38" i="14"/>
  <c r="T37" i="14"/>
  <c r="T35" i="14"/>
  <c r="T34" i="14"/>
  <c r="T33" i="14"/>
  <c r="T32" i="14"/>
  <c r="T31" i="14"/>
  <c r="T30" i="14"/>
  <c r="T29" i="14"/>
  <c r="T28" i="14"/>
  <c r="T24" i="14"/>
  <c r="T23" i="14"/>
  <c r="T22" i="14"/>
  <c r="T21" i="14"/>
  <c r="T20" i="14"/>
  <c r="T19" i="14"/>
  <c r="T18" i="14"/>
  <c r="T14" i="14"/>
  <c r="T13" i="14"/>
  <c r="T12" i="14"/>
  <c r="T11" i="14"/>
  <c r="T10" i="14"/>
  <c r="T9" i="14"/>
  <c r="T8" i="14"/>
  <c r="P146" i="14"/>
  <c r="P145" i="14"/>
  <c r="P144" i="14"/>
  <c r="P143" i="14"/>
  <c r="P142" i="14"/>
  <c r="P141" i="14"/>
  <c r="P135" i="14"/>
  <c r="P134" i="14"/>
  <c r="P133" i="14"/>
  <c r="P132" i="14"/>
  <c r="P131" i="14"/>
  <c r="P130" i="14"/>
  <c r="P129" i="14"/>
  <c r="P128" i="14"/>
  <c r="P127" i="14"/>
  <c r="P125" i="14"/>
  <c r="P124" i="14"/>
  <c r="P123" i="14"/>
  <c r="P122" i="14"/>
  <c r="P121" i="14"/>
  <c r="P120" i="14"/>
  <c r="P119" i="14"/>
  <c r="P118" i="14"/>
  <c r="P117" i="14"/>
  <c r="P115" i="14"/>
  <c r="P114" i="14"/>
  <c r="P113" i="14"/>
  <c r="P112" i="14"/>
  <c r="P111" i="14"/>
  <c r="P110" i="14"/>
  <c r="P109" i="14"/>
  <c r="P108" i="14"/>
  <c r="P107" i="14"/>
  <c r="P105" i="14"/>
  <c r="P104" i="14"/>
  <c r="P103" i="14"/>
  <c r="P102" i="14"/>
  <c r="P101" i="14"/>
  <c r="P100" i="14"/>
  <c r="P99" i="14"/>
  <c r="P98" i="14"/>
  <c r="P97" i="14"/>
  <c r="P95" i="14"/>
  <c r="P94" i="14"/>
  <c r="P93" i="14"/>
  <c r="P92" i="14"/>
  <c r="P91" i="14"/>
  <c r="P90" i="14"/>
  <c r="P89" i="14"/>
  <c r="P88" i="14"/>
  <c r="P87" i="14"/>
  <c r="P85" i="14"/>
  <c r="P84" i="14"/>
  <c r="P83" i="14"/>
  <c r="P82" i="14"/>
  <c r="P81" i="14"/>
  <c r="P80" i="14"/>
  <c r="P79" i="14"/>
  <c r="P78" i="14"/>
  <c r="P77" i="14"/>
  <c r="P75" i="14"/>
  <c r="P74" i="14"/>
  <c r="P73" i="14"/>
  <c r="P72" i="14"/>
  <c r="P71" i="14"/>
  <c r="P70" i="14"/>
  <c r="P69" i="14"/>
  <c r="P68" i="14"/>
  <c r="P67" i="14"/>
  <c r="P76" i="14" s="1"/>
  <c r="P55" i="14"/>
  <c r="P54" i="14"/>
  <c r="P53" i="14"/>
  <c r="P52" i="14"/>
  <c r="P51" i="14"/>
  <c r="P50" i="14"/>
  <c r="P49" i="14"/>
  <c r="P48" i="14"/>
  <c r="P47" i="14"/>
  <c r="P56" i="14" s="1"/>
  <c r="P45" i="14"/>
  <c r="P44" i="14"/>
  <c r="P43" i="14"/>
  <c r="P42" i="14"/>
  <c r="P41" i="14"/>
  <c r="P40" i="14"/>
  <c r="P39" i="14"/>
  <c r="P38" i="14"/>
  <c r="P37" i="14"/>
  <c r="P46" i="14" s="1"/>
  <c r="P35" i="14"/>
  <c r="P34" i="14"/>
  <c r="P33" i="14"/>
  <c r="P32" i="14"/>
  <c r="P31" i="14"/>
  <c r="P30" i="14"/>
  <c r="P29" i="14"/>
  <c r="P28" i="14"/>
  <c r="P27" i="14"/>
  <c r="P36" i="14" s="1"/>
  <c r="P25" i="14"/>
  <c r="P24" i="14"/>
  <c r="P23" i="14"/>
  <c r="P22" i="14"/>
  <c r="P21" i="14"/>
  <c r="P20" i="14"/>
  <c r="P19" i="14"/>
  <c r="P18" i="14"/>
  <c r="P17" i="14"/>
  <c r="P26" i="14" s="1"/>
  <c r="P15" i="14"/>
  <c r="P14" i="14"/>
  <c r="P13" i="14"/>
  <c r="P12" i="14"/>
  <c r="P11" i="14"/>
  <c r="P10" i="14"/>
  <c r="P9" i="14"/>
  <c r="P8" i="14"/>
  <c r="P7" i="14"/>
  <c r="P16" i="14" s="1"/>
  <c r="P66" i="14"/>
  <c r="P60" i="14"/>
  <c r="P59" i="14"/>
  <c r="P58" i="14"/>
  <c r="P57" i="14"/>
  <c r="P65" i="14"/>
  <c r="P64" i="14"/>
  <c r="P63" i="14"/>
  <c r="P62" i="14"/>
  <c r="P61" i="14"/>
  <c r="P86" i="14" l="1"/>
  <c r="P96" i="14"/>
  <c r="P106" i="14"/>
  <c r="Q50" i="14" l="1"/>
  <c r="R93" i="14"/>
  <c r="Q70" i="14"/>
  <c r="Q55" i="14"/>
  <c r="Q53" i="14"/>
  <c r="R52" i="14"/>
  <c r="Q33" i="14"/>
  <c r="Q32" i="14"/>
  <c r="Q31" i="14"/>
  <c r="Q35" i="14"/>
  <c r="T27" i="14" l="1"/>
  <c r="T17" i="14"/>
  <c r="T7" i="14"/>
  <c r="F36" i="14" l="1"/>
  <c r="G36" i="14"/>
  <c r="H36" i="14"/>
  <c r="I36" i="14"/>
  <c r="J36" i="14"/>
  <c r="K36" i="14"/>
  <c r="L36" i="14"/>
  <c r="M36" i="14"/>
  <c r="T25" i="14" l="1"/>
  <c r="M147" i="14" l="1"/>
  <c r="L147" i="14"/>
  <c r="K147" i="14"/>
  <c r="J147" i="14"/>
  <c r="I147" i="14"/>
  <c r="H147" i="14"/>
  <c r="G147" i="14"/>
  <c r="S146" i="14"/>
  <c r="M146" i="14"/>
  <c r="L146" i="14"/>
  <c r="K146" i="14"/>
  <c r="J146" i="14"/>
  <c r="I146" i="14"/>
  <c r="H146" i="14"/>
  <c r="G146" i="14"/>
  <c r="S145" i="14"/>
  <c r="M145" i="14"/>
  <c r="L145" i="14"/>
  <c r="K145" i="14"/>
  <c r="J145" i="14"/>
  <c r="I145" i="14"/>
  <c r="H145" i="14"/>
  <c r="G145" i="14"/>
  <c r="S144" i="14"/>
  <c r="R144" i="14"/>
  <c r="Q144" i="14"/>
  <c r="N144" i="14"/>
  <c r="M144" i="14"/>
  <c r="L144" i="14"/>
  <c r="K144" i="14"/>
  <c r="J144" i="14"/>
  <c r="I144" i="14"/>
  <c r="H144" i="14"/>
  <c r="G144" i="14"/>
  <c r="S143" i="14"/>
  <c r="R143" i="14"/>
  <c r="Q143" i="14"/>
  <c r="N143" i="14"/>
  <c r="M143" i="14"/>
  <c r="L143" i="14"/>
  <c r="K143" i="14"/>
  <c r="J143" i="14"/>
  <c r="I143" i="14"/>
  <c r="H143" i="14"/>
  <c r="G143" i="14"/>
  <c r="S142" i="14"/>
  <c r="M142" i="14"/>
  <c r="L142" i="14"/>
  <c r="K142" i="14"/>
  <c r="J142" i="14"/>
  <c r="I142" i="14"/>
  <c r="H142" i="14"/>
  <c r="G142" i="14"/>
  <c r="S141" i="14"/>
  <c r="R141" i="14"/>
  <c r="Q141" i="14"/>
  <c r="O141" i="14"/>
  <c r="N141" i="14"/>
  <c r="M141" i="14"/>
  <c r="L141" i="14"/>
  <c r="K141" i="14"/>
  <c r="J141" i="14"/>
  <c r="I141" i="14"/>
  <c r="H141" i="14"/>
  <c r="G141" i="14"/>
  <c r="S140" i="14"/>
  <c r="R140" i="14"/>
  <c r="Q140" i="14"/>
  <c r="O140" i="14"/>
  <c r="N140" i="14"/>
  <c r="M140" i="14"/>
  <c r="L140" i="14"/>
  <c r="K140" i="14"/>
  <c r="J140" i="14"/>
  <c r="I140" i="14"/>
  <c r="H140" i="14"/>
  <c r="G140" i="14"/>
  <c r="F147" i="14"/>
  <c r="F146" i="14"/>
  <c r="F145" i="14"/>
  <c r="F144" i="14"/>
  <c r="F143" i="14"/>
  <c r="F142" i="14"/>
  <c r="F141" i="14"/>
  <c r="F140" i="14"/>
  <c r="S136" i="14"/>
  <c r="R136" i="14"/>
  <c r="Q136" i="14"/>
  <c r="N136" i="14"/>
  <c r="M136" i="14"/>
  <c r="L136" i="14"/>
  <c r="K136" i="14"/>
  <c r="J136" i="14"/>
  <c r="I136" i="14"/>
  <c r="H136" i="14"/>
  <c r="G136" i="14"/>
  <c r="F136" i="14"/>
  <c r="P140" i="14" l="1"/>
  <c r="P148" i="14" s="1"/>
  <c r="V129" i="14"/>
  <c r="O136" i="14"/>
  <c r="V133" i="14"/>
  <c r="V135" i="14"/>
  <c r="S126" i="14"/>
  <c r="R126" i="14"/>
  <c r="Q126" i="14"/>
  <c r="N126" i="14"/>
  <c r="M126" i="14"/>
  <c r="L126" i="14"/>
  <c r="K126" i="14"/>
  <c r="J126" i="14"/>
  <c r="I126" i="14"/>
  <c r="H126" i="14"/>
  <c r="G126" i="14"/>
  <c r="F126" i="14"/>
  <c r="S116" i="14"/>
  <c r="R116" i="14"/>
  <c r="Q116" i="14"/>
  <c r="O116" i="14"/>
  <c r="M116" i="14"/>
  <c r="L116" i="14"/>
  <c r="K116" i="14"/>
  <c r="J116" i="14"/>
  <c r="I116" i="14"/>
  <c r="H116" i="14"/>
  <c r="G116" i="14"/>
  <c r="F116" i="14"/>
  <c r="S106" i="14"/>
  <c r="R106" i="14"/>
  <c r="Q106" i="14"/>
  <c r="O106" i="14"/>
  <c r="N106" i="14"/>
  <c r="M106" i="14"/>
  <c r="L106" i="14"/>
  <c r="K106" i="14"/>
  <c r="I106" i="14"/>
  <c r="H106" i="14"/>
  <c r="G106" i="14"/>
  <c r="F106" i="14"/>
  <c r="S96" i="14"/>
  <c r="Q96" i="14"/>
  <c r="O96" i="14"/>
  <c r="N96" i="14"/>
  <c r="M96" i="14"/>
  <c r="L96" i="14"/>
  <c r="K96" i="14"/>
  <c r="J96" i="14"/>
  <c r="I96" i="14"/>
  <c r="H96" i="14"/>
  <c r="G96" i="14"/>
  <c r="F96" i="14"/>
  <c r="Q86" i="14"/>
  <c r="M86" i="14"/>
  <c r="L86" i="14"/>
  <c r="K86" i="14"/>
  <c r="J86" i="14"/>
  <c r="I86" i="14"/>
  <c r="H86" i="14"/>
  <c r="G86" i="14"/>
  <c r="F86" i="14"/>
  <c r="S76" i="14"/>
  <c r="R76" i="14"/>
  <c r="Q76" i="14"/>
  <c r="N76" i="14"/>
  <c r="M76" i="14"/>
  <c r="L76" i="14"/>
  <c r="K76" i="14"/>
  <c r="J76" i="14"/>
  <c r="I76" i="14"/>
  <c r="H76" i="14"/>
  <c r="G76" i="14"/>
  <c r="F76" i="14"/>
  <c r="S66" i="14"/>
  <c r="R66" i="14"/>
  <c r="Q66" i="14"/>
  <c r="M66" i="14"/>
  <c r="L66" i="14"/>
  <c r="K66" i="14"/>
  <c r="J66" i="14"/>
  <c r="I66" i="14"/>
  <c r="H66" i="14"/>
  <c r="G66" i="14"/>
  <c r="F66" i="14"/>
  <c r="S56" i="14"/>
  <c r="Q56" i="14"/>
  <c r="O56" i="14"/>
  <c r="N56" i="14"/>
  <c r="M56" i="14"/>
  <c r="L56" i="14"/>
  <c r="K56" i="14"/>
  <c r="J56" i="14"/>
  <c r="I56" i="14"/>
  <c r="H56" i="14"/>
  <c r="G56" i="14"/>
  <c r="F56" i="14"/>
  <c r="S46" i="14"/>
  <c r="R46" i="14"/>
  <c r="Q46" i="14"/>
  <c r="O46" i="14"/>
  <c r="N46" i="14"/>
  <c r="M46" i="14"/>
  <c r="L46" i="14"/>
  <c r="K46" i="14"/>
  <c r="J46" i="14"/>
  <c r="H46" i="14"/>
  <c r="G46" i="14"/>
  <c r="F46" i="14"/>
  <c r="S36" i="14"/>
  <c r="R36" i="14"/>
  <c r="O36" i="14"/>
  <c r="N36" i="14"/>
  <c r="S26" i="14"/>
  <c r="R26" i="14"/>
  <c r="Q26" i="14"/>
  <c r="O26" i="14"/>
  <c r="M26" i="14"/>
  <c r="L26" i="14"/>
  <c r="K26" i="14"/>
  <c r="J26" i="14"/>
  <c r="I26" i="14"/>
  <c r="H26" i="14"/>
  <c r="G26" i="14"/>
  <c r="F26" i="14"/>
  <c r="M16" i="14"/>
  <c r="K16" i="14"/>
  <c r="J16" i="14"/>
  <c r="I16" i="14"/>
  <c r="H16" i="14"/>
  <c r="G16" i="14"/>
  <c r="F16" i="14"/>
  <c r="V134" i="14" l="1"/>
  <c r="V132" i="14"/>
  <c r="V131" i="14"/>
  <c r="V130" i="14"/>
  <c r="T136" i="14"/>
  <c r="U136" i="14"/>
  <c r="V136" i="14" s="1"/>
  <c r="V128" i="14"/>
  <c r="L16" i="14"/>
  <c r="J106" i="14"/>
  <c r="I46" i="14" l="1"/>
  <c r="O146" i="14" l="1"/>
  <c r="O145" i="14"/>
  <c r="O126" i="14"/>
  <c r="N116" i="14"/>
  <c r="R96" i="14"/>
  <c r="N86" i="14"/>
  <c r="N142" i="14"/>
  <c r="N145" i="14"/>
  <c r="R142" i="14"/>
  <c r="R146" i="14"/>
  <c r="R145" i="14"/>
  <c r="O76" i="14" l="1"/>
  <c r="O142" i="14"/>
  <c r="R56" i="14"/>
  <c r="N66" i="14"/>
  <c r="V9" i="14"/>
  <c r="Q146" i="14"/>
  <c r="T146" i="14" s="1"/>
  <c r="U146" i="14" s="1"/>
  <c r="Q145" i="14"/>
  <c r="N146" i="14"/>
  <c r="V65" i="14"/>
  <c r="O15" i="14" l="1"/>
  <c r="Q15" i="14"/>
  <c r="R15" i="14" s="1"/>
  <c r="V95" i="14"/>
  <c r="AO95" i="14"/>
  <c r="Q36" i="14"/>
  <c r="Q142" i="14"/>
  <c r="V22" i="14"/>
  <c r="V23" i="14"/>
  <c r="V24" i="14"/>
  <c r="V25" i="14"/>
  <c r="V29" i="14"/>
  <c r="V30" i="14"/>
  <c r="V31" i="14"/>
  <c r="V32" i="14"/>
  <c r="V33" i="14"/>
  <c r="V34" i="14"/>
  <c r="V39" i="14"/>
  <c r="V40" i="14"/>
  <c r="V41" i="14"/>
  <c r="V43" i="14"/>
  <c r="V44" i="14"/>
  <c r="V45" i="14"/>
  <c r="V49" i="14"/>
  <c r="V51" i="14"/>
  <c r="V59" i="14"/>
  <c r="V60" i="14"/>
  <c r="V63" i="14"/>
  <c r="V64" i="14"/>
  <c r="V71" i="14"/>
  <c r="V81" i="14"/>
  <c r="V89" i="14"/>
  <c r="V91" i="14"/>
  <c r="V99" i="14"/>
  <c r="V100" i="14"/>
  <c r="V101" i="14"/>
  <c r="V103" i="14"/>
  <c r="V105" i="14"/>
  <c r="V109" i="14"/>
  <c r="V111" i="14"/>
  <c r="V113" i="14"/>
  <c r="V114" i="14"/>
  <c r="V115" i="14"/>
  <c r="V122" i="14"/>
  <c r="N26" i="14"/>
  <c r="U126" i="14"/>
  <c r="T126" i="14"/>
  <c r="U106" i="14"/>
  <c r="T106" i="14"/>
  <c r="U96" i="14"/>
  <c r="T96" i="14"/>
  <c r="T76" i="14"/>
  <c r="V58" i="14"/>
  <c r="U56" i="14"/>
  <c r="V28" i="14"/>
  <c r="T116" i="14"/>
  <c r="V35" i="14"/>
  <c r="T36" i="14"/>
  <c r="T56" i="14"/>
  <c r="U46" i="14"/>
  <c r="T46" i="14"/>
  <c r="M148" i="14"/>
  <c r="K148" i="14"/>
  <c r="U36" i="14" l="1"/>
  <c r="U116" i="14"/>
  <c r="R16" i="14"/>
  <c r="R147" i="14"/>
  <c r="Q147" i="14"/>
  <c r="Q148" i="14" s="1"/>
  <c r="Q16" i="14"/>
  <c r="O16" i="14"/>
  <c r="O147" i="14"/>
  <c r="S15" i="14"/>
  <c r="N16" i="14"/>
  <c r="N147" i="14"/>
  <c r="V118" i="14"/>
  <c r="V125" i="14"/>
  <c r="V124" i="14"/>
  <c r="V123" i="14"/>
  <c r="V120" i="14"/>
  <c r="V119" i="14"/>
  <c r="V121" i="14"/>
  <c r="V112" i="14"/>
  <c r="V108" i="14"/>
  <c r="V98" i="14"/>
  <c r="V102" i="14"/>
  <c r="V104" i="14"/>
  <c r="V93" i="14"/>
  <c r="V92" i="14"/>
  <c r="V94" i="14"/>
  <c r="AO94" i="14"/>
  <c r="V90" i="14"/>
  <c r="V88" i="14"/>
  <c r="V79" i="14"/>
  <c r="V85" i="14"/>
  <c r="V84" i="14"/>
  <c r="V83" i="14"/>
  <c r="V80" i="14"/>
  <c r="V69" i="14"/>
  <c r="V70" i="14"/>
  <c r="V74" i="14"/>
  <c r="V73" i="14"/>
  <c r="V72" i="14"/>
  <c r="V68" i="14"/>
  <c r="V50" i="14"/>
  <c r="V55" i="14"/>
  <c r="V54" i="14"/>
  <c r="V53" i="14"/>
  <c r="V52" i="14"/>
  <c r="V48" i="14"/>
  <c r="V42" i="14"/>
  <c r="V38" i="14"/>
  <c r="V14" i="14"/>
  <c r="V13" i="14"/>
  <c r="J148" i="14"/>
  <c r="L148" i="14"/>
  <c r="G148" i="14"/>
  <c r="H148" i="14"/>
  <c r="I148" i="14"/>
  <c r="N148" i="14"/>
  <c r="V110" i="14"/>
  <c r="AE115" i="14"/>
  <c r="AE114" i="14"/>
  <c r="AE110" i="14"/>
  <c r="AE109" i="14"/>
  <c r="AE108" i="14"/>
  <c r="AE105" i="14"/>
  <c r="AE104" i="14"/>
  <c r="AE100" i="14"/>
  <c r="AE99" i="14"/>
  <c r="AE98" i="14"/>
  <c r="AE95" i="14"/>
  <c r="AE94" i="14"/>
  <c r="AE90" i="14"/>
  <c r="AE89" i="14"/>
  <c r="AE88" i="14"/>
  <c r="AE85" i="14"/>
  <c r="AE84" i="14"/>
  <c r="AE80" i="14"/>
  <c r="AE79" i="14"/>
  <c r="AE78" i="14"/>
  <c r="AE75" i="14"/>
  <c r="AE74" i="14"/>
  <c r="AE70" i="14"/>
  <c r="AE69" i="14"/>
  <c r="AE68" i="14"/>
  <c r="AE65" i="14"/>
  <c r="AE64" i="14"/>
  <c r="AE60" i="14"/>
  <c r="AE59" i="14"/>
  <c r="AE58" i="14"/>
  <c r="T15" i="14" l="1"/>
  <c r="S147" i="14"/>
  <c r="S16" i="14"/>
  <c r="AE116" i="14"/>
  <c r="AF108" i="14"/>
  <c r="AF109" i="14"/>
  <c r="AF110" i="14"/>
  <c r="AF114" i="14"/>
  <c r="AF115" i="14"/>
  <c r="AE106" i="14"/>
  <c r="AF98" i="14"/>
  <c r="AF99" i="14"/>
  <c r="AF100" i="14"/>
  <c r="AF104" i="14"/>
  <c r="AF105" i="14"/>
  <c r="AE96" i="14"/>
  <c r="AF88" i="14"/>
  <c r="AF89" i="14"/>
  <c r="AF90" i="14"/>
  <c r="AF94" i="14"/>
  <c r="AF95" i="14"/>
  <c r="AE86" i="14"/>
  <c r="AF78" i="14"/>
  <c r="AF79" i="14"/>
  <c r="AF80" i="14"/>
  <c r="AF84" i="14"/>
  <c r="AF85" i="14"/>
  <c r="AE76" i="14"/>
  <c r="AF68" i="14"/>
  <c r="AF69" i="14"/>
  <c r="AF70" i="14"/>
  <c r="AF74" i="14"/>
  <c r="AF75" i="14"/>
  <c r="AE66" i="14"/>
  <c r="AF58" i="14"/>
  <c r="AF59" i="14"/>
  <c r="AF60" i="14"/>
  <c r="AF64" i="14"/>
  <c r="AF65" i="14"/>
  <c r="V15" i="14" l="1"/>
  <c r="V75" i="14"/>
  <c r="U76" i="14"/>
  <c r="V76" i="14" s="1"/>
  <c r="AF116" i="14"/>
  <c r="V116" i="14"/>
  <c r="AF106" i="14"/>
  <c r="V106" i="14"/>
  <c r="AF96" i="14"/>
  <c r="V96" i="14"/>
  <c r="AF86" i="14"/>
  <c r="AF76" i="14"/>
  <c r="AF66" i="14"/>
  <c r="AP59" i="16" l="1"/>
  <c r="N59" i="16"/>
  <c r="S56" i="16"/>
  <c r="R56" i="16"/>
  <c r="Q56" i="16"/>
  <c r="P56" i="16"/>
  <c r="O56" i="16"/>
  <c r="J56" i="16"/>
  <c r="H56" i="16"/>
  <c r="G56" i="16"/>
  <c r="S53" i="16"/>
  <c r="R53" i="16"/>
  <c r="G53" i="16"/>
  <c r="L52" i="16"/>
  <c r="J52" i="16"/>
  <c r="H52" i="16"/>
  <c r="G52" i="16"/>
  <c r="AM48" i="16"/>
  <c r="AN47" i="16"/>
  <c r="AM47" i="16"/>
  <c r="AE47" i="16"/>
  <c r="T47" i="16"/>
  <c r="N47" i="16"/>
  <c r="AN46" i="16"/>
  <c r="AM46" i="16"/>
  <c r="AE46" i="16"/>
  <c r="R46" i="16"/>
  <c r="Q46" i="16"/>
  <c r="P46" i="16"/>
  <c r="O46" i="16"/>
  <c r="M46" i="16"/>
  <c r="L46" i="16"/>
  <c r="L48" i="16" s="1"/>
  <c r="K46" i="16"/>
  <c r="J46" i="16"/>
  <c r="I46" i="16"/>
  <c r="H46" i="16"/>
  <c r="G46" i="16"/>
  <c r="AM45" i="16"/>
  <c r="AE45" i="16"/>
  <c r="S45" i="16"/>
  <c r="P45" i="16"/>
  <c r="O45" i="16"/>
  <c r="M45" i="16"/>
  <c r="K45" i="16"/>
  <c r="J45" i="16"/>
  <c r="I45" i="16"/>
  <c r="H45" i="16"/>
  <c r="G45" i="16"/>
  <c r="AN44" i="16"/>
  <c r="AM44" i="16"/>
  <c r="AE44" i="16"/>
  <c r="T44" i="16"/>
  <c r="I44" i="16"/>
  <c r="H44" i="16"/>
  <c r="AE43" i="16"/>
  <c r="M43" i="16"/>
  <c r="K43" i="16"/>
  <c r="I43" i="16"/>
  <c r="N43" i="16" s="1"/>
  <c r="F43" i="16"/>
  <c r="F48" i="16" s="1"/>
  <c r="AF42" i="16"/>
  <c r="AE40" i="16"/>
  <c r="T40" i="16"/>
  <c r="M40" i="16"/>
  <c r="N40" i="16" s="1"/>
  <c r="AE39" i="16"/>
  <c r="S39" i="16"/>
  <c r="R39" i="16"/>
  <c r="O39" i="16"/>
  <c r="T39" i="16" s="1"/>
  <c r="M39" i="16"/>
  <c r="L39" i="16"/>
  <c r="L41" i="16" s="1"/>
  <c r="K39" i="16"/>
  <c r="J39" i="16"/>
  <c r="I39" i="16"/>
  <c r="H39" i="16"/>
  <c r="G39" i="16"/>
  <c r="AE38" i="16"/>
  <c r="S38" i="16"/>
  <c r="R38" i="16"/>
  <c r="P38" i="16"/>
  <c r="T38" i="16" s="1"/>
  <c r="M38" i="16"/>
  <c r="K38" i="16"/>
  <c r="J38" i="16"/>
  <c r="I38" i="16"/>
  <c r="H38" i="16"/>
  <c r="H41" i="16" s="1"/>
  <c r="G38" i="16"/>
  <c r="AE37" i="16"/>
  <c r="Q37" i="16"/>
  <c r="P37" i="16"/>
  <c r="O37" i="16"/>
  <c r="M37" i="16"/>
  <c r="N37" i="16" s="1"/>
  <c r="AE36" i="16"/>
  <c r="M36" i="16"/>
  <c r="K36" i="16"/>
  <c r="I36" i="16"/>
  <c r="F36" i="16"/>
  <c r="O36" i="16" s="1"/>
  <c r="AE33" i="16"/>
  <c r="T33" i="16"/>
  <c r="L33" i="16"/>
  <c r="N33" i="16" s="1"/>
  <c r="AE32" i="16"/>
  <c r="S32" i="16"/>
  <c r="R32" i="16"/>
  <c r="P32" i="16"/>
  <c r="O32" i="16"/>
  <c r="M32" i="16"/>
  <c r="L32" i="16"/>
  <c r="K32" i="16"/>
  <c r="J32" i="16"/>
  <c r="I32" i="16"/>
  <c r="H32" i="16"/>
  <c r="G32" i="16"/>
  <c r="AE31" i="16"/>
  <c r="S31" i="16"/>
  <c r="R31" i="16"/>
  <c r="Q31" i="16"/>
  <c r="P31" i="16"/>
  <c r="M31" i="16"/>
  <c r="L31" i="16"/>
  <c r="K31" i="16"/>
  <c r="J31" i="16"/>
  <c r="I31" i="16"/>
  <c r="H31" i="16"/>
  <c r="G31" i="16"/>
  <c r="AE30" i="16"/>
  <c r="Q30" i="16"/>
  <c r="O30" i="16"/>
  <c r="M30" i="16"/>
  <c r="L30" i="16"/>
  <c r="J30" i="16"/>
  <c r="J53" i="16" s="1"/>
  <c r="AE29" i="16"/>
  <c r="M29" i="16"/>
  <c r="K29" i="16"/>
  <c r="K34" i="16" s="1"/>
  <c r="I29" i="16"/>
  <c r="F29" i="16"/>
  <c r="O29" i="16" s="1"/>
  <c r="AE26" i="16"/>
  <c r="T26" i="16"/>
  <c r="I26" i="16"/>
  <c r="I56" i="16" s="1"/>
  <c r="AE25" i="16"/>
  <c r="R25" i="16"/>
  <c r="Q25" i="16"/>
  <c r="P25" i="16"/>
  <c r="O25" i="16"/>
  <c r="M25" i="16"/>
  <c r="K25" i="16"/>
  <c r="J25" i="16"/>
  <c r="I25" i="16"/>
  <c r="H25" i="16"/>
  <c r="G25" i="16"/>
  <c r="AE24" i="16"/>
  <c r="S24" i="16"/>
  <c r="R24" i="16"/>
  <c r="Q24" i="16"/>
  <c r="M24" i="16"/>
  <c r="L24" i="16"/>
  <c r="L27" i="16" s="1"/>
  <c r="K24" i="16"/>
  <c r="J24" i="16"/>
  <c r="I24" i="16"/>
  <c r="H24" i="16"/>
  <c r="G24" i="16"/>
  <c r="AE23" i="16"/>
  <c r="P23" i="16"/>
  <c r="O23" i="16"/>
  <c r="K23" i="16"/>
  <c r="I23" i="16"/>
  <c r="I53" i="16" s="1"/>
  <c r="H23" i="16"/>
  <c r="H53" i="16" s="1"/>
  <c r="AE22" i="16"/>
  <c r="I22" i="16"/>
  <c r="F22" i="16"/>
  <c r="AE19" i="16"/>
  <c r="T19" i="16"/>
  <c r="K19" i="16"/>
  <c r="F19" i="16"/>
  <c r="F56" i="16" s="1"/>
  <c r="AE18" i="16"/>
  <c r="S18" i="16"/>
  <c r="R18" i="16"/>
  <c r="Q18" i="16"/>
  <c r="P18" i="16"/>
  <c r="O18" i="16"/>
  <c r="M18" i="16"/>
  <c r="K18" i="16"/>
  <c r="J18" i="16"/>
  <c r="I18" i="16"/>
  <c r="H18" i="16"/>
  <c r="G18" i="16"/>
  <c r="F18" i="16"/>
  <c r="F55" i="16" s="1"/>
  <c r="AE17" i="16"/>
  <c r="S17" i="16"/>
  <c r="R17" i="16"/>
  <c r="Q17" i="16"/>
  <c r="M17" i="16"/>
  <c r="L17" i="16"/>
  <c r="K17" i="16"/>
  <c r="J17" i="16"/>
  <c r="I17" i="16"/>
  <c r="H17" i="16"/>
  <c r="H20" i="16" s="1"/>
  <c r="G17" i="16"/>
  <c r="F17" i="16"/>
  <c r="F54" i="16" s="1"/>
  <c r="AE16" i="16"/>
  <c r="Q16" i="16"/>
  <c r="P16" i="16"/>
  <c r="O16" i="16"/>
  <c r="O53" i="16" s="1"/>
  <c r="L16" i="16"/>
  <c r="K16" i="16"/>
  <c r="N16" i="16" s="1"/>
  <c r="F16" i="16"/>
  <c r="F53" i="16" s="1"/>
  <c r="AE15" i="16"/>
  <c r="K15" i="16"/>
  <c r="I15" i="16"/>
  <c r="F15" i="16"/>
  <c r="O15" i="16" s="1"/>
  <c r="P15" i="16" s="1"/>
  <c r="AE12" i="16"/>
  <c r="T12" i="16"/>
  <c r="M12" i="16"/>
  <c r="L12" i="16"/>
  <c r="L56" i="16" s="1"/>
  <c r="AE11" i="16"/>
  <c r="S11" i="16"/>
  <c r="R11" i="16"/>
  <c r="Q11" i="16"/>
  <c r="Q55" i="16" s="1"/>
  <c r="P11" i="16"/>
  <c r="P55" i="16" s="1"/>
  <c r="M11" i="16"/>
  <c r="L11" i="16"/>
  <c r="K11" i="16"/>
  <c r="J11" i="16"/>
  <c r="I11" i="16"/>
  <c r="H11" i="16"/>
  <c r="G11" i="16"/>
  <c r="G55" i="16" s="1"/>
  <c r="AE10" i="16"/>
  <c r="S10" i="16"/>
  <c r="R10" i="16"/>
  <c r="Q10" i="16"/>
  <c r="O10" i="16"/>
  <c r="O54" i="16" s="1"/>
  <c r="M10" i="16"/>
  <c r="L10" i="16"/>
  <c r="L54" i="16" s="1"/>
  <c r="K10" i="16"/>
  <c r="J10" i="16"/>
  <c r="I10" i="16"/>
  <c r="H10" i="16"/>
  <c r="G10" i="16"/>
  <c r="AE9" i="16"/>
  <c r="T9" i="16"/>
  <c r="M9" i="16"/>
  <c r="M53" i="16" s="1"/>
  <c r="AE8" i="16"/>
  <c r="M8" i="16"/>
  <c r="M52" i="16" s="1"/>
  <c r="K8" i="16"/>
  <c r="I8" i="16"/>
  <c r="F8" i="16"/>
  <c r="R55" i="16" l="1"/>
  <c r="M34" i="16"/>
  <c r="N31" i="16"/>
  <c r="U31" i="16" s="1"/>
  <c r="V31" i="16" s="1"/>
  <c r="AF47" i="16"/>
  <c r="P53" i="16"/>
  <c r="T31" i="16"/>
  <c r="T46" i="16"/>
  <c r="U47" i="16"/>
  <c r="V47" i="16" s="1"/>
  <c r="M56" i="16"/>
  <c r="K52" i="16"/>
  <c r="M54" i="16"/>
  <c r="S54" i="16"/>
  <c r="S55" i="16"/>
  <c r="K20" i="16"/>
  <c r="L53" i="16"/>
  <c r="T18" i="16"/>
  <c r="T23" i="16"/>
  <c r="T25" i="16"/>
  <c r="T30" i="16"/>
  <c r="M48" i="16"/>
  <c r="N45" i="16"/>
  <c r="F13" i="16"/>
  <c r="O8" i="16"/>
  <c r="O13" i="16" s="1"/>
  <c r="J55" i="16"/>
  <c r="N19" i="16"/>
  <c r="U19" i="16" s="1"/>
  <c r="V19" i="16" s="1"/>
  <c r="K56" i="16"/>
  <c r="N56" i="16" s="1"/>
  <c r="H55" i="16"/>
  <c r="AF37" i="16"/>
  <c r="N38" i="16"/>
  <c r="G41" i="16"/>
  <c r="N39" i="16"/>
  <c r="J41" i="16"/>
  <c r="U39" i="16"/>
  <c r="V39" i="16" s="1"/>
  <c r="J48" i="16"/>
  <c r="AE54" i="16"/>
  <c r="AE20" i="16"/>
  <c r="AE56" i="16"/>
  <c r="AE41" i="16"/>
  <c r="AF16" i="16"/>
  <c r="AE34" i="16"/>
  <c r="P29" i="16"/>
  <c r="P34" i="16" s="1"/>
  <c r="O34" i="16"/>
  <c r="F52" i="16"/>
  <c r="F57" i="16" s="1"/>
  <c r="H34" i="16"/>
  <c r="I41" i="16"/>
  <c r="H27" i="16"/>
  <c r="K41" i="16"/>
  <c r="J34" i="16"/>
  <c r="U38" i="16"/>
  <c r="V38" i="16" s="1"/>
  <c r="O43" i="16"/>
  <c r="O48" i="16" s="1"/>
  <c r="F34" i="16"/>
  <c r="G54" i="16"/>
  <c r="G57" i="16" s="1"/>
  <c r="AF38" i="16"/>
  <c r="T45" i="16"/>
  <c r="U45" i="16" s="1"/>
  <c r="V45" i="16" s="1"/>
  <c r="N46" i="16"/>
  <c r="AF46" i="16" s="1"/>
  <c r="T10" i="16"/>
  <c r="K48" i="16"/>
  <c r="M41" i="16"/>
  <c r="T56" i="16"/>
  <c r="AE48" i="16"/>
  <c r="H54" i="16"/>
  <c r="H57" i="16" s="1"/>
  <c r="AE53" i="16"/>
  <c r="T37" i="16"/>
  <c r="U37" i="16" s="1"/>
  <c r="V37" i="16" s="1"/>
  <c r="H48" i="16"/>
  <c r="K55" i="16"/>
  <c r="J20" i="16"/>
  <c r="AE52" i="16"/>
  <c r="M20" i="16"/>
  <c r="Q54" i="16"/>
  <c r="K27" i="16"/>
  <c r="T32" i="16"/>
  <c r="L34" i="16"/>
  <c r="AF39" i="16"/>
  <c r="I54" i="16"/>
  <c r="G13" i="16"/>
  <c r="AF45" i="16"/>
  <c r="N25" i="16"/>
  <c r="U25" i="16" s="1"/>
  <c r="V25" i="16" s="1"/>
  <c r="Q53" i="16"/>
  <c r="I27" i="16"/>
  <c r="I34" i="16"/>
  <c r="M27" i="16"/>
  <c r="T17" i="16"/>
  <c r="J54" i="16"/>
  <c r="J57" i="16" s="1"/>
  <c r="L55" i="16"/>
  <c r="I52" i="16"/>
  <c r="N52" i="16" s="1"/>
  <c r="K13" i="16"/>
  <c r="N11" i="16"/>
  <c r="AF11" i="16" s="1"/>
  <c r="N15" i="16"/>
  <c r="AF15" i="16" s="1"/>
  <c r="N17" i="16"/>
  <c r="AF17" i="16" s="1"/>
  <c r="I55" i="16"/>
  <c r="N24" i="16"/>
  <c r="AF24" i="16" s="1"/>
  <c r="J27" i="16"/>
  <c r="G27" i="16"/>
  <c r="Q29" i="16"/>
  <c r="P20" i="16"/>
  <c r="Q15" i="16"/>
  <c r="O41" i="16"/>
  <c r="P36" i="16"/>
  <c r="U33" i="16"/>
  <c r="V33" i="16" s="1"/>
  <c r="AF33" i="16"/>
  <c r="U40" i="16"/>
  <c r="V40" i="16" s="1"/>
  <c r="AF40" i="16"/>
  <c r="P8" i="16"/>
  <c r="P54" i="16"/>
  <c r="G34" i="16"/>
  <c r="AE55" i="16"/>
  <c r="N10" i="16"/>
  <c r="U10" i="16" s="1"/>
  <c r="T11" i="16"/>
  <c r="M13" i="16"/>
  <c r="I20" i="16"/>
  <c r="N23" i="16"/>
  <c r="U23" i="16" s="1"/>
  <c r="V23" i="16" s="1"/>
  <c r="AE27" i="16"/>
  <c r="N30" i="16"/>
  <c r="AF30" i="16" s="1"/>
  <c r="N32" i="16"/>
  <c r="N44" i="16"/>
  <c r="AF44" i="16" s="1"/>
  <c r="G48" i="16"/>
  <c r="O20" i="16"/>
  <c r="N8" i="16"/>
  <c r="H13" i="16"/>
  <c r="F41" i="16"/>
  <c r="AF43" i="16"/>
  <c r="I13" i="16"/>
  <c r="N22" i="16"/>
  <c r="N9" i="16"/>
  <c r="AF9" i="16" s="1"/>
  <c r="N12" i="16"/>
  <c r="AF12" i="16" s="1"/>
  <c r="O22" i="16"/>
  <c r="K53" i="16"/>
  <c r="AE13" i="16"/>
  <c r="N18" i="16"/>
  <c r="N36" i="16"/>
  <c r="T16" i="16"/>
  <c r="M55" i="16"/>
  <c r="N29" i="16"/>
  <c r="J13" i="16"/>
  <c r="F20" i="16"/>
  <c r="G20" i="16"/>
  <c r="L13" i="16"/>
  <c r="N26" i="16"/>
  <c r="U26" i="16" s="1"/>
  <c r="V26" i="16" s="1"/>
  <c r="R54" i="16"/>
  <c r="I48" i="16"/>
  <c r="T24" i="16"/>
  <c r="L20" i="16"/>
  <c r="O55" i="16"/>
  <c r="K54" i="16"/>
  <c r="F27" i="16"/>
  <c r="N53" i="16" l="1"/>
  <c r="L57" i="16"/>
  <c r="AF19" i="16"/>
  <c r="N41" i="16"/>
  <c r="U32" i="16"/>
  <c r="V32" i="16" s="1"/>
  <c r="AF31" i="16"/>
  <c r="U18" i="16"/>
  <c r="V18" i="16" s="1"/>
  <c r="P43" i="16"/>
  <c r="P48" i="16" s="1"/>
  <c r="I57" i="16"/>
  <c r="AF10" i="16"/>
  <c r="U17" i="16"/>
  <c r="V17" i="16" s="1"/>
  <c r="U46" i="16"/>
  <c r="V46" i="16" s="1"/>
  <c r="AE57" i="16"/>
  <c r="AF26" i="16"/>
  <c r="N55" i="16"/>
  <c r="N54" i="16"/>
  <c r="U9" i="16"/>
  <c r="AF25" i="16"/>
  <c r="U24" i="16"/>
  <c r="V24" i="16" s="1"/>
  <c r="N20" i="16"/>
  <c r="O52" i="16"/>
  <c r="O57" i="16" s="1"/>
  <c r="AF23" i="16"/>
  <c r="AF18" i="16"/>
  <c r="AF20" i="16" s="1"/>
  <c r="N34" i="16"/>
  <c r="AF29" i="16"/>
  <c r="N27" i="16"/>
  <c r="AF22" i="16"/>
  <c r="P13" i="16"/>
  <c r="Q8" i="16"/>
  <c r="V10" i="16"/>
  <c r="AF36" i="16"/>
  <c r="AF41" i="16" s="1"/>
  <c r="N48" i="16"/>
  <c r="T54" i="16"/>
  <c r="M57" i="16"/>
  <c r="V9" i="16"/>
  <c r="U16" i="16"/>
  <c r="V16" i="16" s="1"/>
  <c r="T53" i="16"/>
  <c r="AF48" i="16"/>
  <c r="P41" i="16"/>
  <c r="Q36" i="16"/>
  <c r="AF32" i="16"/>
  <c r="U30" i="16"/>
  <c r="V30" i="16" s="1"/>
  <c r="U11" i="16"/>
  <c r="T55" i="16"/>
  <c r="AF8" i="16"/>
  <c r="N13" i="16"/>
  <c r="R15" i="16"/>
  <c r="Q20" i="16"/>
  <c r="K57" i="16"/>
  <c r="P22" i="16"/>
  <c r="O27" i="16"/>
  <c r="Q34" i="16"/>
  <c r="R29" i="16"/>
  <c r="U44" i="16"/>
  <c r="V44" i="16" s="1"/>
  <c r="U12" i="16"/>
  <c r="Q43" i="16" l="1"/>
  <c r="AF13" i="16"/>
  <c r="N57" i="16"/>
  <c r="N61" i="16" s="1"/>
  <c r="AF34" i="16"/>
  <c r="AF27" i="16"/>
  <c r="U54" i="16"/>
  <c r="V54" i="16" s="1"/>
  <c r="P27" i="16"/>
  <c r="Q22" i="16"/>
  <c r="Q52" i="16" s="1"/>
  <c r="Q57" i="16" s="1"/>
  <c r="R36" i="16"/>
  <c r="Q41" i="16"/>
  <c r="P52" i="16"/>
  <c r="P57" i="16" s="1"/>
  <c r="Q48" i="16"/>
  <c r="R43" i="16"/>
  <c r="S15" i="16"/>
  <c r="S20" i="16" s="1"/>
  <c r="R20" i="16"/>
  <c r="U56" i="16"/>
  <c r="V56" i="16" s="1"/>
  <c r="V12" i="16"/>
  <c r="S29" i="16"/>
  <c r="S34" i="16" s="1"/>
  <c r="R34" i="16"/>
  <c r="V11" i="16"/>
  <c r="U55" i="16"/>
  <c r="V55" i="16" s="1"/>
  <c r="U53" i="16"/>
  <c r="V53" i="16" s="1"/>
  <c r="Q13" i="16"/>
  <c r="R8" i="16"/>
  <c r="R13" i="16" l="1"/>
  <c r="S8" i="16"/>
  <c r="T8" i="16" s="1"/>
  <c r="S43" i="16"/>
  <c r="S48" i="16" s="1"/>
  <c r="R48" i="16"/>
  <c r="S36" i="16"/>
  <c r="S41" i="16" s="1"/>
  <c r="R41" i="16"/>
  <c r="Q27" i="16"/>
  <c r="R22" i="16"/>
  <c r="T29" i="16"/>
  <c r="T15" i="16"/>
  <c r="R27" i="16" l="1"/>
  <c r="S22" i="16"/>
  <c r="S27" i="16" s="1"/>
  <c r="T22" i="16"/>
  <c r="S52" i="16"/>
  <c r="S57" i="16" s="1"/>
  <c r="S13" i="16"/>
  <c r="R52" i="16"/>
  <c r="R57" i="16" s="1"/>
  <c r="U29" i="16"/>
  <c r="T34" i="16"/>
  <c r="T36" i="16"/>
  <c r="T13" i="16"/>
  <c r="U8" i="16"/>
  <c r="T20" i="16"/>
  <c r="U15" i="16"/>
  <c r="T43" i="16"/>
  <c r="T52" i="16" l="1"/>
  <c r="T57" i="16" s="1"/>
  <c r="AP61" i="16" s="1"/>
  <c r="V8" i="16"/>
  <c r="U13" i="16"/>
  <c r="V13" i="16" s="1"/>
  <c r="U43" i="16"/>
  <c r="T48" i="16"/>
  <c r="U22" i="16"/>
  <c r="T27" i="16"/>
  <c r="U36" i="16"/>
  <c r="T41" i="16"/>
  <c r="V29" i="16"/>
  <c r="U34" i="16"/>
  <c r="V34" i="16" s="1"/>
  <c r="V15" i="16"/>
  <c r="U20" i="16"/>
  <c r="V20" i="16" s="1"/>
  <c r="T16" i="14" l="1"/>
  <c r="U41" i="16"/>
  <c r="V41" i="16" s="1"/>
  <c r="V36" i="16"/>
  <c r="V22" i="16"/>
  <c r="U27" i="16"/>
  <c r="V27" i="16" s="1"/>
  <c r="V43" i="16"/>
  <c r="U48" i="16"/>
  <c r="V48" i="16" s="1"/>
  <c r="U52" i="16"/>
  <c r="V52" i="16" l="1"/>
  <c r="U57" i="16"/>
  <c r="V57" i="16" s="1"/>
  <c r="T26" i="14" l="1"/>
  <c r="AM126" i="14"/>
  <c r="AN125" i="14"/>
  <c r="AM125" i="14"/>
  <c r="AE125" i="14"/>
  <c r="AN124" i="14"/>
  <c r="AM124" i="14"/>
  <c r="AE124" i="14"/>
  <c r="AM120" i="14"/>
  <c r="AE120" i="14"/>
  <c r="AN119" i="14"/>
  <c r="AM119" i="14"/>
  <c r="AE119" i="14"/>
  <c r="AE118" i="14"/>
  <c r="AE55" i="14"/>
  <c r="AE54" i="14"/>
  <c r="AE53" i="14"/>
  <c r="AE52" i="14"/>
  <c r="AE48" i="14"/>
  <c r="AE45" i="14"/>
  <c r="AE44" i="14"/>
  <c r="AE40" i="14"/>
  <c r="AE39" i="14"/>
  <c r="AE38" i="14"/>
  <c r="AE35" i="14"/>
  <c r="AE34" i="14"/>
  <c r="AE33" i="14"/>
  <c r="AE32" i="14"/>
  <c r="AE28" i="14"/>
  <c r="AE25" i="14"/>
  <c r="AE21" i="14"/>
  <c r="AE20" i="14"/>
  <c r="AE19" i="14"/>
  <c r="AE18" i="14"/>
  <c r="AE13" i="14"/>
  <c r="AE12" i="14"/>
  <c r="AE11" i="14"/>
  <c r="AE10" i="14"/>
  <c r="AE8" i="14"/>
  <c r="K48" i="12"/>
  <c r="L48" i="12" s="1"/>
  <c r="K47" i="12"/>
  <c r="L47" i="12" s="1"/>
  <c r="K46" i="12"/>
  <c r="L46" i="12" s="1"/>
  <c r="K45" i="12"/>
  <c r="L45" i="12" s="1"/>
  <c r="K44" i="12"/>
  <c r="K41" i="12"/>
  <c r="L41" i="12" s="1"/>
  <c r="K40" i="12"/>
  <c r="L40" i="12" s="1"/>
  <c r="K39" i="12"/>
  <c r="L39" i="12" s="1"/>
  <c r="K38" i="12"/>
  <c r="L38" i="12" s="1"/>
  <c r="K37" i="12"/>
  <c r="K34" i="12"/>
  <c r="L34" i="12" s="1"/>
  <c r="K33" i="12"/>
  <c r="K32" i="12"/>
  <c r="K31" i="12"/>
  <c r="K30" i="12"/>
  <c r="K27" i="12"/>
  <c r="L27" i="12" s="1"/>
  <c r="K26" i="12"/>
  <c r="L26" i="12" s="1"/>
  <c r="K25" i="12"/>
  <c r="L25" i="12" s="1"/>
  <c r="K24" i="12"/>
  <c r="L24" i="12" s="1"/>
  <c r="K23" i="12"/>
  <c r="K20" i="12"/>
  <c r="K19" i="12"/>
  <c r="K18" i="12"/>
  <c r="K17" i="12"/>
  <c r="K16" i="12"/>
  <c r="K13" i="12"/>
  <c r="K12" i="12"/>
  <c r="K11" i="12"/>
  <c r="K10" i="12"/>
  <c r="L10" i="12" s="1"/>
  <c r="K9" i="12"/>
  <c r="T47" i="11"/>
  <c r="H48" i="12" s="1"/>
  <c r="T44" i="11"/>
  <c r="H45" i="12" s="1"/>
  <c r="T40" i="11"/>
  <c r="T37" i="11"/>
  <c r="T33" i="11"/>
  <c r="T30" i="11"/>
  <c r="H31" i="12" s="1"/>
  <c r="T26" i="11"/>
  <c r="T23" i="11"/>
  <c r="T19" i="11"/>
  <c r="H20" i="12" s="1"/>
  <c r="T16" i="11"/>
  <c r="T12" i="11"/>
  <c r="T9" i="11"/>
  <c r="S56" i="11"/>
  <c r="R56" i="11"/>
  <c r="Q56" i="11"/>
  <c r="P56" i="11"/>
  <c r="O56" i="11"/>
  <c r="S53" i="11"/>
  <c r="R53" i="11"/>
  <c r="Q53" i="11"/>
  <c r="P53" i="11"/>
  <c r="O53" i="11"/>
  <c r="S46" i="11"/>
  <c r="R46" i="11"/>
  <c r="Q46" i="11"/>
  <c r="P46" i="11"/>
  <c r="O46" i="11"/>
  <c r="S45" i="11"/>
  <c r="R45" i="11"/>
  <c r="Q45" i="11"/>
  <c r="P45" i="11"/>
  <c r="O45" i="11"/>
  <c r="S39" i="11"/>
  <c r="R39" i="11"/>
  <c r="Q39" i="11"/>
  <c r="P39" i="11"/>
  <c r="O39" i="11"/>
  <c r="S38" i="11"/>
  <c r="R38" i="11"/>
  <c r="Q38" i="11"/>
  <c r="P38" i="11"/>
  <c r="O38" i="11"/>
  <c r="S32" i="11"/>
  <c r="R32" i="11"/>
  <c r="Q32" i="11"/>
  <c r="P32" i="11"/>
  <c r="O32" i="11"/>
  <c r="S31" i="11"/>
  <c r="R31" i="11"/>
  <c r="Q31" i="11"/>
  <c r="P31" i="11"/>
  <c r="O31" i="11"/>
  <c r="S25" i="11"/>
  <c r="R25" i="11"/>
  <c r="Q25" i="11"/>
  <c r="P25" i="11"/>
  <c r="O25" i="11"/>
  <c r="S24" i="11"/>
  <c r="R24" i="11"/>
  <c r="Q24" i="11"/>
  <c r="P24" i="11"/>
  <c r="O24" i="11"/>
  <c r="T24" i="11" s="1"/>
  <c r="S11" i="11"/>
  <c r="R11" i="11"/>
  <c r="Q11" i="11"/>
  <c r="P11" i="11"/>
  <c r="O11" i="11"/>
  <c r="S10" i="11"/>
  <c r="R10" i="11"/>
  <c r="Q10" i="11"/>
  <c r="P10" i="11"/>
  <c r="O10" i="11"/>
  <c r="T57" i="13"/>
  <c r="K57" i="13"/>
  <c r="J57" i="13"/>
  <c r="I57" i="13"/>
  <c r="T56" i="13"/>
  <c r="K56" i="13"/>
  <c r="I56" i="13"/>
  <c r="T55" i="13"/>
  <c r="K55" i="13"/>
  <c r="I55" i="13"/>
  <c r="T54" i="13"/>
  <c r="K54" i="13"/>
  <c r="J54" i="13"/>
  <c r="I54" i="13"/>
  <c r="T53" i="13"/>
  <c r="K53" i="13"/>
  <c r="I53" i="13"/>
  <c r="Z49" i="13"/>
  <c r="K49" i="13"/>
  <c r="I49" i="13"/>
  <c r="AA48" i="13"/>
  <c r="Z48" i="13"/>
  <c r="M48" i="13"/>
  <c r="H48" i="13"/>
  <c r="P48" i="13" s="1"/>
  <c r="G48" i="13"/>
  <c r="L48" i="13" s="1"/>
  <c r="AA47" i="13"/>
  <c r="Z47" i="13"/>
  <c r="M47" i="13"/>
  <c r="J47" i="13"/>
  <c r="H47" i="13"/>
  <c r="G47" i="13"/>
  <c r="Z46" i="13"/>
  <c r="M46" i="13"/>
  <c r="J46" i="13"/>
  <c r="H46" i="13"/>
  <c r="G46" i="13"/>
  <c r="AA45" i="13"/>
  <c r="Z45" i="13"/>
  <c r="M45" i="13"/>
  <c r="H45" i="13"/>
  <c r="G45" i="13"/>
  <c r="L45" i="13" s="1"/>
  <c r="N45" i="13" s="1"/>
  <c r="H44" i="13"/>
  <c r="P44" i="13" s="1"/>
  <c r="G44" i="13"/>
  <c r="F44" i="13"/>
  <c r="M44" i="13" s="1"/>
  <c r="K42" i="13"/>
  <c r="I42" i="13"/>
  <c r="M41" i="13"/>
  <c r="H41" i="13"/>
  <c r="O41" i="13" s="1"/>
  <c r="G41" i="13"/>
  <c r="L41" i="13" s="1"/>
  <c r="M40" i="13"/>
  <c r="J40" i="13"/>
  <c r="H40" i="13"/>
  <c r="O40" i="13" s="1"/>
  <c r="G40" i="13"/>
  <c r="M39" i="13"/>
  <c r="J39" i="13"/>
  <c r="H39" i="13"/>
  <c r="G39" i="13"/>
  <c r="T38" i="13"/>
  <c r="T42" i="13" s="1"/>
  <c r="M38" i="13"/>
  <c r="H38" i="13"/>
  <c r="G38" i="13"/>
  <c r="L38" i="13" s="1"/>
  <c r="N38" i="13" s="1"/>
  <c r="H37" i="13"/>
  <c r="G37" i="13"/>
  <c r="F37" i="13"/>
  <c r="M37" i="13" s="1"/>
  <c r="K35" i="13"/>
  <c r="I35" i="13"/>
  <c r="M34" i="13"/>
  <c r="H34" i="13"/>
  <c r="P34" i="13" s="1"/>
  <c r="G34" i="13"/>
  <c r="L34" i="13" s="1"/>
  <c r="M33" i="13"/>
  <c r="J33" i="13"/>
  <c r="H33" i="13"/>
  <c r="G33" i="13"/>
  <c r="M32" i="13"/>
  <c r="J32" i="13"/>
  <c r="H32" i="13"/>
  <c r="P32" i="13" s="1"/>
  <c r="G32" i="13"/>
  <c r="M31" i="13"/>
  <c r="H31" i="13"/>
  <c r="G31" i="13"/>
  <c r="L31" i="13" s="1"/>
  <c r="H30" i="13"/>
  <c r="G30" i="13"/>
  <c r="F30" i="13"/>
  <c r="F35" i="13" s="1"/>
  <c r="M35" i="13" s="1"/>
  <c r="K28" i="13"/>
  <c r="I28" i="13"/>
  <c r="M27" i="13"/>
  <c r="H27" i="13"/>
  <c r="G27" i="13"/>
  <c r="L27" i="13" s="1"/>
  <c r="N27" i="13" s="1"/>
  <c r="M26" i="13"/>
  <c r="J26" i="13"/>
  <c r="H26" i="13"/>
  <c r="G26" i="13"/>
  <c r="M25" i="13"/>
  <c r="J25" i="13"/>
  <c r="H25" i="13"/>
  <c r="O25" i="13" s="1"/>
  <c r="G25" i="13"/>
  <c r="M24" i="13"/>
  <c r="H24" i="13"/>
  <c r="O24" i="13" s="1"/>
  <c r="G24" i="13"/>
  <c r="L24" i="13" s="1"/>
  <c r="N24" i="13" s="1"/>
  <c r="H23" i="13"/>
  <c r="P23" i="13" s="1"/>
  <c r="G23" i="13"/>
  <c r="F23" i="13"/>
  <c r="F28" i="13" s="1"/>
  <c r="K21" i="13"/>
  <c r="I21" i="13"/>
  <c r="H20" i="13"/>
  <c r="P20" i="13" s="1"/>
  <c r="G20" i="13"/>
  <c r="L20" i="13" s="1"/>
  <c r="F20" i="13"/>
  <c r="M20" i="13" s="1"/>
  <c r="H19" i="13"/>
  <c r="P19" i="13" s="1"/>
  <c r="G19" i="13"/>
  <c r="F19" i="13"/>
  <c r="F56" i="13" s="1"/>
  <c r="H18" i="13"/>
  <c r="P18" i="13" s="1"/>
  <c r="G18" i="13"/>
  <c r="F18" i="13"/>
  <c r="F55" i="13" s="1"/>
  <c r="H17" i="13"/>
  <c r="G17" i="13"/>
  <c r="L17" i="13" s="1"/>
  <c r="F17" i="13"/>
  <c r="F54" i="13" s="1"/>
  <c r="H16" i="13"/>
  <c r="P16" i="13" s="1"/>
  <c r="G16" i="13"/>
  <c r="F16" i="13"/>
  <c r="J16" i="13" s="1"/>
  <c r="K14" i="13"/>
  <c r="I14" i="13"/>
  <c r="M13" i="13"/>
  <c r="H13" i="13"/>
  <c r="P13" i="13" s="1"/>
  <c r="G13" i="13"/>
  <c r="L13" i="13" s="1"/>
  <c r="M12" i="13"/>
  <c r="J12" i="13"/>
  <c r="H12" i="13"/>
  <c r="P12" i="13" s="1"/>
  <c r="G12" i="13"/>
  <c r="M11" i="13"/>
  <c r="J11" i="13"/>
  <c r="H11" i="13"/>
  <c r="G11" i="13"/>
  <c r="M10" i="13"/>
  <c r="H10" i="13"/>
  <c r="G10" i="13"/>
  <c r="L10" i="13" s="1"/>
  <c r="H9" i="13"/>
  <c r="P9" i="13" s="1"/>
  <c r="G9" i="13"/>
  <c r="F9" i="13"/>
  <c r="M9" i="13" s="1"/>
  <c r="P57" i="12"/>
  <c r="P56" i="12"/>
  <c r="P55" i="12"/>
  <c r="P54" i="12"/>
  <c r="P53" i="12"/>
  <c r="V49" i="12"/>
  <c r="W48" i="12"/>
  <c r="V48" i="12"/>
  <c r="G48" i="12"/>
  <c r="W47" i="12"/>
  <c r="V47" i="12"/>
  <c r="G47" i="12"/>
  <c r="V46" i="12"/>
  <c r="G46" i="12"/>
  <c r="W45" i="12"/>
  <c r="V45" i="12"/>
  <c r="G45" i="12"/>
  <c r="G44" i="12"/>
  <c r="F44" i="12"/>
  <c r="F49" i="12" s="1"/>
  <c r="G41" i="12"/>
  <c r="G40" i="12"/>
  <c r="G39" i="12"/>
  <c r="P38" i="12"/>
  <c r="P42" i="12" s="1"/>
  <c r="G38" i="12"/>
  <c r="G37" i="12"/>
  <c r="F37" i="12"/>
  <c r="G34" i="12"/>
  <c r="G33" i="12"/>
  <c r="G32" i="12"/>
  <c r="G31" i="12"/>
  <c r="G30" i="12"/>
  <c r="F30" i="12"/>
  <c r="F35" i="12" s="1"/>
  <c r="G27" i="12"/>
  <c r="G26" i="12"/>
  <c r="G25" i="12"/>
  <c r="G24" i="12"/>
  <c r="G23" i="12"/>
  <c r="F23" i="12"/>
  <c r="G20" i="12"/>
  <c r="F20" i="12"/>
  <c r="F57" i="12" s="1"/>
  <c r="G19" i="12"/>
  <c r="F19" i="12"/>
  <c r="F56" i="12" s="1"/>
  <c r="G18" i="12"/>
  <c r="F18" i="12"/>
  <c r="F55" i="12" s="1"/>
  <c r="G17" i="12"/>
  <c r="F17" i="12"/>
  <c r="F54" i="12" s="1"/>
  <c r="G16" i="12"/>
  <c r="F16" i="12"/>
  <c r="G13" i="12"/>
  <c r="G12" i="12"/>
  <c r="G11" i="12"/>
  <c r="G10" i="12"/>
  <c r="G9" i="12"/>
  <c r="F9" i="12"/>
  <c r="F14" i="12" s="1"/>
  <c r="AF42" i="11"/>
  <c r="X11" i="1"/>
  <c r="X26" i="3"/>
  <c r="X27" i="3" s="1"/>
  <c r="X25" i="3"/>
  <c r="X22" i="3"/>
  <c r="X28" i="3" s="1"/>
  <c r="X20" i="3"/>
  <c r="X12" i="3" s="1"/>
  <c r="X18" i="3"/>
  <c r="X24" i="3" s="1"/>
  <c r="X13" i="3"/>
  <c r="W13" i="3"/>
  <c r="W14" i="3"/>
  <c r="X10" i="3"/>
  <c r="X11" i="3" s="1"/>
  <c r="AC16" i="4"/>
  <c r="AC15" i="4"/>
  <c r="AC14" i="4"/>
  <c r="AC13" i="4"/>
  <c r="AC12" i="4"/>
  <c r="AE47" i="11"/>
  <c r="AE46" i="11"/>
  <c r="AE45" i="11"/>
  <c r="AE44" i="11"/>
  <c r="AE43" i="11"/>
  <c r="AE40" i="11"/>
  <c r="AE39" i="11"/>
  <c r="AE38" i="11"/>
  <c r="AE37" i="11"/>
  <c r="AE36" i="11"/>
  <c r="AE33" i="11"/>
  <c r="AE32" i="11"/>
  <c r="AE31" i="11"/>
  <c r="AE30" i="11"/>
  <c r="AE29" i="11"/>
  <c r="AE26" i="11"/>
  <c r="AE25" i="11"/>
  <c r="AE24" i="11"/>
  <c r="AE23" i="11"/>
  <c r="AE22" i="11"/>
  <c r="AE19" i="11"/>
  <c r="AE18" i="11"/>
  <c r="AE17" i="11"/>
  <c r="AE16" i="11"/>
  <c r="AE15" i="11"/>
  <c r="AE12" i="11"/>
  <c r="AE11" i="11"/>
  <c r="AE10" i="11"/>
  <c r="AE9" i="11"/>
  <c r="AE8" i="11"/>
  <c r="AD15" i="7"/>
  <c r="AD14" i="7"/>
  <c r="AD13" i="7"/>
  <c r="AD12" i="7"/>
  <c r="AD11" i="7"/>
  <c r="I56" i="11"/>
  <c r="W11" i="7"/>
  <c r="W12" i="7"/>
  <c r="W13" i="7"/>
  <c r="W14" i="7"/>
  <c r="W15" i="7"/>
  <c r="W16" i="7"/>
  <c r="N9" i="11" s="1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10" i="7"/>
  <c r="W32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10" i="6"/>
  <c r="W11" i="5"/>
  <c r="W12" i="5"/>
  <c r="W13" i="5"/>
  <c r="W14" i="5"/>
  <c r="W15" i="5"/>
  <c r="W16" i="5"/>
  <c r="W17" i="5"/>
  <c r="W18" i="5"/>
  <c r="W19" i="5"/>
  <c r="N16" i="11" s="1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10" i="5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10" i="4"/>
  <c r="W11" i="3"/>
  <c r="W12" i="3"/>
  <c r="W15" i="3"/>
  <c r="W16" i="3"/>
  <c r="W17" i="3"/>
  <c r="W18" i="3"/>
  <c r="W19" i="3"/>
  <c r="W20" i="3"/>
  <c r="W21" i="3"/>
  <c r="W22" i="3"/>
  <c r="I53" i="11" s="1"/>
  <c r="W23" i="3"/>
  <c r="X23" i="3" s="1"/>
  <c r="W24" i="3"/>
  <c r="W25" i="3"/>
  <c r="W26" i="3"/>
  <c r="W27" i="3"/>
  <c r="W28" i="3"/>
  <c r="W10" i="3"/>
  <c r="W10" i="2"/>
  <c r="W11" i="2"/>
  <c r="W12" i="2"/>
  <c r="W13" i="2"/>
  <c r="W14" i="2"/>
  <c r="W15" i="2"/>
  <c r="W16" i="2"/>
  <c r="W17" i="2"/>
  <c r="W18" i="2"/>
  <c r="W19" i="2"/>
  <c r="H52" i="11" s="1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AM48" i="11"/>
  <c r="AN47" i="11"/>
  <c r="AM47" i="11"/>
  <c r="AN46" i="11"/>
  <c r="AM46" i="11"/>
  <c r="AM45" i="11"/>
  <c r="AN44" i="11"/>
  <c r="AM44" i="11"/>
  <c r="F43" i="11"/>
  <c r="F48" i="11" s="1"/>
  <c r="F36" i="11"/>
  <c r="F41" i="11" s="1"/>
  <c r="F29" i="11"/>
  <c r="F22" i="11"/>
  <c r="F27" i="11" s="1"/>
  <c r="F19" i="11"/>
  <c r="F18" i="11"/>
  <c r="F55" i="11" s="1"/>
  <c r="F17" i="11"/>
  <c r="F54" i="11" s="1"/>
  <c r="F16" i="11"/>
  <c r="F15" i="11"/>
  <c r="S15" i="11" s="1"/>
  <c r="F8" i="1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10" i="1"/>
  <c r="F62" i="10"/>
  <c r="F64" i="10" s="1"/>
  <c r="F49" i="10"/>
  <c r="F51" i="10" s="1"/>
  <c r="F23" i="10"/>
  <c r="L22" i="10"/>
  <c r="F7" i="10"/>
  <c r="F9" i="10" s="1"/>
  <c r="E200" i="9"/>
  <c r="E189" i="9"/>
  <c r="E166" i="9"/>
  <c r="E155" i="9"/>
  <c r="E132" i="9"/>
  <c r="E121" i="9"/>
  <c r="E98" i="9"/>
  <c r="E87" i="9"/>
  <c r="E61" i="9"/>
  <c r="E52" i="9"/>
  <c r="G37" i="9"/>
  <c r="E30" i="9"/>
  <c r="E21" i="9"/>
  <c r="V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V52" i="7"/>
  <c r="V33" i="6"/>
  <c r="V39" i="5"/>
  <c r="V27" i="4"/>
  <c r="V29" i="3"/>
  <c r="V40" i="2"/>
  <c r="Y36" i="2"/>
  <c r="V35" i="1"/>
  <c r="T31" i="11" l="1"/>
  <c r="T45" i="11"/>
  <c r="E99" i="9"/>
  <c r="U9" i="11"/>
  <c r="V9" i="11" s="1"/>
  <c r="Q10" i="13"/>
  <c r="T11" i="11"/>
  <c r="T32" i="11"/>
  <c r="E62" i="9"/>
  <c r="E133" i="9"/>
  <c r="T39" i="11"/>
  <c r="R29" i="11"/>
  <c r="R34" i="11" s="1"/>
  <c r="O29" i="11"/>
  <c r="O26" i="13"/>
  <c r="P26" i="13"/>
  <c r="P31" i="13"/>
  <c r="O31" i="13"/>
  <c r="O47" i="13"/>
  <c r="P47" i="13"/>
  <c r="Y10" i="2"/>
  <c r="J18" i="13"/>
  <c r="J55" i="13" s="1"/>
  <c r="Y13" i="3"/>
  <c r="O18" i="13"/>
  <c r="T53" i="11"/>
  <c r="L9" i="12"/>
  <c r="Y14" i="3"/>
  <c r="M56" i="13"/>
  <c r="T46" i="11"/>
  <c r="H47" i="12" s="1"/>
  <c r="T56" i="11"/>
  <c r="K21" i="12"/>
  <c r="W33" i="6"/>
  <c r="M18" i="13"/>
  <c r="E167" i="9"/>
  <c r="T25" i="11"/>
  <c r="H26" i="12" s="1"/>
  <c r="T38" i="11"/>
  <c r="Y12" i="3"/>
  <c r="T10" i="11"/>
  <c r="H11" i="12" s="1"/>
  <c r="Y10" i="3"/>
  <c r="F13" i="11"/>
  <c r="O8" i="11"/>
  <c r="O13" i="11" s="1"/>
  <c r="AF10" i="14"/>
  <c r="K28" i="12"/>
  <c r="AF32" i="14"/>
  <c r="AF19" i="14"/>
  <c r="AF54" i="14"/>
  <c r="AF40" i="14"/>
  <c r="AF11" i="14"/>
  <c r="AF119" i="14"/>
  <c r="AF125" i="14"/>
  <c r="AF118" i="14"/>
  <c r="AF48" i="14"/>
  <c r="AF55" i="14"/>
  <c r="AF52" i="14"/>
  <c r="AF53" i="14"/>
  <c r="AF39" i="14"/>
  <c r="AF38" i="14"/>
  <c r="AF44" i="14"/>
  <c r="AF45" i="14"/>
  <c r="AF28" i="14"/>
  <c r="AF33" i="14"/>
  <c r="AF35" i="14"/>
  <c r="AF34" i="14"/>
  <c r="AF21" i="14"/>
  <c r="AF18" i="14"/>
  <c r="AF20" i="14"/>
  <c r="AF25" i="14"/>
  <c r="R13" i="13"/>
  <c r="Q34" i="13"/>
  <c r="AE147" i="14"/>
  <c r="AF124" i="14"/>
  <c r="L40" i="13"/>
  <c r="Q40" i="13" s="1"/>
  <c r="AF12" i="14"/>
  <c r="AF120" i="14"/>
  <c r="O37" i="13"/>
  <c r="AE141" i="14"/>
  <c r="F14" i="13"/>
  <c r="M14" i="13" s="1"/>
  <c r="R22" i="11"/>
  <c r="R27" i="11" s="1"/>
  <c r="AE140" i="14"/>
  <c r="R8" i="11"/>
  <c r="R13" i="11" s="1"/>
  <c r="AE143" i="14"/>
  <c r="AE126" i="14"/>
  <c r="V20" i="14"/>
  <c r="AF13" i="14"/>
  <c r="AE46" i="14"/>
  <c r="AF8" i="14"/>
  <c r="AE26" i="14"/>
  <c r="AE142" i="14"/>
  <c r="AE16" i="14"/>
  <c r="AE56" i="14"/>
  <c r="AE36" i="14"/>
  <c r="U16" i="11"/>
  <c r="H33" i="12"/>
  <c r="H46" i="12"/>
  <c r="H12" i="12"/>
  <c r="H39" i="12"/>
  <c r="H32" i="12"/>
  <c r="H25" i="12"/>
  <c r="H40" i="12"/>
  <c r="P17" i="11"/>
  <c r="P54" i="11" s="1"/>
  <c r="S29" i="11"/>
  <c r="S34" i="11" s="1"/>
  <c r="P36" i="11"/>
  <c r="P41" i="11" s="1"/>
  <c r="Q36" i="11"/>
  <c r="Q41" i="11" s="1"/>
  <c r="H10" i="12"/>
  <c r="H34" i="12"/>
  <c r="R36" i="11"/>
  <c r="R41" i="11" s="1"/>
  <c r="H27" i="12"/>
  <c r="P8" i="11"/>
  <c r="P13" i="11" s="1"/>
  <c r="Q8" i="11"/>
  <c r="Q13" i="11" s="1"/>
  <c r="H38" i="12"/>
  <c r="S8" i="11"/>
  <c r="S13" i="11" s="1"/>
  <c r="Q17" i="11"/>
  <c r="Q54" i="11" s="1"/>
  <c r="H13" i="12"/>
  <c r="S22" i="11"/>
  <c r="S27" i="11" s="1"/>
  <c r="P29" i="11"/>
  <c r="P34" i="11" s="1"/>
  <c r="H24" i="12"/>
  <c r="Q29" i="11"/>
  <c r="Q34" i="11" s="1"/>
  <c r="O34" i="11"/>
  <c r="O36" i="11"/>
  <c r="O41" i="11" s="1"/>
  <c r="H17" i="12"/>
  <c r="H41" i="12"/>
  <c r="O15" i="11"/>
  <c r="Q18" i="11"/>
  <c r="Q55" i="11" s="1"/>
  <c r="O43" i="11"/>
  <c r="P15" i="11"/>
  <c r="R18" i="11"/>
  <c r="R55" i="11" s="1"/>
  <c r="S36" i="11"/>
  <c r="S41" i="11" s="1"/>
  <c r="P43" i="11"/>
  <c r="P48" i="11" s="1"/>
  <c r="Q15" i="11"/>
  <c r="S18" i="11"/>
  <c r="S55" i="11" s="1"/>
  <c r="Q43" i="11"/>
  <c r="Q48" i="11" s="1"/>
  <c r="R15" i="11"/>
  <c r="O22" i="11"/>
  <c r="R43" i="11"/>
  <c r="R48" i="11" s="1"/>
  <c r="P18" i="11"/>
  <c r="P55" i="11" s="1"/>
  <c r="P22" i="11"/>
  <c r="P27" i="11" s="1"/>
  <c r="S43" i="11"/>
  <c r="S48" i="11" s="1"/>
  <c r="R17" i="11"/>
  <c r="R54" i="11" s="1"/>
  <c r="S17" i="11"/>
  <c r="S54" i="11" s="1"/>
  <c r="O18" i="11"/>
  <c r="O17" i="11"/>
  <c r="O54" i="11" s="1"/>
  <c r="Q22" i="11"/>
  <c r="Q27" i="11" s="1"/>
  <c r="I34" i="11"/>
  <c r="AE34" i="11"/>
  <c r="L20" i="11"/>
  <c r="L41" i="11"/>
  <c r="M56" i="11"/>
  <c r="N40" i="11"/>
  <c r="U40" i="11" s="1"/>
  <c r="N33" i="11"/>
  <c r="AF33" i="11" s="1"/>
  <c r="K56" i="11"/>
  <c r="I27" i="11"/>
  <c r="N12" i="11"/>
  <c r="L56" i="11"/>
  <c r="M34" i="11"/>
  <c r="H55" i="13"/>
  <c r="O55" i="13" s="1"/>
  <c r="P40" i="13"/>
  <c r="AA27" i="4"/>
  <c r="G56" i="11"/>
  <c r="P37" i="13"/>
  <c r="O48" i="13"/>
  <c r="L48" i="11"/>
  <c r="H56" i="13"/>
  <c r="O56" i="13" s="1"/>
  <c r="AE9" i="7"/>
  <c r="AF9" i="7" s="1"/>
  <c r="AE14" i="7" s="1"/>
  <c r="AD10" i="4"/>
  <c r="AE10" i="4" s="1"/>
  <c r="AD14" i="4" s="1"/>
  <c r="O12" i="13"/>
  <c r="M55" i="13"/>
  <c r="O20" i="13"/>
  <c r="P25" i="13"/>
  <c r="M30" i="13"/>
  <c r="F57" i="13"/>
  <c r="H34" i="11"/>
  <c r="L46" i="13"/>
  <c r="N46" i="13" s="1"/>
  <c r="L12" i="13"/>
  <c r="Q12" i="13" s="1"/>
  <c r="H35" i="13"/>
  <c r="P35" i="13" s="1"/>
  <c r="J48" i="11"/>
  <c r="K35" i="12"/>
  <c r="L35" i="12" s="1"/>
  <c r="H53" i="13"/>
  <c r="P53" i="13" s="1"/>
  <c r="L26" i="13"/>
  <c r="N26" i="13" s="1"/>
  <c r="H57" i="13"/>
  <c r="I55" i="11"/>
  <c r="H28" i="13"/>
  <c r="O28" i="13" s="1"/>
  <c r="W27" i="4"/>
  <c r="K34" i="11"/>
  <c r="O19" i="13"/>
  <c r="M55" i="11"/>
  <c r="N17" i="13"/>
  <c r="J34" i="11"/>
  <c r="W29" i="3"/>
  <c r="J30" i="13"/>
  <c r="J35" i="13" s="1"/>
  <c r="P41" i="13"/>
  <c r="E201" i="9"/>
  <c r="N25" i="11"/>
  <c r="U25" i="11" s="1"/>
  <c r="N26" i="11"/>
  <c r="U26" i="11" s="1"/>
  <c r="K27" i="11"/>
  <c r="M20" i="11"/>
  <c r="AD12" i="4"/>
  <c r="O9" i="13"/>
  <c r="O34" i="13"/>
  <c r="L47" i="13"/>
  <c r="N47" i="13" s="1"/>
  <c r="L32" i="13"/>
  <c r="Q32" i="13" s="1"/>
  <c r="W35" i="1"/>
  <c r="M41" i="11"/>
  <c r="I54" i="11"/>
  <c r="N18" i="11"/>
  <c r="K58" i="13"/>
  <c r="G55" i="13"/>
  <c r="M19" i="13"/>
  <c r="W29" i="8"/>
  <c r="H41" i="11"/>
  <c r="K55" i="11"/>
  <c r="I20" i="11"/>
  <c r="Y15" i="3"/>
  <c r="M28" i="13"/>
  <c r="J19" i="13"/>
  <c r="L19" i="13" s="1"/>
  <c r="G56" i="13"/>
  <c r="L27" i="11"/>
  <c r="E31" i="9"/>
  <c r="K41" i="11"/>
  <c r="K57" i="12"/>
  <c r="L57" i="12" s="1"/>
  <c r="K42" i="12"/>
  <c r="H54" i="13"/>
  <c r="O54" i="13" s="1"/>
  <c r="I58" i="13"/>
  <c r="Q31" i="13"/>
  <c r="N31" i="13"/>
  <c r="AE20" i="11"/>
  <c r="L33" i="13"/>
  <c r="N33" i="13" s="1"/>
  <c r="L39" i="13"/>
  <c r="N39" i="13" s="1"/>
  <c r="G53" i="13"/>
  <c r="F42" i="13"/>
  <c r="M42" i="13" s="1"/>
  <c r="L25" i="13"/>
  <c r="N25" i="13" s="1"/>
  <c r="G21" i="13"/>
  <c r="G57" i="13"/>
  <c r="AE41" i="11"/>
  <c r="G54" i="13"/>
  <c r="G42" i="13"/>
  <c r="G49" i="13"/>
  <c r="G28" i="13"/>
  <c r="G35" i="13"/>
  <c r="Q38" i="13"/>
  <c r="O44" i="13"/>
  <c r="L23" i="12"/>
  <c r="F42" i="12"/>
  <c r="L37" i="12"/>
  <c r="G28" i="12"/>
  <c r="G57" i="12"/>
  <c r="F21" i="12"/>
  <c r="L44" i="12"/>
  <c r="L20" i="12"/>
  <c r="G42" i="12"/>
  <c r="F28" i="12"/>
  <c r="L28" i="12" s="1"/>
  <c r="K55" i="12"/>
  <c r="L55" i="12" s="1"/>
  <c r="G54" i="12"/>
  <c r="G56" i="12"/>
  <c r="L30" i="12"/>
  <c r="K49" i="12"/>
  <c r="L49" i="12" s="1"/>
  <c r="N20" i="13"/>
  <c r="Q20" i="13"/>
  <c r="Q27" i="13"/>
  <c r="Q48" i="13"/>
  <c r="N48" i="13"/>
  <c r="L16" i="13"/>
  <c r="Q16" i="13" s="1"/>
  <c r="Q13" i="13"/>
  <c r="N13" i="13"/>
  <c r="L57" i="13"/>
  <c r="O35" i="13"/>
  <c r="Q17" i="13"/>
  <c r="N41" i="13"/>
  <c r="Q41" i="13"/>
  <c r="Q45" i="13"/>
  <c r="L11" i="13"/>
  <c r="Q11" i="13" s="1"/>
  <c r="F21" i="13"/>
  <c r="M21" i="13" s="1"/>
  <c r="N34" i="13"/>
  <c r="G14" i="13"/>
  <c r="L54" i="13"/>
  <c r="J56" i="13"/>
  <c r="H14" i="13"/>
  <c r="M17" i="13"/>
  <c r="H21" i="13"/>
  <c r="M54" i="13"/>
  <c r="H42" i="13"/>
  <c r="N10" i="13"/>
  <c r="M16" i="13"/>
  <c r="P17" i="13"/>
  <c r="M23" i="13"/>
  <c r="Q24" i="13"/>
  <c r="O27" i="13"/>
  <c r="O33" i="13"/>
  <c r="O39" i="13"/>
  <c r="J44" i="13"/>
  <c r="O45" i="13"/>
  <c r="P46" i="13"/>
  <c r="F49" i="13"/>
  <c r="M49" i="13" s="1"/>
  <c r="M57" i="13"/>
  <c r="J23" i="13"/>
  <c r="O30" i="13"/>
  <c r="O17" i="13"/>
  <c r="P24" i="13"/>
  <c r="P30" i="13"/>
  <c r="O46" i="13"/>
  <c r="J9" i="13"/>
  <c r="O10" i="13"/>
  <c r="P27" i="13"/>
  <c r="P33" i="13"/>
  <c r="P39" i="13"/>
  <c r="P45" i="13"/>
  <c r="F53" i="13"/>
  <c r="F58" i="13" s="1"/>
  <c r="O11" i="13"/>
  <c r="P11" i="13"/>
  <c r="P10" i="13"/>
  <c r="O16" i="13"/>
  <c r="O23" i="13"/>
  <c r="J37" i="13"/>
  <c r="O38" i="13"/>
  <c r="H49" i="13"/>
  <c r="O13" i="13"/>
  <c r="O32" i="13"/>
  <c r="P38" i="13"/>
  <c r="K53" i="12"/>
  <c r="L13" i="12"/>
  <c r="L17" i="12"/>
  <c r="L18" i="12"/>
  <c r="L19" i="12"/>
  <c r="G49" i="12"/>
  <c r="F53" i="12"/>
  <c r="F58" i="12" s="1"/>
  <c r="K14" i="12"/>
  <c r="L16" i="12"/>
  <c r="L33" i="12"/>
  <c r="G53" i="12"/>
  <c r="K56" i="12"/>
  <c r="L56" i="12" s="1"/>
  <c r="L12" i="12"/>
  <c r="L32" i="12"/>
  <c r="L11" i="12"/>
  <c r="G21" i="12"/>
  <c r="L31" i="12"/>
  <c r="G35" i="12"/>
  <c r="K54" i="12"/>
  <c r="L54" i="12" s="1"/>
  <c r="G55" i="12"/>
  <c r="G14" i="12"/>
  <c r="N37" i="11"/>
  <c r="U37" i="11" s="1"/>
  <c r="J41" i="11"/>
  <c r="I48" i="11"/>
  <c r="AF9" i="11"/>
  <c r="K20" i="11"/>
  <c r="AE55" i="11"/>
  <c r="AE56" i="11"/>
  <c r="AF16" i="11"/>
  <c r="N30" i="11"/>
  <c r="U30" i="11" s="1"/>
  <c r="AE54" i="11"/>
  <c r="G54" i="11"/>
  <c r="AE27" i="11"/>
  <c r="M27" i="11"/>
  <c r="K53" i="11"/>
  <c r="AE53" i="11"/>
  <c r="G53" i="11"/>
  <c r="AE48" i="11"/>
  <c r="AE52" i="11"/>
  <c r="N22" i="11"/>
  <c r="AF22" i="11" s="1"/>
  <c r="X26" i="1"/>
  <c r="H56" i="11"/>
  <c r="N47" i="11"/>
  <c r="U47" i="11" s="1"/>
  <c r="H13" i="11"/>
  <c r="H53" i="11"/>
  <c r="H27" i="11"/>
  <c r="N44" i="11"/>
  <c r="U44" i="11" s="1"/>
  <c r="H48" i="11"/>
  <c r="W40" i="2"/>
  <c r="N19" i="11"/>
  <c r="U19" i="11" s="1"/>
  <c r="J56" i="11"/>
  <c r="J53" i="11"/>
  <c r="N23" i="11"/>
  <c r="U23" i="11" s="1"/>
  <c r="AE13" i="11"/>
  <c r="L34" i="11"/>
  <c r="L53" i="11"/>
  <c r="W39" i="5"/>
  <c r="G55" i="11"/>
  <c r="F20" i="11"/>
  <c r="F52" i="11"/>
  <c r="F34" i="11"/>
  <c r="F53" i="11"/>
  <c r="F56" i="11"/>
  <c r="W52" i="7"/>
  <c r="N32" i="13" l="1"/>
  <c r="L18" i="13"/>
  <c r="N18" i="13" s="1"/>
  <c r="H57" i="12"/>
  <c r="AP9" i="16"/>
  <c r="I10" i="12"/>
  <c r="V19" i="14"/>
  <c r="V141" i="14"/>
  <c r="V10" i="14"/>
  <c r="V142" i="14"/>
  <c r="F148" i="14"/>
  <c r="V12" i="14"/>
  <c r="V145" i="14"/>
  <c r="V146" i="14"/>
  <c r="V147" i="14"/>
  <c r="AP25" i="16"/>
  <c r="AP16" i="16"/>
  <c r="AP19" i="16"/>
  <c r="N12" i="13"/>
  <c r="AE12" i="7"/>
  <c r="AP37" i="16"/>
  <c r="AP40" i="16"/>
  <c r="H54" i="12"/>
  <c r="AP44" i="16"/>
  <c r="AP26" i="16"/>
  <c r="Q46" i="13"/>
  <c r="AP30" i="16"/>
  <c r="AD11" i="4"/>
  <c r="AQ9" i="16"/>
  <c r="AP47" i="16"/>
  <c r="V23" i="11"/>
  <c r="AP23" i="16"/>
  <c r="O57" i="13"/>
  <c r="P56" i="13"/>
  <c r="AF26" i="14"/>
  <c r="AF56" i="14"/>
  <c r="AF46" i="14"/>
  <c r="AF126" i="14"/>
  <c r="AF36" i="14"/>
  <c r="Q47" i="13"/>
  <c r="N40" i="13"/>
  <c r="AE148" i="14"/>
  <c r="M53" i="13"/>
  <c r="L56" i="13"/>
  <c r="N56" i="13" s="1"/>
  <c r="O52" i="11"/>
  <c r="O57" i="11" s="1"/>
  <c r="L30" i="13"/>
  <c r="Q30" i="13" s="1"/>
  <c r="AF16" i="14"/>
  <c r="I45" i="12"/>
  <c r="M45" i="12" s="1"/>
  <c r="V44" i="11"/>
  <c r="I48" i="12"/>
  <c r="M48" i="12" s="1"/>
  <c r="V47" i="11"/>
  <c r="I38" i="12"/>
  <c r="M38" i="12" s="1"/>
  <c r="V37" i="11"/>
  <c r="I41" i="12"/>
  <c r="J41" i="12" s="1"/>
  <c r="V40" i="11"/>
  <c r="I31" i="12"/>
  <c r="J31" i="12" s="1"/>
  <c r="V30" i="11"/>
  <c r="I27" i="12"/>
  <c r="J27" i="12" s="1"/>
  <c r="V26" i="11"/>
  <c r="I26" i="12"/>
  <c r="J26" i="12" s="1"/>
  <c r="V25" i="11"/>
  <c r="I20" i="12"/>
  <c r="J20" i="12" s="1"/>
  <c r="V19" i="11"/>
  <c r="I17" i="12"/>
  <c r="V16" i="11"/>
  <c r="M27" i="12"/>
  <c r="I24" i="12"/>
  <c r="U53" i="11"/>
  <c r="M41" i="12"/>
  <c r="AF40" i="11"/>
  <c r="T17" i="11"/>
  <c r="O48" i="11"/>
  <c r="T43" i="11"/>
  <c r="T18" i="11"/>
  <c r="U33" i="11"/>
  <c r="T15" i="11"/>
  <c r="T8" i="11"/>
  <c r="AF12" i="11"/>
  <c r="U12" i="11"/>
  <c r="T36" i="11"/>
  <c r="T29" i="11"/>
  <c r="O27" i="11"/>
  <c r="T22" i="11"/>
  <c r="M20" i="12"/>
  <c r="O55" i="11"/>
  <c r="S52" i="11"/>
  <c r="S57" i="11" s="1"/>
  <c r="P20" i="11"/>
  <c r="S20" i="11"/>
  <c r="R20" i="11"/>
  <c r="R52" i="11"/>
  <c r="R57" i="11" s="1"/>
  <c r="N39" i="11"/>
  <c r="U39" i="11" s="1"/>
  <c r="Q20" i="11"/>
  <c r="Q52" i="11"/>
  <c r="Q57" i="11" s="1"/>
  <c r="L54" i="11"/>
  <c r="P52" i="11"/>
  <c r="P57" i="11" s="1"/>
  <c r="O20" i="11"/>
  <c r="H55" i="11"/>
  <c r="J27" i="11"/>
  <c r="N46" i="11"/>
  <c r="N32" i="11"/>
  <c r="U32" i="11" s="1"/>
  <c r="K48" i="11"/>
  <c r="I41" i="11"/>
  <c r="N45" i="11"/>
  <c r="J54" i="11"/>
  <c r="N38" i="11"/>
  <c r="N31" i="11"/>
  <c r="I52" i="11"/>
  <c r="I57" i="11" s="1"/>
  <c r="I13" i="11"/>
  <c r="L21" i="12"/>
  <c r="L42" i="12"/>
  <c r="AF18" i="11"/>
  <c r="G13" i="11"/>
  <c r="G20" i="11"/>
  <c r="P28" i="13"/>
  <c r="N19" i="13"/>
  <c r="AD15" i="4"/>
  <c r="AF23" i="11"/>
  <c r="Q26" i="13"/>
  <c r="P55" i="13"/>
  <c r="AD13" i="4"/>
  <c r="AF25" i="11"/>
  <c r="N24" i="11"/>
  <c r="U24" i="11" s="1"/>
  <c r="Q19" i="13"/>
  <c r="P57" i="13"/>
  <c r="H58" i="13"/>
  <c r="O58" i="13" s="1"/>
  <c r="AE11" i="7"/>
  <c r="AE10" i="7"/>
  <c r="AE15" i="7"/>
  <c r="P54" i="13"/>
  <c r="Q18" i="13"/>
  <c r="K54" i="11"/>
  <c r="AD16" i="4"/>
  <c r="AF37" i="11"/>
  <c r="N10" i="11"/>
  <c r="U10" i="11" s="1"/>
  <c r="Q25" i="13"/>
  <c r="AF47" i="11"/>
  <c r="M48" i="11"/>
  <c r="AF26" i="11"/>
  <c r="M52" i="11"/>
  <c r="AF44" i="11"/>
  <c r="AF19" i="11"/>
  <c r="AF30" i="11"/>
  <c r="M58" i="13"/>
  <c r="J21" i="13"/>
  <c r="AE13" i="7"/>
  <c r="Q39" i="13"/>
  <c r="Q33" i="13"/>
  <c r="G58" i="13"/>
  <c r="L53" i="12"/>
  <c r="K58" i="12"/>
  <c r="L58" i="12" s="1"/>
  <c r="O42" i="13"/>
  <c r="P42" i="13"/>
  <c r="L21" i="13"/>
  <c r="N21" i="13" s="1"/>
  <c r="N16" i="13"/>
  <c r="O53" i="13"/>
  <c r="L9" i="13"/>
  <c r="J53" i="13"/>
  <c r="J58" i="13" s="1"/>
  <c r="J14" i="13"/>
  <c r="L55" i="13"/>
  <c r="N11" i="13"/>
  <c r="O21" i="13"/>
  <c r="P21" i="13"/>
  <c r="J49" i="13"/>
  <c r="L44" i="13"/>
  <c r="P49" i="13"/>
  <c r="O49" i="13"/>
  <c r="L37" i="13"/>
  <c r="J42" i="13"/>
  <c r="O14" i="13"/>
  <c r="P14" i="13"/>
  <c r="Q57" i="13"/>
  <c r="N57" i="13"/>
  <c r="L23" i="13"/>
  <c r="J28" i="13"/>
  <c r="N54" i="13"/>
  <c r="Q54" i="13"/>
  <c r="N13" i="12"/>
  <c r="G58" i="12"/>
  <c r="M10" i="12"/>
  <c r="J10" i="12"/>
  <c r="L14" i="12"/>
  <c r="M31" i="12"/>
  <c r="AE57" i="11"/>
  <c r="N56" i="11"/>
  <c r="G48" i="11"/>
  <c r="N43" i="11"/>
  <c r="G27" i="11"/>
  <c r="F57" i="11"/>
  <c r="M13" i="11"/>
  <c r="M54" i="11"/>
  <c r="Q56" i="13" l="1"/>
  <c r="U16" i="14"/>
  <c r="V16" i="14" s="1"/>
  <c r="V21" i="14"/>
  <c r="V11" i="14"/>
  <c r="AQ26" i="16"/>
  <c r="AF32" i="11"/>
  <c r="V53" i="11"/>
  <c r="AP53" i="16"/>
  <c r="AQ30" i="16"/>
  <c r="AP39" i="16"/>
  <c r="I54" i="12"/>
  <c r="J54" i="12" s="1"/>
  <c r="AP32" i="16"/>
  <c r="J48" i="12"/>
  <c r="AF39" i="11"/>
  <c r="AP24" i="16"/>
  <c r="V12" i="11"/>
  <c r="AP12" i="16"/>
  <c r="J45" i="12"/>
  <c r="AQ40" i="16"/>
  <c r="AQ23" i="16"/>
  <c r="AQ47" i="16"/>
  <c r="J38" i="12"/>
  <c r="AD17" i="4"/>
  <c r="AQ37" i="16"/>
  <c r="AQ16" i="16"/>
  <c r="AQ44" i="16"/>
  <c r="M26" i="12"/>
  <c r="V10" i="11"/>
  <c r="AP10" i="16"/>
  <c r="AQ19" i="16"/>
  <c r="AP33" i="16"/>
  <c r="AQ25" i="16"/>
  <c r="L35" i="13"/>
  <c r="Q35" i="13" s="1"/>
  <c r="N30" i="13"/>
  <c r="V8" i="14"/>
  <c r="I40" i="12"/>
  <c r="V39" i="11"/>
  <c r="I33" i="12"/>
  <c r="V32" i="11"/>
  <c r="I34" i="12"/>
  <c r="M34" i="12" s="1"/>
  <c r="V33" i="11"/>
  <c r="I25" i="12"/>
  <c r="V24" i="11"/>
  <c r="M17" i="12"/>
  <c r="J17" i="12"/>
  <c r="AF45" i="11"/>
  <c r="U45" i="11"/>
  <c r="T41" i="11"/>
  <c r="H37" i="12"/>
  <c r="H42" i="12" s="1"/>
  <c r="H30" i="12"/>
  <c r="H35" i="12" s="1"/>
  <c r="T34" i="11"/>
  <c r="H9" i="12"/>
  <c r="T13" i="11"/>
  <c r="T52" i="11"/>
  <c r="U56" i="11"/>
  <c r="I13" i="12"/>
  <c r="U46" i="11"/>
  <c r="T20" i="11"/>
  <c r="H16" i="12"/>
  <c r="J24" i="12"/>
  <c r="M24" i="12"/>
  <c r="I11" i="12"/>
  <c r="U18" i="11"/>
  <c r="H19" i="12"/>
  <c r="H56" i="12" s="1"/>
  <c r="T55" i="11"/>
  <c r="U43" i="11"/>
  <c r="H44" i="12"/>
  <c r="H49" i="12" s="1"/>
  <c r="T48" i="11"/>
  <c r="AF31" i="11"/>
  <c r="U31" i="11"/>
  <c r="T27" i="11"/>
  <c r="H23" i="12"/>
  <c r="H28" i="12" s="1"/>
  <c r="U22" i="11"/>
  <c r="H18" i="12"/>
  <c r="H55" i="12" s="1"/>
  <c r="T54" i="11"/>
  <c r="U38" i="11"/>
  <c r="AF38" i="11"/>
  <c r="AF46" i="11"/>
  <c r="AF24" i="11"/>
  <c r="AF27" i="11" s="1"/>
  <c r="G34" i="11"/>
  <c r="N29" i="11"/>
  <c r="U29" i="11" s="1"/>
  <c r="N36" i="11"/>
  <c r="U36" i="11" s="1"/>
  <c r="G41" i="11"/>
  <c r="P58" i="13"/>
  <c r="AF10" i="11"/>
  <c r="N27" i="11"/>
  <c r="G52" i="11"/>
  <c r="AE16" i="7"/>
  <c r="AF43" i="11"/>
  <c r="N44" i="13"/>
  <c r="L49" i="13"/>
  <c r="Q44" i="13"/>
  <c r="N23" i="13"/>
  <c r="L28" i="13"/>
  <c r="Q23" i="13"/>
  <c r="N9" i="13"/>
  <c r="L14" i="13"/>
  <c r="L53" i="13"/>
  <c r="Q9" i="13"/>
  <c r="Q21" i="13"/>
  <c r="N37" i="13"/>
  <c r="L42" i="13"/>
  <c r="Q37" i="13"/>
  <c r="N55" i="13"/>
  <c r="Q55" i="13"/>
  <c r="N48" i="11"/>
  <c r="J13" i="11"/>
  <c r="M53" i="11"/>
  <c r="J55" i="11"/>
  <c r="N35" i="13" l="1"/>
  <c r="T57" i="11"/>
  <c r="V18" i="14"/>
  <c r="U26" i="14"/>
  <c r="V26" i="14" s="1"/>
  <c r="AP29" i="16"/>
  <c r="AQ10" i="16"/>
  <c r="V56" i="11"/>
  <c r="AP56" i="16"/>
  <c r="M54" i="12"/>
  <c r="AQ24" i="16"/>
  <c r="AP36" i="16"/>
  <c r="AP18" i="16"/>
  <c r="AP38" i="16"/>
  <c r="AQ32" i="16"/>
  <c r="AQ39" i="16"/>
  <c r="AP43" i="16"/>
  <c r="H21" i="12"/>
  <c r="AP22" i="16"/>
  <c r="AP27" i="16" s="1"/>
  <c r="AQ27" i="16" s="1"/>
  <c r="AP46" i="16"/>
  <c r="AQ33" i="16"/>
  <c r="AQ12" i="16"/>
  <c r="AP31" i="16"/>
  <c r="AP45" i="16"/>
  <c r="V22" i="11"/>
  <c r="V36" i="11"/>
  <c r="V29" i="11"/>
  <c r="V43" i="11"/>
  <c r="V36" i="14"/>
  <c r="V126" i="14"/>
  <c r="V46" i="14"/>
  <c r="V56" i="14"/>
  <c r="I47" i="12"/>
  <c r="J47" i="12" s="1"/>
  <c r="V46" i="11"/>
  <c r="I46" i="12"/>
  <c r="M46" i="12" s="1"/>
  <c r="V45" i="11"/>
  <c r="I39" i="12"/>
  <c r="J39" i="12" s="1"/>
  <c r="V38" i="11"/>
  <c r="J40" i="12"/>
  <c r="M40" i="12"/>
  <c r="I32" i="12"/>
  <c r="V31" i="11"/>
  <c r="J34" i="12"/>
  <c r="J33" i="12"/>
  <c r="M33" i="12"/>
  <c r="M25" i="12"/>
  <c r="J25" i="12"/>
  <c r="I19" i="12"/>
  <c r="J19" i="12" s="1"/>
  <c r="V18" i="11"/>
  <c r="I30" i="12"/>
  <c r="U34" i="11"/>
  <c r="V34" i="11" s="1"/>
  <c r="U41" i="11"/>
  <c r="V41" i="11" s="1"/>
  <c r="I37" i="12"/>
  <c r="H14" i="12"/>
  <c r="H53" i="12"/>
  <c r="H58" i="12" s="1"/>
  <c r="J32" i="12"/>
  <c r="M32" i="12"/>
  <c r="U48" i="11"/>
  <c r="I44" i="12"/>
  <c r="M19" i="12"/>
  <c r="M13" i="12"/>
  <c r="I57" i="12"/>
  <c r="J13" i="12"/>
  <c r="U27" i="11"/>
  <c r="V27" i="11" s="1"/>
  <c r="I23" i="12"/>
  <c r="J11" i="12"/>
  <c r="M11" i="12"/>
  <c r="G57" i="11"/>
  <c r="AF48" i="11"/>
  <c r="AF36" i="11"/>
  <c r="AF41" i="11" s="1"/>
  <c r="N41" i="11"/>
  <c r="AF29" i="11"/>
  <c r="AF34" i="11" s="1"/>
  <c r="N34" i="11"/>
  <c r="N14" i="13"/>
  <c r="Q14" i="13"/>
  <c r="N49" i="13"/>
  <c r="Q49" i="13"/>
  <c r="L58" i="13"/>
  <c r="Q53" i="13"/>
  <c r="N53" i="13"/>
  <c r="N28" i="13"/>
  <c r="Q28" i="13"/>
  <c r="N42" i="13"/>
  <c r="Q42" i="13"/>
  <c r="M57" i="11"/>
  <c r="N53" i="11"/>
  <c r="L52" i="11"/>
  <c r="K13" i="11"/>
  <c r="J46" i="12" l="1"/>
  <c r="V48" i="11"/>
  <c r="AP41" i="16"/>
  <c r="AQ41" i="16" s="1"/>
  <c r="AQ36" i="16"/>
  <c r="M47" i="12"/>
  <c r="AP48" i="16"/>
  <c r="AQ48" i="16" s="1"/>
  <c r="AQ22" i="16"/>
  <c r="AQ46" i="16"/>
  <c r="AQ29" i="16"/>
  <c r="AQ45" i="16"/>
  <c r="AQ18" i="16"/>
  <c r="M39" i="12"/>
  <c r="AQ43" i="16"/>
  <c r="AQ31" i="16"/>
  <c r="AQ38" i="16"/>
  <c r="AP34" i="16"/>
  <c r="AQ34" i="16" s="1"/>
  <c r="M57" i="12"/>
  <c r="J57" i="12"/>
  <c r="I49" i="12"/>
  <c r="M44" i="12"/>
  <c r="J44" i="12"/>
  <c r="I42" i="12"/>
  <c r="J37" i="12"/>
  <c r="M37" i="12"/>
  <c r="M23" i="12"/>
  <c r="I28" i="12"/>
  <c r="J23" i="12"/>
  <c r="I35" i="12"/>
  <c r="J30" i="12"/>
  <c r="M30" i="12"/>
  <c r="N8" i="11"/>
  <c r="N58" i="13"/>
  <c r="Q58" i="13"/>
  <c r="K52" i="11"/>
  <c r="K57" i="11" s="1"/>
  <c r="N11" i="11"/>
  <c r="U11" i="11" s="1"/>
  <c r="V11" i="11" l="1"/>
  <c r="AP11" i="16"/>
  <c r="J28" i="12"/>
  <c r="M28" i="12"/>
  <c r="J42" i="12"/>
  <c r="M42" i="12"/>
  <c r="J35" i="12"/>
  <c r="M35" i="12"/>
  <c r="U8" i="11"/>
  <c r="U55" i="11"/>
  <c r="I12" i="12"/>
  <c r="M49" i="12"/>
  <c r="J49" i="12"/>
  <c r="AF8" i="11"/>
  <c r="N13" i="11"/>
  <c r="AF11" i="11"/>
  <c r="L55" i="11"/>
  <c r="L13" i="11"/>
  <c r="AQ11" i="16" l="1"/>
  <c r="V55" i="11"/>
  <c r="AP55" i="16"/>
  <c r="AP8" i="16"/>
  <c r="AP13" i="16" s="1"/>
  <c r="AQ13" i="16" s="1"/>
  <c r="V8" i="11"/>
  <c r="AF13" i="11"/>
  <c r="I9" i="12"/>
  <c r="M9" i="12" s="1"/>
  <c r="U13" i="11"/>
  <c r="V13" i="11" s="1"/>
  <c r="M12" i="12"/>
  <c r="I56" i="12"/>
  <c r="J12" i="12"/>
  <c r="N55" i="11"/>
  <c r="L57" i="11"/>
  <c r="J52" i="11"/>
  <c r="N52" i="11" s="1"/>
  <c r="J20" i="11"/>
  <c r="N15" i="11"/>
  <c r="U15" i="11" s="1"/>
  <c r="AQ8" i="16" l="1"/>
  <c r="AP15" i="16"/>
  <c r="V15" i="11"/>
  <c r="I14" i="12"/>
  <c r="J9" i="12"/>
  <c r="I16" i="12"/>
  <c r="J56" i="12"/>
  <c r="M56" i="12"/>
  <c r="U52" i="11"/>
  <c r="AF15" i="11"/>
  <c r="J57" i="11"/>
  <c r="H54" i="11"/>
  <c r="N54" i="11" s="1"/>
  <c r="H20" i="11"/>
  <c r="N17" i="11"/>
  <c r="U17" i="11" s="1"/>
  <c r="V52" i="11" l="1"/>
  <c r="AP52" i="16"/>
  <c r="AQ15" i="16"/>
  <c r="V17" i="11"/>
  <c r="AP17" i="16"/>
  <c r="AP20" i="16"/>
  <c r="AQ20" i="16" s="1"/>
  <c r="U20" i="11"/>
  <c r="V20" i="11" s="1"/>
  <c r="M16" i="12"/>
  <c r="J16" i="12"/>
  <c r="J14" i="12"/>
  <c r="M14" i="12"/>
  <c r="I18" i="12"/>
  <c r="U54" i="11"/>
  <c r="I53" i="12"/>
  <c r="AF17" i="11"/>
  <c r="AF20" i="11" s="1"/>
  <c r="N57" i="11"/>
  <c r="N20" i="11"/>
  <c r="H57" i="11"/>
  <c r="AQ17" i="16" l="1"/>
  <c r="AP54" i="16"/>
  <c r="AP57" i="16" s="1"/>
  <c r="U57" i="11"/>
  <c r="V57" i="11" s="1"/>
  <c r="V54" i="11"/>
  <c r="J53" i="12"/>
  <c r="M53" i="12"/>
  <c r="J18" i="12"/>
  <c r="M18" i="12"/>
  <c r="I55" i="12"/>
  <c r="I21" i="12"/>
  <c r="G73" i="12"/>
  <c r="J21" i="12" l="1"/>
  <c r="M21" i="12"/>
  <c r="M55" i="12"/>
  <c r="J55" i="12"/>
  <c r="I58" i="12"/>
  <c r="M58" i="12" l="1"/>
  <c r="J58" i="12"/>
  <c r="S148" i="14" l="1"/>
  <c r="S86" i="14"/>
  <c r="R86" i="14"/>
  <c r="R148" i="14" l="1"/>
  <c r="V78" i="14" l="1"/>
  <c r="V140" i="14" l="1"/>
  <c r="V62" i="14" l="1"/>
  <c r="O66" i="14"/>
  <c r="O143" i="14"/>
  <c r="O86" i="14"/>
  <c r="O144" i="14"/>
  <c r="V61" i="14" l="1"/>
  <c r="O148" i="14"/>
  <c r="T86" i="14"/>
  <c r="U86" i="14"/>
  <c r="V86" i="14" s="1"/>
  <c r="V82" i="14"/>
  <c r="V144" i="14"/>
  <c r="T148" i="14"/>
  <c r="T66" i="14"/>
  <c r="U66" i="14"/>
  <c r="V66" i="14" s="1"/>
  <c r="U148" i="14" l="1"/>
  <c r="V148" i="14" s="1"/>
  <c r="V143" i="14"/>
</calcChain>
</file>

<file path=xl/sharedStrings.xml><?xml version="1.0" encoding="utf-8"?>
<sst xmlns="http://schemas.openxmlformats.org/spreadsheetml/2006/main" count="4278" uniqueCount="998">
  <si>
    <t>PT. ASDP INDONESIA FERRY (PERSERO) CABANG: LUWUK
REGIONAL : IV</t>
  </si>
  <si>
    <t>DAFTAR SPPBJ S/D KONTRAK PERIODE : JANUARI 2023</t>
  </si>
  <si>
    <t>NO</t>
  </si>
  <si>
    <t>NOMOR PR</t>
  </si>
  <si>
    <t>NOMOR RFQ</t>
  </si>
  <si>
    <t>NOMOR SPPBJ</t>
  </si>
  <si>
    <t>TANGGAL SPPBJ/PR</t>
  </si>
  <si>
    <t xml:space="preserve">NILAI (RP) SPPBJ/PR (BLM PPN) </t>
  </si>
  <si>
    <t>ACC ASSIGMENT</t>
  </si>
  <si>
    <t>NAMA PEKERJAAN</t>
  </si>
  <si>
    <t>USER (PEMAKAI)</t>
  </si>
  <si>
    <t>KELOMPOK BARANG/JASA (SESUAI SAP)</t>
  </si>
  <si>
    <t>MATERIAL GROUP (SESUAI SAP)</t>
  </si>
  <si>
    <t>TGL SPPBJ/PR DITERIMA UNIT PBJ</t>
  </si>
  <si>
    <t>METODE PBJ</t>
  </si>
  <si>
    <t>PIC PBJ</t>
  </si>
  <si>
    <t>NOMOR PO</t>
  </si>
  <si>
    <t>NOMOR PERJANJIAN</t>
  </si>
  <si>
    <t>TANGGAL PERJANJIAN</t>
  </si>
  <si>
    <t>DATA MITRA KERJA</t>
  </si>
  <si>
    <t>NILAI PERJANJIAN (SEBELUM PPN) RP</t>
  </si>
  <si>
    <t xml:space="preserve">SELISIH NILAI PERJANJIAN DENGAN NILAI SPPBJ (SEBELUM PPN) </t>
  </si>
  <si>
    <t>NAMA PERUSAHAAN</t>
  </si>
  <si>
    <t>NPWP</t>
  </si>
  <si>
    <t>ALAMAT</t>
  </si>
  <si>
    <t>(6-21)</t>
  </si>
  <si>
    <t>1</t>
  </si>
  <si>
    <t>6</t>
  </si>
  <si>
    <t>22</t>
  </si>
  <si>
    <t>23</t>
  </si>
  <si>
    <t>SPPB/J No. 001/SPPB-UM/ASDP-LWK/2023</t>
  </si>
  <si>
    <t>K</t>
  </si>
  <si>
    <t>Akomodasi, Peralatan, dan Perlengkapan Kapal</t>
  </si>
  <si>
    <t>Teknik/Alif</t>
  </si>
  <si>
    <t>BARANG TEKNIK</t>
  </si>
  <si>
    <t>PERALATAN</t>
  </si>
  <si>
    <t>PENGADAAN LANGSUNG</t>
  </si>
  <si>
    <t>Aditia</t>
  </si>
  <si>
    <t>SPB/J.001/PPBJ/UM.201/ASDP-LWK/2023</t>
  </si>
  <si>
    <t>Koperasi Jasa Karyawan Tanjung Sejahtera</t>
  </si>
  <si>
    <t>02.119.857.7-832.000</t>
  </si>
  <si>
    <t>Jl. Tan Malaka No. 15, Keraton, Luwuk, Banggai</t>
  </si>
  <si>
    <t>SPPB/J No. 002/SPPB-UM/ASDP-LWK/2023</t>
  </si>
  <si>
    <t>Permesinan dan Kelistrikan Kapal</t>
  </si>
  <si>
    <t>SPB/J.002/PPBJ/UM.201/ASDP-LWK/2023</t>
  </si>
  <si>
    <t>SPPB/J No. 007/SPPB-UM/ASDP-LWK/2023</t>
  </si>
  <si>
    <t>Renovasi Messroom dan Ruang Kantor KMP. Tuna Tomini</t>
  </si>
  <si>
    <t>JASA PEMELIHARAAN</t>
  </si>
  <si>
    <t>SPB/J.006/PPBJ/UM.201/ASDP-LWK/2023</t>
  </si>
  <si>
    <t>SPPB/J No. 008/SPPB-UM/ASDP-LWK/2023</t>
  </si>
  <si>
    <t>Perbaikan Radar KMP. Tuna Tomini</t>
  </si>
  <si>
    <t>SPB/J.007/PPBJ/UM.201/ASDP-LWK/2023</t>
  </si>
  <si>
    <t>SPPB/J No. 013/SPPB-UM/ASDP-LWK/2023</t>
  </si>
  <si>
    <t>Pengadaan Perlengkapan Kapal</t>
  </si>
  <si>
    <t>SPB/J.010/PPBJ/UM.201/ASDP-LWK/2023</t>
  </si>
  <si>
    <t>SPPB/J No. 009/SPPB-UM/ASDP-LWK/2023</t>
  </si>
  <si>
    <t>Perbaikan AC KMP. Cengkih Afo</t>
  </si>
  <si>
    <t>SPB/J.008/PPBJ/UM.201/ASDP-LWK/2023</t>
  </si>
  <si>
    <t>No. 14/SPPB-TNK/ASDP-LWK-2023</t>
  </si>
  <si>
    <t>Docking Repair KMP. Dolosi Tahun 2023</t>
  </si>
  <si>
    <t>Teknik/Irwan</t>
  </si>
  <si>
    <t>JASA TEKNIK</t>
  </si>
  <si>
    <t>PENUNJUKAN LANGSUNG</t>
  </si>
  <si>
    <t>Sperj.01/HK.201/II/ASDP-LWK/2023</t>
  </si>
  <si>
    <t>PT. Unggul Sejati Abadi</t>
  </si>
  <si>
    <t>01.923.649.6-823.000</t>
  </si>
  <si>
    <t>Kel. Pateten, Pateten Satu, Bitung</t>
  </si>
  <si>
    <t>SPPB/ No. 144/SPPB-TNK/ASDP-LWK/2023</t>
  </si>
  <si>
    <t>Pembelian BBM Industri dalam rangka Docking KMP. Dolosi</t>
  </si>
  <si>
    <t>Usaha/Ade Buay</t>
  </si>
  <si>
    <t>BARANG USAHA</t>
  </si>
  <si>
    <t>BBM DOCKING</t>
  </si>
  <si>
    <t>SPB/J.26/UM.201/ASDP-LWK/2023</t>
  </si>
  <si>
    <t>Sinergi Energi Nusantara</t>
  </si>
  <si>
    <t>91.691.694.3-831.000</t>
  </si>
  <si>
    <t>Jl. Poros Palu Kulawi</t>
  </si>
  <si>
    <t>SPPB/J No. 13A/SPPB-UM/ASDP-LWK/2023</t>
  </si>
  <si>
    <t>Pengadaan Filter Oli KMP. Moinit</t>
  </si>
  <si>
    <t>SPB/J.10B/PPBJ/UM.201/ASDP-LWK/2023</t>
  </si>
  <si>
    <t>SPPB/J No. 13B/SPPB-UM/ASDP-LWK/2023</t>
  </si>
  <si>
    <t>Pengadaan Impeller KMP. Dolosi</t>
  </si>
  <si>
    <t>SPB/J.10C/PPBJ/UM.201/ASDP-LWK/2023</t>
  </si>
  <si>
    <t>SPPB/J No. 14A/SPPB-UM/ASDP-LWK/2023</t>
  </si>
  <si>
    <t>Pengadaan terpal KMP. Moinit</t>
  </si>
  <si>
    <t>SPB/J.10A/PPBJ/UM.201/ASDP-LWK/2023</t>
  </si>
  <si>
    <t>SPPB/J No. 14B/SPPB-UM/ASDP-LWK/2023</t>
  </si>
  <si>
    <t>Pengadaan Impeller KMP. Tanjung Api</t>
  </si>
  <si>
    <t>SPB/J.10D/PPBJ/UM.201/ASDP-LWK/2023</t>
  </si>
  <si>
    <t>SPPB/J No. 016/SPPB-UM/ASDP-LWK/2023</t>
  </si>
  <si>
    <t>Pengadaan Peralatan Mesin KMP. Tanjung Api</t>
  </si>
  <si>
    <t>SPB/J.016/PPBJ/UM.201/ASDP-LWK/2023</t>
  </si>
  <si>
    <t>SPPB/J No. 42/SPPB-UM/ASDP-LWK/2023</t>
  </si>
  <si>
    <t>Pengadaan Kipas Angin KMP. Teluk Tolo</t>
  </si>
  <si>
    <t>SPB/J.24/PPBJ/UM.201/ASDP-LWK/2023</t>
  </si>
  <si>
    <t>-</t>
  </si>
  <si>
    <t>SPPB/J No. 54/SPPB-UM/ASDP-LWK/2023</t>
  </si>
  <si>
    <t>SPB/J.29/PPBJ/UM.201/ASDP-LWK/2023</t>
  </si>
  <si>
    <t>SPPB/J No. 31/SPPB-TNK/ASDP-LWK/2023</t>
  </si>
  <si>
    <t>SPB/J.31/PPBJ/UM.201/ASDP-LWK/2023</t>
  </si>
  <si>
    <t>SPPB/J No. 015/SPPB-TNK/ASDP-LWK/2023</t>
  </si>
  <si>
    <t>Permintaan Kebutuhan Minyak Pelumas Bulan Januari</t>
  </si>
  <si>
    <t>PELUMAS KAPAL</t>
  </si>
  <si>
    <t>SPB/J.015/PPBJ/UM.201/ASDP-LWK/2023</t>
  </si>
  <si>
    <t>Pelumas Indo Prima Gemilang</t>
  </si>
  <si>
    <t>01.630.355.4-831.000</t>
  </si>
  <si>
    <t>Jl. Sungai Wera No. 2, Ujuna</t>
  </si>
  <si>
    <t>F</t>
  </si>
  <si>
    <t>Pengadaan Investasi Suku Cadang Mesin Bantu KMP. Dolosi Dalam Rangka Docking Tahun 2023</t>
  </si>
  <si>
    <t xml:space="preserve">SUKU CADANG </t>
  </si>
  <si>
    <t>CV. Rizky Mandiri Perkasa</t>
  </si>
  <si>
    <t>85.531.485.2-832.000</t>
  </si>
  <si>
    <t>JL. AWU, LUWUK,BANGGAI</t>
  </si>
  <si>
    <t>UD. IYONO</t>
  </si>
  <si>
    <t>07.049.384.6-832.000</t>
  </si>
  <si>
    <t>SPPB/J No. 20/SPPB-TNK/ASDP-LWK/2023</t>
  </si>
  <si>
    <t>Permesinan dan Kelistrikan kapal</t>
  </si>
  <si>
    <t>SPB/J No. 14/PPBJ/UM.201/I/ASDP-LWK/2023</t>
  </si>
  <si>
    <t>Jl. Jend. Sudirman No. 68</t>
  </si>
  <si>
    <t>SPPB/J No. 21/SPPB-TNK/ASDP-LWK/2023</t>
  </si>
  <si>
    <t>SPB/J No. 15/PPBJ/UM.201/I/ASDP-LWK/2023</t>
  </si>
  <si>
    <t>Jl. Jend. Sudirman No. 69</t>
  </si>
  <si>
    <t>SPPB/J No. 34/SPPB-TNK/ASDP-LWK/2023</t>
  </si>
  <si>
    <t>Pengadaan Alat Kerja Deck Dalam Rangka Docking Tahun 2023</t>
  </si>
  <si>
    <t>SPB/J No. 16/PPBJ/UM.201/I/ASDP-LWK/2023</t>
  </si>
  <si>
    <t>Jl. Jend. Sudirman No. 70</t>
  </si>
  <si>
    <t>SPPB/J No. 35/SPPB-TNK/ASDP-LWK/2023</t>
  </si>
  <si>
    <t>Pengadaan Alat Kerja Mesin Dalam Rangka Docking Tahun 2023</t>
  </si>
  <si>
    <t>SPB/J No. 17/PPBJ/UM.201/I/ASDP-LWK/2023</t>
  </si>
  <si>
    <t>Jl. Jend. Sudirman No. 71</t>
  </si>
  <si>
    <t>SPPB/J No. 016/SPPB-TNK/ASDP-LWK/2023</t>
  </si>
  <si>
    <t>Pengadaan Cat AGA KMP. Dolosi</t>
  </si>
  <si>
    <t>SPB/J No. 012/PPBJ/UM.201/I/ASDP-LWK/2023</t>
  </si>
  <si>
    <t>CV. OMI Indah Permai</t>
  </si>
  <si>
    <t>92.779.186.3-804.000</t>
  </si>
  <si>
    <t>Jl. Tanjung Bunga No. 38B</t>
  </si>
  <si>
    <t>Pengadaan cat BGA KMP. Dolosi</t>
  </si>
  <si>
    <t>SPB/J No. 011/PPBJ/UM.201/I/ASDP-LWK/2023</t>
  </si>
  <si>
    <t>SPPB/J No. 017/SPPB-TNK/ASDP-LWK/2023</t>
  </si>
  <si>
    <t>Pengadaan Cat Kamar Mesin KMP. Dolosi</t>
  </si>
  <si>
    <t>SPB/J No. 013/PPBJ/UM.201/I/ASDP-LWK/2023</t>
  </si>
  <si>
    <t>SPPB/J No. 037/SPPB-TNK/ASDP-LWK/2023</t>
  </si>
  <si>
    <t>Pengadaan Suku Cadang Mesin Induk KMP. Dolosi</t>
  </si>
  <si>
    <t>SPB/J No. 019/PPBJ/UM.201/I/ASDP-LWK/2023</t>
  </si>
  <si>
    <t>PT. Global Trading</t>
  </si>
  <si>
    <t>02.106.498.5-043.000</t>
  </si>
  <si>
    <t>Ruko Vila Gading Indah Blok A2/2, Kelapa Gading</t>
  </si>
  <si>
    <t>Investasi Suku cadang Mesin Induk KMP. Dolosi</t>
  </si>
  <si>
    <t>Investasi Kasur Tatami Ruang ekonomi KMP. Dolosi</t>
  </si>
  <si>
    <t>Investasi Dinamo Starter KMP. Tuna Tomini</t>
  </si>
  <si>
    <t>01.313.974.6-073.000</t>
  </si>
  <si>
    <t>Jl. IR. H. Juanda No. 42, Jakarta</t>
  </si>
  <si>
    <t>Efisiensi</t>
  </si>
  <si>
    <t>Luwuk, 31 Januari 2023</t>
  </si>
  <si>
    <t>Mengetahui</t>
  </si>
  <si>
    <t>Manager SDM, Keuangan, dan SCM</t>
  </si>
  <si>
    <t>Muchlis Burhanuddin</t>
  </si>
  <si>
    <t>DAFTAR SPPBJ S/D KONTRAK PERIODE : FEBRUARI 2023</t>
  </si>
  <si>
    <t xml:space="preserve"> 21</t>
  </si>
  <si>
    <t>SUKU CADANG KAPAL</t>
  </si>
  <si>
    <t>SPPB/J No. 63/SPPB-TNK/ASDP-LWK/2023</t>
  </si>
  <si>
    <t>Perbaikan Peralatan Mesin KMP. Dolosi</t>
  </si>
  <si>
    <t>SPB/J No. 38/PPBJ/UM.201/II/ASDP-LWK/2023</t>
  </si>
  <si>
    <t>SPPB/J No. 66/SPPB-UM/ASDP-LWK/2023</t>
  </si>
  <si>
    <t>Pengadaan Charge ACCU KMP. Tanjung Api</t>
  </si>
  <si>
    <t>SPB/J No. 41/PPBJ/UM.201/II/ASDP-LWK/2023</t>
  </si>
  <si>
    <t>SPPB/J No. 65/SPPB-UM/ASDP-LWK/2023</t>
  </si>
  <si>
    <t>Pengadaan Filter KMP. Tanjung Api</t>
  </si>
  <si>
    <t>SPB/J No. 40/PPBJ/UM.201/II/ASDP-LWK/2023</t>
  </si>
  <si>
    <t>SPPB/J No. 70/SPPB-UM/ASDP-LWK/2023</t>
  </si>
  <si>
    <t>Pengadaan HT KMP. Dolosi</t>
  </si>
  <si>
    <t>SPB/J No. 44/PPBJ/UM.201/II/ASDP-LWK/2023</t>
  </si>
  <si>
    <t>SPPB/J No. 71/SPPB-UM/ASDP-LWK/2023</t>
  </si>
  <si>
    <t>Pengadaan Charger Accu A dan Charger Accu KMP. Tanjung Api</t>
  </si>
  <si>
    <t>SPB/J No. 45/PPBJ/UM.201/II/ASDP-LWK/2023</t>
  </si>
  <si>
    <t>SPPB/J No. 72/SPPB-TNK/ASDP-LWK/2023</t>
  </si>
  <si>
    <t>Pengadaan Filter KMP. Moinit</t>
  </si>
  <si>
    <t>SPB/J No. 46/PPBJ/UM.201/II/ASDP-LWK/2023</t>
  </si>
  <si>
    <t>PT. Baracuda Bintang Sentosa</t>
  </si>
  <si>
    <t>92.627.756.7-075.000</t>
  </si>
  <si>
    <t>Jl. Taman Sari Raya No. 77G</t>
  </si>
  <si>
    <t>SPPB/J No. 61/SPPB-TNK/ASDP-LWK/2023</t>
  </si>
  <si>
    <t>Pengadaan Alumunium Anode Dalam Rangka Docking Tahun 2023 KMP. Dolosi</t>
  </si>
  <si>
    <t>SPB/J No. 36/PPBJ/UM.201/II/ASDP-LWK/2023</t>
  </si>
  <si>
    <t>PT. Makmur Marina Metalindo</t>
  </si>
  <si>
    <t>SPPB/J No. 77/SPPB-TNK/ASDP-LWK/2023</t>
  </si>
  <si>
    <t>Permesinan dan Kelistrikan Kapal KMP. Tuna Tomini</t>
  </si>
  <si>
    <t>SPB/J No. 51/PPBJ/UM.201/II/ASDP-LWK/2023</t>
  </si>
  <si>
    <t>SPPB/J No. 82/SPPB-UM/ASDP-LWK/2023</t>
  </si>
  <si>
    <t>Pengadaan Braket Panel Induk KMP. Tuna Tomini</t>
  </si>
  <si>
    <t>SPB/J No. 56/PPBJ/UM.201/II/ASDP-LWK/2023</t>
  </si>
  <si>
    <t>SPPB/J No. 73/SPPB-TNK/ASDP-LWK/2023</t>
  </si>
  <si>
    <t>Pengadaan Oli Kapal KMP. Tuna Tomini</t>
  </si>
  <si>
    <t>SPB/J No. 47/PPBJ/UM.201/II/ASDP-LWK/2023</t>
  </si>
  <si>
    <t>SPPB/J No. 78/SPPB-TNK/ASDP-LWK/2023</t>
  </si>
  <si>
    <t>Permesinan dan Kelistrikan Kapal KMP. Tanjung Api</t>
  </si>
  <si>
    <t>SPB/J No. 52/PPBJ/UM.201/II/ASDP-LWK/2023</t>
  </si>
  <si>
    <t>SPPB/J No. 75/SPPB-UM/ASDP-LWK/2023</t>
  </si>
  <si>
    <t>Perbaikan Charger ACCU KMP. Tanjung Api</t>
  </si>
  <si>
    <t>SPB/J No. 49/PPBJ/UM.201/II/ASDP-LWK/2023</t>
  </si>
  <si>
    <t>SPPB/J No. 74/SPPB-UM/ASDP-LWK/2023</t>
  </si>
  <si>
    <t>Perbaikan Peralatan KMP. Moinit</t>
  </si>
  <si>
    <t>SPB/J No. 48/PPBJ/UM.201/II/ASDP-LWK/2023</t>
  </si>
  <si>
    <t>SPPB/J No. 59/SPPB-TNK/ASDP-LWK/2023</t>
  </si>
  <si>
    <t>Pengadaan Filter KMP. Teluk Tolo</t>
  </si>
  <si>
    <t>SPB/J No. 34/PPBJ/UM.201/II/ASDP-LWK/2023</t>
  </si>
  <si>
    <t>SPPB/J No. 57/SPPB-TNK/ASDP-LWK/2023</t>
  </si>
  <si>
    <t>Pengadaan ME dan AE KMP. Tuna Tomini</t>
  </si>
  <si>
    <t>SPB/J No. 32/PPBJ/UM.201/II/ASDP-LWK/2023</t>
  </si>
  <si>
    <t>SPPB/J No. 58/SPPB-TNK/ASDP-LWK/2023</t>
  </si>
  <si>
    <t>Pengadaan Filter ME dan AE KMP. Tanjung Api</t>
  </si>
  <si>
    <t>SPB/J No. 33/PPBJ/UM.201/II/ASDP-LWK/2023</t>
  </si>
  <si>
    <t>SPPB/J No. 64/SPPB-TNK/ASDP-LWK/2023</t>
  </si>
  <si>
    <t>Docking Repair KMP. Cengkih Afo Tahun 2023</t>
  </si>
  <si>
    <t>Sperj.03/HK.201/II/ASDP-LWK/2023</t>
  </si>
  <si>
    <t>Pembuatan Rampdoor Haluan KMP. Cengkih Afo tahun 2023</t>
  </si>
  <si>
    <t>SPPB/J No. 89/SPPB-TNK/ASDP-LWK/20233</t>
  </si>
  <si>
    <t>Pengadaan Bahan Bakar Minyak Industri Dalam Rangka Docking KMP. Cengkih Afo</t>
  </si>
  <si>
    <t>Usaha/Ade B</t>
  </si>
  <si>
    <t>SPB/J No. 62/PPBJ/UM.201/II/ASDP-LWK/2023</t>
  </si>
  <si>
    <t>PT. Sinergi Energi Nusantara</t>
  </si>
  <si>
    <t>Pengadaan Investasi Alat Keselamatan KMP. Dolosi</t>
  </si>
  <si>
    <t>SPPB/J No. 55/SPPB-UM/ASDP-LWK/2023</t>
  </si>
  <si>
    <t>SPB/J No. 31/PPBJ/UM.201/II/ASDP-LWK/2023</t>
  </si>
  <si>
    <t>SPB/J No. 29/PPBJ/UM.201/II/ASDP-LWK/2023</t>
  </si>
  <si>
    <t>SPPB/J No. 69A/SPPB-TNK/ASDP-LWK/20233</t>
  </si>
  <si>
    <t>Pengadaan Cleaning Tangki KMP Dolosi Dalam Rangka Docking Tahun 2023</t>
  </si>
  <si>
    <t>SPB/J No. 43A/PPBJ/UM.201/II/ASDP-LWK/2023</t>
  </si>
  <si>
    <t>SPB/J No. 39/PPBJ/UM.201/II/ASDP-LWK/2023</t>
  </si>
  <si>
    <t>SPPB/J No. 080/SPPB-TNK/ASDP-LWK/2023</t>
  </si>
  <si>
    <t>Pengadaan Cat BGA KMP. Cengkih Afo</t>
  </si>
  <si>
    <t>SPB/J No. 54/PPBJ/UM.201/II/ASDP-LWK/2023</t>
  </si>
  <si>
    <t>SPPB/J No. 079/SPPB-TNK/ASDP-LWK/2023</t>
  </si>
  <si>
    <t>Pengadaan Cat AGA KMP. Cengkih Afo</t>
  </si>
  <si>
    <t>SPB/J No. 53/PPBJ/UM.201/II/ASDP-LWK/2023</t>
  </si>
  <si>
    <t>SPPB/J No. 081/SPPB-TNK/ASDP-LWK/2023</t>
  </si>
  <si>
    <t>Pengadaan Cat Kamar Mesin KMP. Cengkih Afo</t>
  </si>
  <si>
    <t>SPB/J No. 55/PPBJ/UM.201/II/ASDP-LWK/2023</t>
  </si>
  <si>
    <t>SPPB/J No. 68/SPPB-TNK/ASDP-LWK/2023</t>
  </si>
  <si>
    <t>Pekerjaan Overhull &amp; Penggantian Sparepart Gear Box KMP. Dolosi</t>
  </si>
  <si>
    <t>SPB/J No. 42A/PPBJ/UM.201/II/ASDP-LWK/2023</t>
  </si>
  <si>
    <t>CV. Bento Herlambang teknik</t>
  </si>
  <si>
    <t>86.318.270.5-627.000</t>
  </si>
  <si>
    <t>Jl. Ikan Pesut No. 25, Sobo, Banyuwangi</t>
  </si>
  <si>
    <t>SPPB/J No. 84/SPPB-TNK/ASDP-LWK/2023</t>
  </si>
  <si>
    <t>SPB/J No. 58/PPBJ/UM.201/II/ASDP-LWK/2023</t>
  </si>
  <si>
    <t>SPPB/J No. 062/SPPB-TF/ASDP-LWK/2023</t>
  </si>
  <si>
    <t>Pekerjaan Docking KMP. DOLOSI Tahun 2023</t>
  </si>
  <si>
    <t>Sperj. 01A/HK.201/II/Add/ASDP-LWK/2023</t>
  </si>
  <si>
    <t>SPPB/J No. 85/SPPB-TNK/ASDP-LWK/2023</t>
  </si>
  <si>
    <t>SPB/J No. 85/PPBJ/UM.201/II/ASDP-LWK/2023</t>
  </si>
  <si>
    <t>CV. Bento Herlambang Teknik</t>
  </si>
  <si>
    <t>SPPB/J No. 56/SPPB-TNK/ASDP-LWK/2023</t>
  </si>
  <si>
    <t>Pengadaan Filter KMP. Tuna Tomini</t>
  </si>
  <si>
    <t>SPB/J No. 30/PPBJ/UM.201/II/ASDP-LWK/2023</t>
  </si>
  <si>
    <t>PT. Pioneer</t>
  </si>
  <si>
    <t>Pekerjaan Service ILR dan PMK KMP. Dolosi</t>
  </si>
  <si>
    <t>PT. Pascadana Puratama</t>
  </si>
  <si>
    <t>01.760.570.0-024.000</t>
  </si>
  <si>
    <t>Luwuk, 28 Februari 2023</t>
  </si>
  <si>
    <t>DAFTAR SPPBJ S/D KONTRAK PERIODE : MARET 2023</t>
  </si>
  <si>
    <t>SPPB/J No. 90/SPPB-UM/ASDP-LWK/2023</t>
  </si>
  <si>
    <t>SPB/J No. 65/PPBJ/UM.201/III/ASDP-LWK/2023</t>
  </si>
  <si>
    <t>SPPB/J No. 91/SPPB-UM/ASDP-LWK/2023</t>
  </si>
  <si>
    <t>SPB/J No. 66/PPBJ/UM.201/III/ASDP-LWK/2023</t>
  </si>
  <si>
    <t>SPPB/J No. 88/SPPB-TNK/ASDP-LWK/2023</t>
  </si>
  <si>
    <t>SPB/J No. 61/PPBJ/UM.201/III/ASDP-LWK/2023</t>
  </si>
  <si>
    <t>SPPB/J No. 96/SPPB-TNK/ASDP-LWK/2023</t>
  </si>
  <si>
    <t>Pengadaan Investasi Alat Keselamatan KMP. Tanjung Api</t>
  </si>
  <si>
    <t>SPB/J No. 70/PPBJ/UM.201/III/ASDP-LWK/2023</t>
  </si>
  <si>
    <t>SPPB/J No. 94/SPPB-TNK/ASDP-LWK/2023</t>
  </si>
  <si>
    <t>Pengadaan Investasi Alat Keselamatan KMP. Teluk Tolo</t>
  </si>
  <si>
    <t>SPB/J No. 71/PPBJ/UM.201/III/ASDP-LWK/2023</t>
  </si>
  <si>
    <t>SPPB/J No. 92/UM.201/ASDP-LWK/2023</t>
  </si>
  <si>
    <t>Pengadaan Perlengkapan KMP. Moinit</t>
  </si>
  <si>
    <t>SPB/J No. 80/PPBJ/UM.201/III/ASDP-LWK/2023</t>
  </si>
  <si>
    <t>SPPB/J No. 103/UM.201/ASDP-LWK/2023</t>
  </si>
  <si>
    <t>Pengadaan Perlengkapan KMP. Tuna Tomini</t>
  </si>
  <si>
    <t>SPB/J No. 81/PPBJ/UM.201/III/ASDP-LWK/2023</t>
  </si>
  <si>
    <t>SPPB/J No. 112/UM.201/ASDP-LWK/2023</t>
  </si>
  <si>
    <t>Pengadaan Alat Kerja Deck KMP. Cengkih Afo Dalam Rangka Docking Tahun 2023</t>
  </si>
  <si>
    <t>SPB/J No. 90/PPBJ/UM.201/III/ASDP-LWK/2023</t>
  </si>
  <si>
    <t>SPPB/J No. 111/UM.201/ASDP-LWK/2023</t>
  </si>
  <si>
    <t>Pengadaan Alat Kerja Mesin KMP. Cengkih Afo Dalam Rangka Docking Tahun 2023</t>
  </si>
  <si>
    <t>SPB/J No. 89/PPBJ/UM.201/III/ASDP-LWK/2023</t>
  </si>
  <si>
    <t>SPPB/J No. 101/UM.201/ASDP-LWK/2023</t>
  </si>
  <si>
    <t>Pengadaan Peralatan Permesinan KMP. Tanjung Api</t>
  </si>
  <si>
    <t>SPB/J No. 79/PPBJ/UM.201/III/ASDP-LWK/2023</t>
  </si>
  <si>
    <t>SPPB/J No. 109/SPPB-TNK/ASDP-LWK/2023</t>
  </si>
  <si>
    <t>Pemeliharaan Kapal Ro-ro</t>
  </si>
  <si>
    <t>SPB/J No. 87/PPBJ/UM.201/III/ASDP-LWK/2023</t>
  </si>
  <si>
    <t>SPPB/J No. 100/SPPB-TNK/ASDP-LWK/2023</t>
  </si>
  <si>
    <t>Perbaikan Peralatan Mesin KMP. Dolosi Dalam Rangka Docking Tahun 2023</t>
  </si>
  <si>
    <t>SPB/J No. 76/PPBJ/UM.201/III/ASDP-LWK/2023</t>
  </si>
  <si>
    <t>SPPB/J No. 110/SPPB-TNK/ASDP-LWK/2023</t>
  </si>
  <si>
    <t>Pekerjaan Cleaning Tangki KMP. Cengkih Afo Dalam Rangka Docking Tahun 2023</t>
  </si>
  <si>
    <t>SPB/J No. 88/PPBJ/UM.201/III/ASDP-LWK/2023</t>
  </si>
  <si>
    <t>SPPB/J No. 106/SPPB-UM/ASDP-LWK/2023</t>
  </si>
  <si>
    <t>Permintaan Kebutuhan Minyak Pelumas Bulan Maret</t>
  </si>
  <si>
    <t>PELUMAS</t>
  </si>
  <si>
    <t>SPB/J No. 84/PPBJ/UM.201/III/ASDP-LWK/2023</t>
  </si>
  <si>
    <t>PT. Laut Sulindah</t>
  </si>
  <si>
    <t>Jl. Jend A. Yani No. 39, Luwuk</t>
  </si>
  <si>
    <t>SPPB/J No. 107/SPPB-UM/ASDP-LWK/2023</t>
  </si>
  <si>
    <t>Permintaan Kebutuhan Minyak Pelumas Dalam Rangka Docking Tahun 2023</t>
  </si>
  <si>
    <t>SPB/J No. 85/PPBJ/UM.201/III/ASDP-LWK/2023</t>
  </si>
  <si>
    <t>SPPB/J No. 117/UM.201/ASDP-LWK/2023</t>
  </si>
  <si>
    <t>Pengadaan &amp; Pemasangan Pompa Pendingin Mesin Bantu KMP. Moinit</t>
  </si>
  <si>
    <t>SPB/J No. 98/PPBJ/UM.201/III/ASDP-LWK/2023</t>
  </si>
  <si>
    <t>SPPB/J No. 116/UM.201/ASDP-LWK/2023</t>
  </si>
  <si>
    <t>SPB/J No. 97/PPBJ/UM.201/III/ASDP-LWK/2023</t>
  </si>
  <si>
    <t>SPPB/J No. 97/UM.201/ASDP-LWK/2023</t>
  </si>
  <si>
    <t>Service ILR, HRU, dan PMK KMP. Moinit</t>
  </si>
  <si>
    <t>SPB/J No. 75/PPBJ/UM.201/III/ASDP-LWK/2023</t>
  </si>
  <si>
    <t>CV. triple A</t>
  </si>
  <si>
    <t>90.298.650.4-822.000</t>
  </si>
  <si>
    <t>Jl. Huntoyungo, Huntu Barat, Bone Bulango</t>
  </si>
  <si>
    <t>Pengadaan Investasi Alat Ukur KMP. Cengkih Afo 2023</t>
  </si>
  <si>
    <t>Jl. Taman Sari No. 77G, Taman Sari, Jakarta Barat</t>
  </si>
  <si>
    <t>SPPB/J No. 99/UM.201/ASDP-LWK/2023</t>
  </si>
  <si>
    <t>Pekerjaan Service IRL dan PMK KMP. Cengkih Afo</t>
  </si>
  <si>
    <t>SPB/J No. 77/PPBJ/UM.201/III/ASDP-LWK/2023</t>
  </si>
  <si>
    <t>Pengadaan Investasi  Sparepart Mesin Induk KMP. Cengkih Afo Tahun 2023</t>
  </si>
  <si>
    <t>PT. Kurnia Mandala Indonusa</t>
  </si>
  <si>
    <t>02.415.555.8-036.000</t>
  </si>
  <si>
    <t>Jl. Prof Latumenten No. 10, Jakarta Barat</t>
  </si>
  <si>
    <t>Pengadaan Investasi  Sparepart ME Induk KMP. Cengkih Afo Tahun 2023</t>
  </si>
  <si>
    <t>Luwuk, 31 Maret 2023</t>
  </si>
  <si>
    <t>Pek Dapat Dilanjut</t>
  </si>
  <si>
    <t>Investasi</t>
  </si>
  <si>
    <t>PT. ASDP INDONESIA FERRY (PERSERO) CABANG: LUWUK
 REGIONAL : IV</t>
  </si>
  <si>
    <t>SPM melebihi 50jt</t>
  </si>
  <si>
    <t>Sedang Proses Nego</t>
  </si>
  <si>
    <t>DAFTAR SPPBJ S/D KONTRAK PERIODE : APRIL 2023</t>
  </si>
  <si>
    <t>NILAI (RP) SPPBJ/PR (BLM PPN)</t>
  </si>
  <si>
    <t>SELISIH NILAI PERJANJIAN DENGAN NILAI SPPBJ (SEBELUM PPN)</t>
  </si>
  <si>
    <t>NOMOR GR/SES</t>
  </si>
  <si>
    <t>TELAH DIAJUKAN PEMBAYARAN</t>
  </si>
  <si>
    <t>ARSIP</t>
  </si>
  <si>
    <t>NAMA KAPAL</t>
  </si>
  <si>
    <t>JENIS PENGADAAN</t>
  </si>
  <si>
    <t>Pengadaan 2023</t>
  </si>
  <si>
    <t>SPPB/J No. 123/SPPB-UM/ASDP-LWK/2023</t>
  </si>
  <si>
    <t>Pengadaan Filter Kapal KMP. Tuna Tomini</t>
  </si>
  <si>
    <t>SPB/J No. 104/PPBJ/UM.201/IV/ASDP-LWK/2023</t>
  </si>
  <si>
    <t>01.680.688.7-009.000</t>
  </si>
  <si>
    <t>JL. PISANGAN RAYA 26, JAKARTA TIMUR</t>
  </si>
  <si>
    <t>Done</t>
  </si>
  <si>
    <t>DONE</t>
  </si>
  <si>
    <t>TUNA TOMINI</t>
  </si>
  <si>
    <t>DOCKING</t>
  </si>
  <si>
    <t>SPPB/J No. 124/SPPB-UM/ASDP-LWK/2023</t>
  </si>
  <si>
    <t>SPB/J No. 124/PPBJ/UM.201/IV/ASDP-LWK/2023</t>
  </si>
  <si>
    <t>SPPB/J No. 130/SPPB-TNK/ASDP-LWK/2023</t>
  </si>
  <si>
    <t>Pengadaan Suku Cadang Mesin Induk KMP. Cengkih Afo</t>
  </si>
  <si>
    <t>SUKU CADANG</t>
  </si>
  <si>
    <t>SPB/J No. 112/PPBJ/UM.201/IV/ASDP-LWK/2023</t>
  </si>
  <si>
    <t>CENGKIH AFO</t>
  </si>
  <si>
    <t>BIASA</t>
  </si>
  <si>
    <t>Investasi Alat Keselamatan KMP. Cengkih Afo</t>
  </si>
  <si>
    <t xml:space="preserve"> </t>
  </si>
  <si>
    <t>SPPB/J No. 127/SPPB-TNK/ASDP-LWK/2023</t>
  </si>
  <si>
    <t>Perbaikan Peralatan Mesin KMP Cengkih Afo Dalam Rangka Docking Tahun 2023</t>
  </si>
  <si>
    <t>SPB/J No. 107/PPBJ/UM.201/IV/ASDP-LWK/2023</t>
  </si>
  <si>
    <t>SPPB/J No. 132/SPPB-TNK/ASDP-L2K/2023</t>
  </si>
  <si>
    <t>SPB/J No. 113/PPBJ/UM.201/V/ASDP-LWK/2023</t>
  </si>
  <si>
    <t>SPPB/J No. 134/SPPB-TNK/ASDP-LWK/2023</t>
  </si>
  <si>
    <t>SPB/J No. 115/PPBJ/UM.201/IV/ASDP-LWK/2023</t>
  </si>
  <si>
    <t>TELUK TOLO</t>
  </si>
  <si>
    <t>SPPB/J No. 133/SPPB-TNK/ASDP-LWK/2023</t>
  </si>
  <si>
    <t>Pengadaan AC Musholla &amp; Tempat Duduk KMP. Cengkih Afo</t>
  </si>
  <si>
    <t>SPB/J No. 114/PPBJ/UM.201/IV/ASDP-LWK/2023</t>
  </si>
  <si>
    <t>SPPB/J No. 136/SPPB-TNK/ASDP-LWK/2023</t>
  </si>
  <si>
    <t>Pengadaan Sparepart Mesin Induk KMP. Tanjung Api</t>
  </si>
  <si>
    <t>SPB/J No. 118/PPBJ/UM.201/IV/ASDP-LWK/2023</t>
  </si>
  <si>
    <t>TANJUNG API</t>
  </si>
  <si>
    <t>Pekerjaan Tambahan Service ILR. KMP Moinit</t>
  </si>
  <si>
    <t>PERLENGKAPAN KAPAL</t>
  </si>
  <si>
    <t>SPB/J No. 116/PPBJ/UM.201/IV/ASDP-LWK/2023</t>
  </si>
  <si>
    <t>CV. Triple A</t>
  </si>
  <si>
    <t>MOINIT</t>
  </si>
  <si>
    <t>Ade BK/Usaha</t>
  </si>
  <si>
    <t xml:space="preserve">BARANG </t>
  </si>
  <si>
    <t>SEMUA KAPAL</t>
  </si>
  <si>
    <t>SPPB/J No. 126/SPPB-TNK/ASDP-LWK/2023</t>
  </si>
  <si>
    <t>Perbaikan Radio VHF KMP Teluk Tolo</t>
  </si>
  <si>
    <t>SPB/J No. 106/PPBJ/UM.201/IV/ASDP-LWK/2023</t>
  </si>
  <si>
    <t>Pembelian BBM Industri KMP. Tuna Tomini dalam rangka docking</t>
  </si>
  <si>
    <t>BBM KAPAL</t>
  </si>
  <si>
    <t>02 Meo 2023</t>
  </si>
  <si>
    <t>SPB/J No. 69/UM.201/IV/ASDP-LWK/2023</t>
  </si>
  <si>
    <t>PT. Berkah Azqila Sentosa</t>
  </si>
  <si>
    <t>40.438.550.2-823.000</t>
  </si>
  <si>
    <t>Lingkungan 1 RT 4, Manembo-nembo Atas, Bitung</t>
  </si>
  <si>
    <t>SPPB/J No. 125/SPPB-TNK/ASDP-LWK/2023</t>
  </si>
  <si>
    <t>Perbaikan Ruang Akomodasi KMP Dolosi</t>
  </si>
  <si>
    <t>SPB/J No. 105/UM.201/IV/ASDP-LWK/2023</t>
  </si>
  <si>
    <t>DOLOSI</t>
  </si>
  <si>
    <t>SPPB/J No. 131/SPPB-TNK/ASDP-LWK/2023</t>
  </si>
  <si>
    <t>Pengurusan surat-surat kapal KMP. Cengkih Afo Tahun 2023</t>
  </si>
  <si>
    <t>SURAT-SURAT KAPAL</t>
  </si>
  <si>
    <t>Alifransi</t>
  </si>
  <si>
    <t>SPB/J No. 111/UM.201/IV/ASDP-LWK/2023</t>
  </si>
  <si>
    <t>SPPB/J No. 129/SPPBJ-UM/ASDP-LWK/2023</t>
  </si>
  <si>
    <t>SPB/J. No. 110/PPBJ/UM.201/IV/ASDP-LWK/2023</t>
  </si>
  <si>
    <t>RUTIN KAPAL</t>
  </si>
  <si>
    <t>SPPB/J No. 128/SPPBJ-UM/ASDP-LWK/2023</t>
  </si>
  <si>
    <t>SPB/J No. 109/PPBJ/UM.201/IV/ASDP-LWK/2023</t>
  </si>
  <si>
    <t>SPPB/J No. 138/SPPB-TNK/ASDP-LWK/2023</t>
  </si>
  <si>
    <t>Permintaan Kebutuhan Pelumas Dalam Rangka Docking Tuna Tomini Tahun 2023</t>
  </si>
  <si>
    <t>Pelumas Kapal</t>
  </si>
  <si>
    <t>SPB/J No. 119/UM.201/IV/ASDP-LWK/2023</t>
  </si>
  <si>
    <t>01.419.327.0-832.000</t>
  </si>
  <si>
    <t>Jl. A. Yani No. 161, Luwuk, Banggai</t>
  </si>
  <si>
    <t>SPPB/J No. 137/SPPB-TNK/ASDP-LWK/2023</t>
  </si>
  <si>
    <t>Permintaan Kebutuhan Minyak Pelumas Bulan Mei Tahun 2023</t>
  </si>
  <si>
    <t>SPB/J No. 117/UM.201/IV/ASDP-LWK/2023</t>
  </si>
  <si>
    <t>Luwuk, 28 April 2023</t>
  </si>
  <si>
    <t xml:space="preserve">Sedang Proses </t>
  </si>
  <si>
    <t>DAFTAR SPPBJ S/D KONTRAK PERIODE : MEI2023</t>
  </si>
  <si>
    <t>166/SPPB-TNK/ASDP-LWK/2023</t>
  </si>
  <si>
    <t>Pengadaan Remote Control KMP. Dolosi Tahun 2023</t>
  </si>
  <si>
    <t>ALIF/TEKNIK</t>
  </si>
  <si>
    <t>BARANG</t>
  </si>
  <si>
    <t>Suku Cadang</t>
  </si>
  <si>
    <t>Pengadaan Langsung</t>
  </si>
  <si>
    <t xml:space="preserve">Aditia </t>
  </si>
  <si>
    <t>129/PPBJ/UM.201/V/ASDP-LWK/2023</t>
  </si>
  <si>
    <t>147/SPPB-TF/ASDP-LWK/2023</t>
  </si>
  <si>
    <t>Pengadaan Cat Kamar Mesin KMP. Cengkih Afo Dalam Rangka Docking</t>
  </si>
  <si>
    <t>Perawatan Kapal Ro-ro</t>
  </si>
  <si>
    <t>120/PPBJ/UM.201/V/ASDP-LWK/2023</t>
  </si>
  <si>
    <t>155/SPPB-TNK/ASDP-LWK/2023</t>
  </si>
  <si>
    <t>133/PPBJ/UM.201/V/ASDP-LWK/2023</t>
  </si>
  <si>
    <t>PT. Xin Ming Hua</t>
  </si>
  <si>
    <t>Komplek Pergudangan Sentar Industri Terpadu III, Blok C No. 11,Jakarta Utara</t>
  </si>
  <si>
    <t>145/SPPB-TF/ASDP-LWK/2023</t>
  </si>
  <si>
    <t>Pengadaan Cat AGA KMP. Cengkih Afo Dalam Rangka Docking</t>
  </si>
  <si>
    <t>121/PPBJ/UM.201/V/ASDP-LWK/2023</t>
  </si>
  <si>
    <t>92.779.186.3-804.001</t>
  </si>
  <si>
    <t>146/SPPB-TF/ASDP-LWK/2023</t>
  </si>
  <si>
    <t>Pengadaan Cat BGA KMP. Cengkih Afo Dalam Rangka Docking</t>
  </si>
  <si>
    <t>122/PPBJ/UM.201/V/ASDP-LWK/2023</t>
  </si>
  <si>
    <t>92.779.186.3-804.002</t>
  </si>
  <si>
    <t>158/SPPB-TNK/ASDP-LWK/2023</t>
  </si>
  <si>
    <t>Pengadaan ACCU KMP. Cengkih Afo Tahun 2023</t>
  </si>
  <si>
    <t>124/PPBJ/UM.201/V/ASDP-LWK/2023</t>
  </si>
  <si>
    <t>157/SPPB-TNK/ASDP-LWK/2023</t>
  </si>
  <si>
    <t>Pengadaan Perlengkapan Kapal KMP. Moinit</t>
  </si>
  <si>
    <t>Perlengkapan Pelabuhan</t>
  </si>
  <si>
    <t>123/PPBJ/UM.201/V/ASDP-LWK/2023</t>
  </si>
  <si>
    <t>165/SPPB-TNK/ASDP-LWK/2023</t>
  </si>
  <si>
    <t>Pengadaan Remote Control KMP. Tuna Tomini Tahun 2023</t>
  </si>
  <si>
    <t>130/PPBJ/UM.201/V/ASDP-LWK/2023</t>
  </si>
  <si>
    <t>PAGIMANA</t>
  </si>
  <si>
    <t>164/SPPB-TNK/ASDP-LWK/2023</t>
  </si>
  <si>
    <t>Pengadaan Sparepart KMP. Cengkih Afo Tahun 2023</t>
  </si>
  <si>
    <t>132/PPBJ/UM.201/V/ASDP-LWK/2023</t>
  </si>
  <si>
    <t>Perlengkapan Kapal</t>
  </si>
  <si>
    <t>163/SPPB-TNK/ASDP-LWK/2023</t>
  </si>
  <si>
    <t>Pengadaan Aluminium Anode KMP. Tuna Tomini Dalam Rangka Docking Tahun 2023</t>
  </si>
  <si>
    <t>31.327.886.3-619.000</t>
  </si>
  <si>
    <t>Wisma Permai Tengah 1/AA-8</t>
  </si>
  <si>
    <t>175/SPPB-UM/ASDP-LWK/2023</t>
  </si>
  <si>
    <t>Pengadaan Spare Part Mesin Induk KMP. Tanjung Api Tahun 2023</t>
  </si>
  <si>
    <t>142/PPBJ/UM.201/V/ASDP-LWK/2023</t>
  </si>
  <si>
    <t>161/SPPB-TNK/ASDP-LWK/2023</t>
  </si>
  <si>
    <t>Pengadaan Alat Kerja Deck KMP. Tuna Tomini Dalam Rangka Docking Tahun 2023</t>
  </si>
  <si>
    <t>127/PPBJ/UM.201/V/ASDP-LWK/2023</t>
  </si>
  <si>
    <t>181/SPPB-UM/ASDP-LWK/2023</t>
  </si>
  <si>
    <t>Pengadaan Spare Part Mesin Induk dan Mesin Bantu KMP. Moinit</t>
  </si>
  <si>
    <t>150/PPBJ/UM.201/V/ASDP-LWK/2023</t>
  </si>
  <si>
    <t>162/SPPB-TNK/ASDP-LWK/2023</t>
  </si>
  <si>
    <t>Pengadaan Alat Kerja Mesin KMP. Tuna Tomini Dalam Rangka Docking Tahun 2023</t>
  </si>
  <si>
    <t>128/PPBJ/UM.201/V/ASDP-LWK/2023</t>
  </si>
  <si>
    <t>176/SPPB-UM/ASDP-LWK/2023</t>
  </si>
  <si>
    <t>Pengadaan Spare Part Mesin Induk dan Mesin Bantu KMP. Tanjung Api</t>
  </si>
  <si>
    <t>152/PPBJ/UM.201/V/ASDP-LWK/2023</t>
  </si>
  <si>
    <t>Pengadaan Spare Part Mesin Induk dan Mesin Bantu KMP. Dolosi</t>
  </si>
  <si>
    <t>151/PPBJ/UM.201/V/ASDP-LWK/2023</t>
  </si>
  <si>
    <t>Investasi Pengadaan Sparepart KMP. Tuna Tomini Dalam Rangka Docking Tahun 2023</t>
  </si>
  <si>
    <t>186/SPPB-UM/ASDP-LWK/2023</t>
  </si>
  <si>
    <t>Pengadaan ACCU 100 Ah KMP. Moinit Tahun  2023</t>
  </si>
  <si>
    <t>149/PPBJ/UM.201/V/ASDP-LWK/2023</t>
  </si>
  <si>
    <t>169/SPPB-TNK/ASDP-LWK/2023</t>
  </si>
  <si>
    <t>Pengadaan Sparepart Mesin Induk KMP. Tuna Tomini Dalam Rangka Docking Tahun 2023</t>
  </si>
  <si>
    <t>137/PPBJ/UM.201/V/ASDP-LWK/2023</t>
  </si>
  <si>
    <t>205/SPPB-UM/ASDP-LWK/2023</t>
  </si>
  <si>
    <t>Penggantian drinking water ILR KMP Tuna Tomini</t>
  </si>
  <si>
    <t>154/PPBJ/UM.201/V/ASDP-LWK/2023</t>
  </si>
  <si>
    <t>204/SPPBJ-UM/ASDP-LWK/2023</t>
  </si>
  <si>
    <t>Pengadaan Perbaikan Terpal Penutup Sekoci Kapal KMP Moinit</t>
  </si>
  <si>
    <t>Ade Buay K</t>
  </si>
  <si>
    <t>155/PPBJ/UM.201/V/ASDP-LWK/2023</t>
  </si>
  <si>
    <t>Pengadaan Investasi Alat Keselamatan KMP. Tuna Tomini</t>
  </si>
  <si>
    <t>PT. Mitra Samudera Teknikal</t>
  </si>
  <si>
    <t>177/SPPB-UM/ASDP-LWK/2023</t>
  </si>
  <si>
    <t>Pengadaan Sparepart Mesin Bantu KMP. Cengkih Afo Dalam Rangka Docking KMP. Cengkih Afo</t>
  </si>
  <si>
    <t>180/PPBJ/UM.201/V/ASDP-LWK/2023</t>
  </si>
  <si>
    <t>Pengadaan Suku Cadang Mesin Bantu KMP. Tuna Tomini Dalam Rangka Docking KMP. Tuna Tomini Tahun 2023</t>
  </si>
  <si>
    <t>144/PPBJ/UM.201/V/ASDP-LWK/2023</t>
  </si>
  <si>
    <t>Investasi Pengadaan Spare Part Mesin Bantu KMP. Tuna Tomini Dalam Rangka Docking Tahun 2023</t>
  </si>
  <si>
    <t>Investasi Pengadaan Dinamo Starter Mesin Bantu KMP. Tuna Tomini Dalam Rangka Docking Tahun 2023</t>
  </si>
  <si>
    <t>Investasi Pengadaan Penggantian Electrik Kemudi KMP. Tuna Tomini Dalam Rangka Docking Tahun 2023</t>
  </si>
  <si>
    <t>135A/SPPB-TF/ASDP-LWK/2023</t>
  </si>
  <si>
    <t>Pekerjaan Docking Repair KMP. Tuna Tomini Tahun 2023</t>
  </si>
  <si>
    <t>JASA</t>
  </si>
  <si>
    <t>Penunjukan Langsung</t>
  </si>
  <si>
    <t>04/HK.201/V/ASDP-LWK/2023</t>
  </si>
  <si>
    <t>PT. Industri Kapal Indonesia (Persero) Unit Galangan Bitung</t>
  </si>
  <si>
    <t>01.000.477.8-051.000</t>
  </si>
  <si>
    <t>Jl. Samuel Languju No. 24, Winenet Dua, Aertembaga, Bitung</t>
  </si>
  <si>
    <t>DONE Termin 1</t>
  </si>
  <si>
    <t>173/UM.201/ASDP-LWK/2023</t>
  </si>
  <si>
    <t>Pembelian BBM Industri KMP. Tanjung Api Dalam Rangka Docking Tahun 2023</t>
  </si>
  <si>
    <t>USAHA</t>
  </si>
  <si>
    <t>BBM Kapal</t>
  </si>
  <si>
    <t>81/UM.201/ASDP-LWK/2023</t>
  </si>
  <si>
    <t>173/SPPBJ-UM/ASDP-LWK/2023</t>
  </si>
  <si>
    <t>140/PPBJ/UM.201/V/ASDP-LWK/2023</t>
  </si>
  <si>
    <t>174/SPPBJ-UM/ASDP-LWK/2023</t>
  </si>
  <si>
    <t>141/PPBJ/UM.201/V/ASDP-LWK/2023</t>
  </si>
  <si>
    <t>178/SPPBJ-UM/ASDP-LWK/2023</t>
  </si>
  <si>
    <t>Pengadaan Perlengkapan Kapal KMP Tuna Tomini Dalam Rangka Docking Tahun 2023</t>
  </si>
  <si>
    <t>146/PPBJ/UM.201/V/ASDP-LWK/2023</t>
  </si>
  <si>
    <t>199A/SPPB-TNK/ASDP-LWK/2023</t>
  </si>
  <si>
    <t>Pekerjaan Cleaning Tangki Tangki KMP Tuna Tomini Dalam Rangka Docking Tahun 2023</t>
  </si>
  <si>
    <t>213/SPPB-TNK/ASDP-LWK/2023</t>
  </si>
  <si>
    <t>Pekerjaan Cleaning Tangki Tangki KMP Tanjung Api Dalam Rangka Docking Tahun 2023</t>
  </si>
  <si>
    <t>159A/PPBJ/UM.201/VI/ASDP-LWK/2023</t>
  </si>
  <si>
    <t>Luwuk, 31 Mei 2023</t>
  </si>
  <si>
    <t>DAFTAR SPPBJ S/D KONTRAK PERIODE : JUNI 2023</t>
  </si>
  <si>
    <t>215/SPPBJ-UM/ASDP-LWK/2023</t>
  </si>
  <si>
    <t>Pekerjaan Docking Repair KMP. Tanjung Api Tahun 2023</t>
  </si>
  <si>
    <t>Perbaikan Kapal Ro-Ro</t>
  </si>
  <si>
    <t>05/HK.201/V/ASDP-LWK/2023</t>
  </si>
  <si>
    <t>216/SPPBJ-UM/ASDP-LWK/2023</t>
  </si>
  <si>
    <t>Pengadaan Box Lampu TL LED KMP Dolosi Tahun 2023</t>
  </si>
  <si>
    <t>160/PPBJ/UM.201/VI/ASDP-LWK/2023</t>
  </si>
  <si>
    <t>224/SPPBJ-UM/ASDP-LWK/2023</t>
  </si>
  <si>
    <t>Pengadaan Perbaikan Peralatan KMP Dolosi Tahun 2023</t>
  </si>
  <si>
    <t>164/PPBJ/UM.201/VI/ASDP-LWK/2023</t>
  </si>
  <si>
    <t>208/SPPBJ-UM/ASDP-LWK/2023</t>
  </si>
  <si>
    <t>Pengadaan Spare Part Mesin Induk KMP Dolosi Tahun 2023</t>
  </si>
  <si>
    <t>159/PPBJ/UM.201/VI/ASDP-LWK/2023</t>
  </si>
  <si>
    <t>217/SPPB-TNK/ASDP-LWK/2023</t>
  </si>
  <si>
    <t>Pengadaan Chockfast KMP Tuna Tomini Dalam Rangka Docking Tahun 2023</t>
  </si>
  <si>
    <t>161/PPBJ/UM.201/VI/ASDP-LWK/2023</t>
  </si>
  <si>
    <t>218/SPPB-TNK/ASDP-LWK/2023</t>
  </si>
  <si>
    <t>Pengadaan Peralatan Kapal KMP Tuna Tomini dalam Rangka Docking Tahun 2023</t>
  </si>
  <si>
    <t>162/PPBJ/UM.201/VI/ASDP-LWK/2023</t>
  </si>
  <si>
    <t>231/SPPBJ-UM/ASDP-LWK/2023</t>
  </si>
  <si>
    <t>Pengadaan Aluminium Anode KMP Tanjung Api Dalam Rangka Docking Tahun 2023</t>
  </si>
  <si>
    <t>171/PPBJ/UM.201/VI/ASDP-LWK/2023</t>
  </si>
  <si>
    <t>225/SPPB-TF/ASDP-LWK/2023</t>
  </si>
  <si>
    <t>Pengadaan Cat AGA KMP Tanjung Api Dalam Rangka Docking Tahun 2023</t>
  </si>
  <si>
    <t>Perawatan Kapal Ro ro</t>
  </si>
  <si>
    <t>165/PPBJ/UM.201/VI/ASDP-LWK/2023</t>
  </si>
  <si>
    <t>226/SPPB-TF/ASDP-LWK/2023</t>
  </si>
  <si>
    <t>Pengadaan Cat BGA KMP Tanjung Api Dalam Rangka Docking Tahun 2023</t>
  </si>
  <si>
    <t>166/PPBJ/UM.201/VI/ASDP-LWK/2023</t>
  </si>
  <si>
    <t>227/SPPB-TF/ASDP-LWK/2023</t>
  </si>
  <si>
    <t>Pengadaan Cat Kamar Mesin KMP Tanjung Api Dalam Rangka Docking Tahun 2023</t>
  </si>
  <si>
    <t>167/PPBJ/UM.201/VI/ASDP-LWK/2023</t>
  </si>
  <si>
    <t>Investasi Pengadaan Alat Navigasi KMP Tanjung Api Dalam Rangka Docking Tahun 2023</t>
  </si>
  <si>
    <t>228/SPPBJ-UM/ASDP-LWK/2023</t>
  </si>
  <si>
    <t>Pengadaan Alat Kerja Deck Tanjung Api Dalam Rangka Docking Tahun 2023</t>
  </si>
  <si>
    <t>168/PPBJ/UM.201/VI/ASDP-LWK/2023</t>
  </si>
  <si>
    <t>229/SPPBJ-UM/ASDP-LWK/2023</t>
  </si>
  <si>
    <t>Pengadaan Alat Kerja Mesin KMP Tanjung Api Dalam Rangka Docking Tahun 2023</t>
  </si>
  <si>
    <t>169/PPBJ/UM.201/VI/ASDP-LWK/2023</t>
  </si>
  <si>
    <t>234/SPPB-TNK/ASDP-LWK/2023</t>
  </si>
  <si>
    <t>Pengadaan Kayu Pochout Dan Chocfast KMP Tanjung Api Dalam Rangka Docking Tahun 2023</t>
  </si>
  <si>
    <t>172/PPBJ/UM/201/VI/ASDP-LWK/2023</t>
  </si>
  <si>
    <t>230/SPPBJ-UM/ASDP-LWK/2023</t>
  </si>
  <si>
    <t>Pekerjaan Service IRL dan PMK KMP Tanjung Api Dalam Rangka Docking Tahun 2023</t>
  </si>
  <si>
    <t>170/PPBJ/UM/201/VI/ASDP-LWK/2023</t>
  </si>
  <si>
    <t>Investasi Pengadaan Sparepart mesin induk KMP. Tanjung Api Dalam Rangka Docking Tahun 2023</t>
  </si>
  <si>
    <t>236/SPPBJ-UM/ASDP-LWK/2023</t>
  </si>
  <si>
    <t>Pengurusan surat-surat kapal KMP Tuna Tomini dalam Rangka Docking Tahun 2023</t>
  </si>
  <si>
    <t>173/PPBJ/UM.201/VI/ASDP-LWK/2023</t>
  </si>
  <si>
    <t>235/SPPBJ-UM/ASDP-LWK/2023</t>
  </si>
  <si>
    <t>Pengurusan surat-surat kapal KMP Tanjung Api Dalam Rangka Docking Tahun 2023</t>
  </si>
  <si>
    <t>174/PPBJ/UM.201/VI/ASDP-LWK/2023</t>
  </si>
  <si>
    <t>237/SPPB-TNK/ASDP-LWK/2023</t>
  </si>
  <si>
    <t>Perbaikan Peralatan Mesin KMP Tanjung Api Dalam Rangka Docking Tahun 2023</t>
  </si>
  <si>
    <t>175/PPBJ/UM.201/ASDP-LWK/2023</t>
  </si>
  <si>
    <t>238/SPPB-TNK/ASDP-LWK/2023</t>
  </si>
  <si>
    <t>Pengadaan Sparepart Mesin Induk dan Mesin Bantu KMP Tanjung Api Dalam Rangka Docking Tahun 2023</t>
  </si>
  <si>
    <t>AliF/TEKNIK</t>
  </si>
  <si>
    <t>177/PPBJ/UM.201/ASDP-LWK/2023</t>
  </si>
  <si>
    <t>239/SPPB-TNK/ASDP-LWK/2023</t>
  </si>
  <si>
    <t>Pengadaan Sparepart Mesin Bantu KMP Tuna Tomini Dalam Rangka Docking Tahun 2023</t>
  </si>
  <si>
    <t>IRWAN/TEKNIK</t>
  </si>
  <si>
    <t>178/PPBJ/UM.201/ASDP-LWK/2023</t>
  </si>
  <si>
    <t>240/SPPB-TNK/ASDP-LWK/2023</t>
  </si>
  <si>
    <t>Penagdaan Rutin Deck KMP. Cengkih Afo</t>
  </si>
  <si>
    <t>179/PPBJ/UM.201/ASDP-LWK/2023</t>
  </si>
  <si>
    <t>241/SPPB-TNK/ASDP-LWK/2023</t>
  </si>
  <si>
    <t>Pengadaan Sparepart Mesin Bantu KMP Tanjung Api Dalam Rangka Docking Tahun 2023</t>
  </si>
  <si>
    <t>180/PPBJ/UM.201/ASDP-LWK/2023</t>
  </si>
  <si>
    <t>Investasi Pengadaan Sparepart Mesin Induk KMP Tanjung Api Dalam Rangka Docking Tahun 2023</t>
  </si>
  <si>
    <t>DONE POSTING</t>
  </si>
  <si>
    <t>267/SPPBJ-TF/ASDP-LWK/2023</t>
  </si>
  <si>
    <t>Pekerjaan Docking Repair KMP. Moinit Tahun 2023</t>
  </si>
  <si>
    <t>06/HK.201/VII/ASDP-LWK/2023</t>
  </si>
  <si>
    <t>240/SPPBJ-TF/ASDP-LWK/2023</t>
  </si>
  <si>
    <t>Pembelian BBM Industri KMP. Moinit Dalam Rangka Docking Tahun 2023</t>
  </si>
  <si>
    <t>ADE BUAY/USAHA</t>
  </si>
  <si>
    <t>Mobilisasi Docking</t>
  </si>
  <si>
    <t>185/UM.201/ASDP-LWK/2023</t>
  </si>
  <si>
    <t>PT. Berqah Azqilah Sentosa</t>
  </si>
  <si>
    <t xml:space="preserve">    </t>
  </si>
  <si>
    <t>Luwuk, 30 Juni 2023</t>
  </si>
  <si>
    <t>DAFTAR SPPBJ S/D KONTRAK PERIODE : JULI 2023</t>
  </si>
  <si>
    <t>254/SPPBJ-UM/ASDP-LWK/2023</t>
  </si>
  <si>
    <t>Pengadaan Alat Kerja Mesin KMP Moinit Dalam Rangka Docking Tahun 2023</t>
  </si>
  <si>
    <t>193/PPBJ/UM.201/VII/ASDP-LWK/2023</t>
  </si>
  <si>
    <t>253/SPPBJ-UM/ASDP-LWK/2023</t>
  </si>
  <si>
    <t>Pengadaan Alat Kerja Deck KMP Moinit Dalam Rangka Docking Tahun 2023</t>
  </si>
  <si>
    <t>192/PPBJ/UM.201/VII/ASDP-LWK/2023</t>
  </si>
  <si>
    <t>249/SPPB-TF/ASDP-LWK/2023</t>
  </si>
  <si>
    <t>Pengadaan Cat Kamar Mesin KMP Moinit Dalam Rangka Docking Tahun 2023</t>
  </si>
  <si>
    <t>188/PPBJ/UM.201/VII/ASDP-LWK/2023</t>
  </si>
  <si>
    <t>BELUM LENGKAP</t>
  </si>
  <si>
    <t>247/SPPB-TF/ASDP-LWK/2023</t>
  </si>
  <si>
    <t>Pengadaan Cat Bawah Garis Air (BGA) KMP. Moinit Dalam Rangka Docking Tahun 2023</t>
  </si>
  <si>
    <t>187/PPBJ/UM.201/VII/ASDP-LWK/2023</t>
  </si>
  <si>
    <t>248/SPPB-TF/ASDP-LWK/2023</t>
  </si>
  <si>
    <t>Pengadaan Cat Atas Garis Air (AGA) KMP. Moinit Dalam Rangka Docking Tahun 2023</t>
  </si>
  <si>
    <t>186/PPBJ/UM.201/VII/ASDP-LWK/2023</t>
  </si>
  <si>
    <t>250/SPPBJ-UM/ASDP-LWK/2023</t>
  </si>
  <si>
    <t>Pengadaan Alumunium Anode KMP Moinit Dalam Rangka Docking Tahun 2023</t>
  </si>
  <si>
    <t>189/PPBJ/UM.201/VII/ASDP-LWK/2023</t>
  </si>
  <si>
    <t>251/SPPBJ-UM/ASDP-LWK/2023</t>
  </si>
  <si>
    <t>Pengurusan surat-surat kapal KMP Moinit Tahun 2023</t>
  </si>
  <si>
    <t>190/PPBJ/UM.201/VII/ASDP-LWK/2021</t>
  </si>
  <si>
    <t>252/SPPB-TNK/ASDP-LWK/2023</t>
  </si>
  <si>
    <t>Pekerjaan Cleaning Tangki Tangki KMP Moinit Dalam Rangka Docking Tahun 2023</t>
  </si>
  <si>
    <t>191/PPBJ/UM.201/VII/ASDP-LWK/2023</t>
  </si>
  <si>
    <t>284/SPPBJ-UM/ASDP-LWK/2023</t>
  </si>
  <si>
    <t>Pengadaan ACCU KMP Dolosi Tahun 2023</t>
  </si>
  <si>
    <t>210/PPBJ/UM.201/VII/ASDP-LWK/2023</t>
  </si>
  <si>
    <t>Lem Fox, dll</t>
  </si>
  <si>
    <t>262/SPPBJ-UM/ASDP-LWK/2023</t>
  </si>
  <si>
    <t>Pengadaan Tabung Oksigen KMP Moinit Tahun 2023</t>
  </si>
  <si>
    <t>198/PPBJ/UM.201/VII/ASDP-LWK/2023</t>
  </si>
  <si>
    <t>299/SPPBJ-UM/ASDP-LWK/2023</t>
  </si>
  <si>
    <t>Pengadaan Charger ACCU KMP Cengkih Afo</t>
  </si>
  <si>
    <t>220/PPBJ/UM.201/VII/ASDP-LWK/2023</t>
  </si>
  <si>
    <t>Mesin Pompa Air</t>
  </si>
  <si>
    <t>261/SPPB-UM/ASDP-LWK/2023</t>
  </si>
  <si>
    <t>Permintaan Kebutuhan Minyak Pelumas Bulan Juli KMP Teluk Tolo Dalam Rangka Docking Tahun 2023</t>
  </si>
  <si>
    <t>197/PPBJ/UM.201/VII/ASDP-LWK/2023</t>
  </si>
  <si>
    <t>260/SPPB-TNK/ASDP-LWK/2023</t>
  </si>
  <si>
    <t>Permintaan Kebutuhan Minyak Pelumas KMP Tanjung Api Bulan Juli Tahun 2023</t>
  </si>
  <si>
    <t>196/PPBJ/UM.201/VII/ASDP-LWK/2023</t>
  </si>
  <si>
    <t>306/SPPB-TNK/ASDP-LWK/2023</t>
  </si>
  <si>
    <t>Pengadaan Filter KMP Teluk Tolo</t>
  </si>
  <si>
    <t>228/PPBJ//UM.201/VII/ASDP-LWK/2023</t>
  </si>
  <si>
    <t>Investasi Pengadaan Suku Cadang Mesin Induk KMP Moinit Dalam Rangka Docking Tahun 2023</t>
  </si>
  <si>
    <t>Investasi Pengadaan Suku Cadang Mesin Bantu KMP Moinit Dalam Rangka Docking Tahun 2023</t>
  </si>
  <si>
    <t>256/SPPB-TNK/ASDP-LWK/2023</t>
  </si>
  <si>
    <t>Pengadaan Suku Cadang Mesin Induk dan Mesin Bantu KMP Moinit Dalam Rangka Docking Tahun 2023</t>
  </si>
  <si>
    <t>205/PPBJ/UM.201/VII/ASDP-LWK/2023</t>
  </si>
  <si>
    <t>Gasket Cylinder Head</t>
  </si>
  <si>
    <t>265/SPPBJ-UM/ASDP-LWK/2023</t>
  </si>
  <si>
    <t>201/PPBJ/UM.201/VII/ASDP-LWK/2023</t>
  </si>
  <si>
    <t>266/SPPBJ-UM/ASDP-LWK/2023</t>
  </si>
  <si>
    <t>202/PPBJ/UM.201/VII/ASDP-LWK/2023</t>
  </si>
  <si>
    <t>Rutin Mesin</t>
  </si>
  <si>
    <t>283/SPPBJ-UM/ASDP-LWK/2023</t>
  </si>
  <si>
    <t>Renovasi Kamar Mandi Penumpang KMP Tuna Tomini Dalam Rangka Docking Tahun 2023</t>
  </si>
  <si>
    <t>209/PPBJ/UM.201/VII/ASDP-LWK/2023</t>
  </si>
  <si>
    <t>285/SPPBJ-UM/ASDP-LWK/2023</t>
  </si>
  <si>
    <t>Pengadaan Perbaikan AC KMP Dolosi</t>
  </si>
  <si>
    <t>211/PPBJ/UM.201/VII/ASDP-LWK/2023</t>
  </si>
  <si>
    <t>298/SPPBJ-UM/ASDP-LWK/2023</t>
  </si>
  <si>
    <t>Pengadaan Perbaikan Injection Pump AE Kanan KMP Tanjung Api</t>
  </si>
  <si>
    <t>219/PPBJ/UM.201/VII/ASDP-LWK/2023</t>
  </si>
  <si>
    <t>282/SPPBJ-UM/ASDP-LWK/2023</t>
  </si>
  <si>
    <t>Pengadaan Perbaikan Injection Pump Kapal KMP Tanjung Api</t>
  </si>
  <si>
    <t>208/PPBJ/UM.201/VII/ASDP-LWK/2023</t>
  </si>
  <si>
    <t>279/SPPBJ-UM/ASDP-LWK/2023</t>
  </si>
  <si>
    <t>Pengadaan Perbaikan Winch Ramdor Haluan Kanan KMP Dolosi</t>
  </si>
  <si>
    <t>206/PPBJ/UM.201/VII/ASDP-LWK/2023</t>
  </si>
  <si>
    <t>263/SPPBJ-UM/ASDP-LWK/2023</t>
  </si>
  <si>
    <t>Pengadaan Perlengkapan Kapal KMP Dolosi Tahun 2023</t>
  </si>
  <si>
    <t>199/PPBJ/UM.201/VII/ASDP-LWK/2023</t>
  </si>
  <si>
    <t>288/SPPBJ-UM/ASDP-LWK/2023</t>
  </si>
  <si>
    <t>Pengadaan Alat Kerja Deck KMP Teluk Tolo Dalam Rangka Docking Tahun 2023</t>
  </si>
  <si>
    <t>213/PPBJ/UM.201/VII/ASDP-LWK/2023</t>
  </si>
  <si>
    <t>289/SPPBJ-UM/ASDP-LWK/2023</t>
  </si>
  <si>
    <t>Pengadaan Alat Kerja Mesin KMP Teluk Tolo Dalam Rangka Docking Tahun 2023</t>
  </si>
  <si>
    <t>214/PPBJ/UM.201/VII/ASDP-LWK/2023</t>
  </si>
  <si>
    <t>287A/SPPBJ-UM/ASDP-LWK/2023</t>
  </si>
  <si>
    <t>Pengadaan BBM Mobilisasi KMP Teluk Tolo Dalam Rangka Docking Tahun 2023</t>
  </si>
  <si>
    <t>BBM Docking</t>
  </si>
  <si>
    <t>212A/PPBJ/UM.201/VII/ASDP-LWK/2023</t>
  </si>
  <si>
    <t>PT. Putra Victory Energy</t>
  </si>
  <si>
    <t>293/SPPB-TF/ASDP-LWK/2023</t>
  </si>
  <si>
    <t>Pengadaan Cat Kamar Mesin KMP Teluk Tolo Dalam Rangka Docking Tahun 2023</t>
  </si>
  <si>
    <t>217/PPBJ/UM.201/VII/ASDP-LWK/2023</t>
  </si>
  <si>
    <t>294/SPPB-TF/ASDP-LWK/2023</t>
  </si>
  <si>
    <t>Pengadaan Cat Bawah Garis Air (BGA) KMP Teluk Tolo Dalam Rangka Docking Tahun 2023</t>
  </si>
  <si>
    <t>216/PPBJ/UM.201/VII/ASDP-LWK/2023</t>
  </si>
  <si>
    <t>295/SPPB-TF/ASDP-LWK/2023</t>
  </si>
  <si>
    <t>Pengadaan Cat Atas Garis Air (AGA) KMP. Teluk Tolo Dalam Rangka Docking Tahun 2023</t>
  </si>
  <si>
    <t>215/PPBJ/UM.201/VII/ASDP-LWK/2023</t>
  </si>
  <si>
    <t>290/SPPB-TNK/ASDP-LWK/2023</t>
  </si>
  <si>
    <t>Pengadaan Suku Cadang Mesin Induk KMP Teluk Tolo Dalam Rangka Docking Tahun 2023</t>
  </si>
  <si>
    <t>222/PPBJ/UM.201.VII/ASDP-LWK/2023</t>
  </si>
  <si>
    <t>296/SPPBJ-UM/ASDP-LWK/2023</t>
  </si>
  <si>
    <t>Pengadaan Aluminium Anode KMP Teluk Tolo Dalam Rangka Docking Tahun 2023</t>
  </si>
  <si>
    <t>218/PPBJ/UM.201/VII/ASDP-LWK/2023</t>
  </si>
  <si>
    <t>300/SPPBJ-UM/ASDP-LWK/2023</t>
  </si>
  <si>
    <t>Pengadaan Rekondisi Pompa KMP Moinit Dalam Rangka Docking Tahun 2023</t>
  </si>
  <si>
    <t>221/PPBJ/UM.201/VII/ASDP-LWK/2023</t>
  </si>
  <si>
    <t>264/SPPBJ-UM/ASDP-LWK/2023</t>
  </si>
  <si>
    <t>200/PPBJ/UM.201/VII/ASDP-LWK/2023</t>
  </si>
  <si>
    <t>286/SPPBJ-UM/ASDP-LWK/2023</t>
  </si>
  <si>
    <t>Pengadaan Sparepart Mesin Bantu KMP. Cengkih Afo</t>
  </si>
  <si>
    <t>212/PPBJ/UM.201/VII/ASDP-LWK/2023</t>
  </si>
  <si>
    <t>303/SPPBJ-UM/ASDP-LWK/2023</t>
  </si>
  <si>
    <t>Pengadaan Temuan Pemeriksaan SPM KMP Tanjung Api</t>
  </si>
  <si>
    <t>225/PPBJ/UM.201/VII/ASDP-LWK/2023</t>
  </si>
  <si>
    <t>Investasi Pengadaan AC KMP Tanjung Api Dalam Rangka Docking Tahun 2023</t>
  </si>
  <si>
    <t>SUKMA/TEKNIK</t>
  </si>
  <si>
    <t>Peralatan Pelabuhan</t>
  </si>
  <si>
    <t>Investasi Pengadaan Suku Cadang Mesin Induk KMP Teluk Tolo Dalam Rangka Docking Tahun 2023</t>
  </si>
  <si>
    <t>291/SPPB-TNK/ASDP-LWK/2023</t>
  </si>
  <si>
    <t>Pengadaan Suku Cadang Mesin Bantu KMP Teluk Tolo Dalam Rangka Docking Tahun 2023</t>
  </si>
  <si>
    <t>229A/PPBJ/UM.201/VII/ASDP-LWK/2023</t>
  </si>
  <si>
    <t>Packing Cover Head, V-Belt</t>
  </si>
  <si>
    <t>297/SPPB-TNK/ASDP-LWK/2023</t>
  </si>
  <si>
    <t>Pekerjaan Docking Repair KMP. Teluk Tolo Tahun 2023</t>
  </si>
  <si>
    <t>07/HK.201/VII/ASDP-LWK/2023</t>
  </si>
  <si>
    <t>PT. Galangan Kapal Bontuni Tirtamas</t>
  </si>
  <si>
    <t>307/SPPB-TNK/ASDP-LWK/2023</t>
  </si>
  <si>
    <t>Pengadaan Filter Mesin Induk KMP Teluk Tolo Dalam Rangka Dockiing Tahun 2023</t>
  </si>
  <si>
    <t>229/PPBJ/UM.201/VII/ASDP-LWK/2023</t>
  </si>
  <si>
    <t>Filter OLI ME Filter BBM</t>
  </si>
  <si>
    <t>402/SPPB-TNK/ASDP-LWK/2023</t>
  </si>
  <si>
    <t>Pekerjaan Cleaning Tangki Tangki KMP Teluk Tolo Dalam Rangka Docking Tahun 2023</t>
  </si>
  <si>
    <t>234/PPBJ/UM.201/VII/ASDP-LWK/2023</t>
  </si>
  <si>
    <t>255/SPPB-UM/ASDP-LWK/2023</t>
  </si>
  <si>
    <t>Permintaan Kebutuhan Minyak Pelumas Bulan Juli Tahun 2023 PT ASDP Indonesia Ferry Cabang Luwuk</t>
  </si>
  <si>
    <t>194/PPBJ/UM.201/VII/ASDP-LWK/2023</t>
  </si>
  <si>
    <t>Investasi Pengadaan Suku Cadang Mesin Bantu KMP Teluk Tolo Dalam Rangka Docking Tahun 2023</t>
  </si>
  <si>
    <t>403/SPPB-TNK/ASDP-LWK/2023</t>
  </si>
  <si>
    <t>Pengadaan Kompas SSA-150 S/N KMP Moinit Dalam Rangka Docking Tahun 2023</t>
  </si>
  <si>
    <t>235/PPBJ/UM.201/VII/ASDP-LWK/2023</t>
  </si>
  <si>
    <t>405/SPPB-TNK/ASDP-LWK/2023</t>
  </si>
  <si>
    <t>Pengadaan Kompas CPT 130B S/N KMP Teluk Tolo Dalam Rangka Docking Tahun 2023</t>
  </si>
  <si>
    <t>237/PPBJ/UM.201/VII/ASDP-LWK/2023</t>
  </si>
  <si>
    <t xml:space="preserve">   </t>
  </si>
  <si>
    <t>DAFTAR SPPBJ S/D KONTRAK PERIODE : AGUSTUS 2023</t>
  </si>
  <si>
    <t>406/SPPB-UM/ASDP-LWK/2023</t>
  </si>
  <si>
    <t>Permintaan Kebutuhan Minyak Pelumas KMP Tuna Tomini Bulan Agustus 2023 PT ASDP Indonesia Ferry (Persero) Cabang Luwuk</t>
  </si>
  <si>
    <t>Pelumas</t>
  </si>
  <si>
    <t>238/PPBJ/UM.201/VIII/ASDP-LWK/2023</t>
  </si>
  <si>
    <t>407/SPPB-TNK/ASDP-LWK/2023</t>
  </si>
  <si>
    <t>Pengadaan Fresh Water Pump KMP Teluk Tolo Dalam Rangka Docking Tahun 2023</t>
  </si>
  <si>
    <t>241/PPBJ/UM.201/VIII/ASDP-LWK/2023</t>
  </si>
  <si>
    <t>Belum TTD Vendor</t>
  </si>
  <si>
    <t>409/SPPB-TNK/ASDP-LWK/2023</t>
  </si>
  <si>
    <t>Pengadaan ACCU KMP Moinit</t>
  </si>
  <si>
    <t>240/PPBJ/UM.201/VIII/ASDP-LWK/2023</t>
  </si>
  <si>
    <t>408/SPPB-TNK/ASDP-LWK/2023</t>
  </si>
  <si>
    <t>Pengadaan ACCU KMP Teluk Tolo Dalam Rangka Docking Tahun 2023</t>
  </si>
  <si>
    <t>239/PPBJ/UM.201/VIII/ASDP-LWK/2023</t>
  </si>
  <si>
    <t>426/SPPBJ-TNK/ASDP-LWK/2023</t>
  </si>
  <si>
    <t>Pekerjaan Plafond Toilet Pelabuhan Pagimana</t>
  </si>
  <si>
    <t>242/PPBJ/UM.201/VIII/ASDP-LWK/2023</t>
  </si>
  <si>
    <t>427/SPPBJ-UM/ASDP-LWK/2023</t>
  </si>
  <si>
    <t>Pengurusan surat-surat Kapal KMP Teluk Tolo Tahun 2023</t>
  </si>
  <si>
    <t>243/PPBJ/UM.201/VIII/ASDP-LWK/2023</t>
  </si>
  <si>
    <t>432/SPPB-TNK/ASDP-LWK/2023</t>
  </si>
  <si>
    <t>Pengadaan Filter KMP Tanjung Api Tahun 2023</t>
  </si>
  <si>
    <t>247/PPBJ/UM.201/VIII/ASDP-LWK/2023</t>
  </si>
  <si>
    <t>428/SPPB-UM/ASDP-LWK/2023</t>
  </si>
  <si>
    <t>Permintaan Kebutuhan Minyak Pelumas Bulan Agustus Tahun 2023</t>
  </si>
  <si>
    <t>244/PPBJ/UM.201/VIII/ASDP-LWK/2023</t>
  </si>
  <si>
    <t>430/SPPBJ-UM/ASDP-LWK/2023</t>
  </si>
  <si>
    <t>246/PPBJ/UM.201/VIII/ASDP-LWK/2023</t>
  </si>
  <si>
    <t>429/SPPBJ-UM/ASDP-LWK/2023</t>
  </si>
  <si>
    <t>245/PPBJ/UM.201/VIII/ASDP-LWK/2023</t>
  </si>
  <si>
    <t>434A/SPPB-TNK/ASDP-LWK/2023</t>
  </si>
  <si>
    <t>Pekerjaan Service IRL dan PMK Teluk Tolo Dalam Rangka Docking Tahun 2023</t>
  </si>
  <si>
    <t>252/PPBJ/UM.201/VIII/ASDP-LWK/2023</t>
  </si>
  <si>
    <t>CV. Wilindo Marine Services</t>
  </si>
  <si>
    <t>437/SPPB-TNK/ASDP-LWK/2023</t>
  </si>
  <si>
    <t>Pengadaan Perlengkapan Permesinan KMP Teluk Tolo Dalam Rangka Docking Tahun 2023</t>
  </si>
  <si>
    <t>250/PPBJ/UM.201/VIII/ASDP-LWK/2023</t>
  </si>
  <si>
    <t>425/SPPB-TNK/ASDP-LWK/2023</t>
  </si>
  <si>
    <t>Pengadaan Investasi Alat Keselamatan KMP Tuna Tomini</t>
  </si>
  <si>
    <t>251/PPBJ/UM.201/VIII/ASDP-LWK/2023</t>
  </si>
  <si>
    <t>434/SPPB-TNK/ASDP-LWK/2023</t>
  </si>
  <si>
    <t>Pengadaan Perlengkapan Kapal KMP Tanjung Api</t>
  </si>
  <si>
    <t>435/SPPB-TNK/ASDP-LWK/2023</t>
  </si>
  <si>
    <t>Pengadaan Suku Cadang KMP Cengkih Afo</t>
  </si>
  <si>
    <t>253/PPBJ/UM.201/VIII/ASDP-LWK/2023</t>
  </si>
  <si>
    <t>436/SPPB-TNK/ASDP-LWK/2023</t>
  </si>
  <si>
    <t>Pengadaan Service AC KMP Cengkih Afo</t>
  </si>
  <si>
    <t>249/PPBJ/UM.201/VIII/ASDP-LWK/2023</t>
  </si>
  <si>
    <t>Beban Biaya dan Investasi KMP. Dolosi</t>
  </si>
  <si>
    <t>COA</t>
  </si>
  <si>
    <t>Nama Pekerjaan</t>
  </si>
  <si>
    <t>Nilai Kontrak/SPBJ</t>
  </si>
  <si>
    <t>Bulan</t>
  </si>
  <si>
    <t>I.</t>
  </si>
  <si>
    <t xml:space="preserve">BIAYA </t>
  </si>
  <si>
    <t>501403003 / Kapal Ro-ro / Penyebrangan</t>
  </si>
  <si>
    <t>Februari</t>
  </si>
  <si>
    <t>5010302004 / Mobilisasi Docking</t>
  </si>
  <si>
    <t xml:space="preserve">Februari </t>
  </si>
  <si>
    <t>501403009 / Akomodasi, Peralatan, dan Perlengkapan</t>
  </si>
  <si>
    <t>501403100 / Permesinan dan Kelistrikan Kapal</t>
  </si>
  <si>
    <t>Maret</t>
  </si>
  <si>
    <t>5010403003 / Kapal Ro-ro / Penyebrangan</t>
  </si>
  <si>
    <t>5010303000 / Pelumas</t>
  </si>
  <si>
    <t>501403100 / Permesinan dan Kelistrikan</t>
  </si>
  <si>
    <t>April</t>
  </si>
  <si>
    <t>Mei</t>
  </si>
  <si>
    <t>I. Total</t>
  </si>
  <si>
    <t>II.</t>
  </si>
  <si>
    <t>INVESTASI</t>
  </si>
  <si>
    <t>Investasi Non Dock / 1020604010</t>
  </si>
  <si>
    <t>1020604008 / Investasi Kapal Ro-Ro</t>
  </si>
  <si>
    <t>1020604009 / Investasi Akomodasi, Peralatan, dan Perlengkapan</t>
  </si>
  <si>
    <t>II. Total</t>
  </si>
  <si>
    <t>III. Total Keseluruhan (I + II)</t>
  </si>
  <si>
    <t>Beban Biaya dan Investasi KMP. Cengkih Afo</t>
  </si>
  <si>
    <t>Beban Biaya dan Investasi KMP. Tuna Tomini</t>
  </si>
  <si>
    <t>5010403100 / permesinan dan kelistrikan</t>
  </si>
  <si>
    <t>Pengadaan Accu KMP. Tuna Tomini</t>
  </si>
  <si>
    <t>Juni</t>
  </si>
  <si>
    <t>501403003 / Pemeliharaan Kapal Ro-ro</t>
  </si>
  <si>
    <t>Docking Repair KMP. Tuna Tomini Tahun 2023</t>
  </si>
  <si>
    <t>1020604009 / Investasi Akomodasi dan Perlengkapan</t>
  </si>
  <si>
    <t>Januari</t>
  </si>
  <si>
    <t>1020604010 / Investasi Permesinan dan Kelistrikan</t>
  </si>
  <si>
    <t>Beban Biaya dan Investasi KMP. Tanjung Api</t>
  </si>
  <si>
    <t>Juli</t>
  </si>
  <si>
    <t>Beban Biaya dan Investasi KMP. Moinit</t>
  </si>
  <si>
    <t>Agustus</t>
  </si>
  <si>
    <t>Investasi Pengadaan Alat Navigasi KMP Moinit Dalam Rangka Docking Tahun 2023</t>
  </si>
  <si>
    <t>Pekerjaan Service IRL dan PMK KMP Teluk Tolo Dalam Rangka Docking Tahun 2023</t>
  </si>
  <si>
    <t>Investasi Pengadaan Alat Navigasi KMP Teluk Tolo Dalam Rangka Docking Tahun 2023</t>
  </si>
  <si>
    <t>DOCK DOLOSI</t>
  </si>
  <si>
    <t>NAMA PEKERJAAN DAN URAIAN</t>
  </si>
  <si>
    <t>TANGGAL KONTRAK</t>
  </si>
  <si>
    <t>NILAI</t>
  </si>
  <si>
    <t>KETERANGAN</t>
  </si>
  <si>
    <t>Pekerjaan Docking Repair KMP. Dolosi Tahun 2023</t>
  </si>
  <si>
    <t>Total Biaya Induk</t>
  </si>
  <si>
    <t>Pembatalan</t>
  </si>
  <si>
    <t>Realisasi Pekerjaan Induk</t>
  </si>
  <si>
    <t>Pekerjaan Tambahan</t>
  </si>
  <si>
    <t>Total Biaya Docking</t>
  </si>
  <si>
    <t>Pembayaran Termin 1</t>
  </si>
  <si>
    <t>TERBAYAR</t>
  </si>
  <si>
    <t>Pembayaran Termin 2</t>
  </si>
  <si>
    <t>Pembayaran Termin 3</t>
  </si>
  <si>
    <t>Kapal</t>
  </si>
  <si>
    <t>Belum Terbayar</t>
  </si>
  <si>
    <t>Total Docking</t>
  </si>
  <si>
    <t>Dolosi</t>
  </si>
  <si>
    <t>C Afo</t>
  </si>
  <si>
    <t>645,221,204</t>
  </si>
  <si>
    <t>899,122,604</t>
  </si>
  <si>
    <t>Tuna</t>
  </si>
  <si>
    <t>718,924,571</t>
  </si>
  <si>
    <t>1,066,118,071</t>
  </si>
  <si>
    <t>Pekerjaan Docking Repair KMP. Cengkih AfoTahun 2023</t>
  </si>
  <si>
    <t>T API</t>
  </si>
  <si>
    <t>340,717,220</t>
  </si>
  <si>
    <t>595,478,037</t>
  </si>
  <si>
    <t>Moinit</t>
  </si>
  <si>
    <t>283,163,775</t>
  </si>
  <si>
    <t>566,327,550</t>
  </si>
  <si>
    <t>TTL</t>
  </si>
  <si>
    <t>253,257,825</t>
  </si>
  <si>
    <t>506,515,650</t>
  </si>
  <si>
    <t>2,241,284,595</t>
  </si>
  <si>
    <t>On Progress</t>
  </si>
  <si>
    <t>RAMPDOOR CENGKIH AFO</t>
  </si>
  <si>
    <t>Pekerjaan Pembuatan Rampdoor Haluan KMP. Cengkih AfoTahun 2023</t>
  </si>
  <si>
    <t>V-BRACKET &amp; PROPULSI CENGKIH AFO</t>
  </si>
  <si>
    <t>Pekerjaan Pembuatan V Bracket dan Propulsi KMP. Cengkih AfoTahun 2023</t>
  </si>
  <si>
    <t>Sudah Naik Ke Fidias</t>
  </si>
  <si>
    <t>DOCK TUNA TOMINI</t>
  </si>
  <si>
    <t>DOCK TANJUNG API</t>
  </si>
  <si>
    <t>DOCK MOINIT</t>
  </si>
  <si>
    <t>Belum Mengirim Penawaran Addendum</t>
  </si>
  <si>
    <t>DOCK TELUK TOLO</t>
  </si>
  <si>
    <t>Vendor Sudah Upload Dokumen</t>
  </si>
  <si>
    <t>PT. ASDP INDONESIA FERRY (PERSERO)</t>
  </si>
  <si>
    <t>TABEL PENYUSUNAN PROGNOSA RKAC BIAYA PERAWATAN KAPAL CABANG LUWUK TAHUN 2024</t>
  </si>
  <si>
    <t>JENIS BIAYA PEMELIHARAAN</t>
  </si>
  <si>
    <t>RKA 2023</t>
  </si>
  <si>
    <t>TOTAL BIAYA</t>
  </si>
  <si>
    <t xml:space="preserve"> KMP.  MOINIT</t>
  </si>
  <si>
    <t>Bahan Pelumas</t>
  </si>
  <si>
    <t xml:space="preserve">Kapal RO-RO/Penyeberangan </t>
  </si>
  <si>
    <t>Mobilisasi Dlm rangka Docking</t>
  </si>
  <si>
    <t xml:space="preserve">Jumlah </t>
  </si>
  <si>
    <t>KMP. TUNA TOMINI</t>
  </si>
  <si>
    <t>KMP. CENGKIH AFO</t>
  </si>
  <si>
    <t>KMP. TANJUNG API</t>
  </si>
  <si>
    <t>KMP. TELUK TOLO</t>
  </si>
  <si>
    <t>KMP. DOLOSI</t>
  </si>
  <si>
    <t>GABUNGAN KAPAL</t>
  </si>
  <si>
    <t>LUWUK</t>
  </si>
  <si>
    <t>Tuna Tomini</t>
  </si>
  <si>
    <t>Tanjung Api</t>
  </si>
  <si>
    <t>Teluk Tolo</t>
  </si>
  <si>
    <t>JANUARI</t>
  </si>
  <si>
    <t>FEBRUARI</t>
  </si>
  <si>
    <t>MARET</t>
  </si>
  <si>
    <t>APRIL</t>
  </si>
  <si>
    <t>MEI</t>
  </si>
  <si>
    <t>JUNI</t>
  </si>
  <si>
    <t>JULI</t>
  </si>
  <si>
    <t>REALISASI BIAYA</t>
  </si>
  <si>
    <t>Cengkih Afo</t>
  </si>
  <si>
    <t xml:space="preserve">DOLOSI </t>
  </si>
  <si>
    <t>PRESENTASE PENYERAPAN RKAC</t>
  </si>
  <si>
    <t>TABEL REALISASI BIAYA PERAWATAN KAPAL CABANG LUWUK TAHUN 2023</t>
  </si>
  <si>
    <t>USULAN RKAC 2024</t>
  </si>
  <si>
    <t>ESTIMASI KEBUTUHAN ANGGARAN BULAN AGUSTUS SD DESEMBER TAHUN 2023</t>
  </si>
  <si>
    <t>PROGNOSA</t>
  </si>
  <si>
    <t>DEVIASI PROGNOSA TERHADAP RKAC 2023</t>
  </si>
  <si>
    <t>DEVIASI USULAN RKAC 2024</t>
  </si>
  <si>
    <t>Berdasarkan Realisasi PJK (Versi B)</t>
  </si>
  <si>
    <t>Perhitungan RKAC (Versi B)</t>
  </si>
  <si>
    <t>Versi A</t>
  </si>
  <si>
    <t>Versi B</t>
  </si>
  <si>
    <t>Versi A (%)</t>
  </si>
  <si>
    <t>Versi B (%)</t>
  </si>
  <si>
    <t>TERHADAP RKAC 2024 (%)</t>
  </si>
  <si>
    <t>TERHADAP PROGNOSA VERSI A (%)</t>
  </si>
  <si>
    <t>TERHADAP PROGNOSA VERSI B (%)</t>
  </si>
  <si>
    <t>9 (5+7)</t>
  </si>
  <si>
    <t>10 (5 + 8)</t>
  </si>
  <si>
    <t>11 (8:4)</t>
  </si>
  <si>
    <t>12 (9:4)</t>
  </si>
  <si>
    <t>12 (6:4)</t>
  </si>
  <si>
    <t>13 (6:8)</t>
  </si>
  <si>
    <t>14 (6:9)</t>
  </si>
  <si>
    <t>Kapal Roro</t>
  </si>
  <si>
    <t>BBM</t>
  </si>
  <si>
    <t>Deck</t>
  </si>
  <si>
    <t>Mesin</t>
  </si>
  <si>
    <t>RKA Mobilisasi Dolosi (Setelah pelunasan docking)</t>
  </si>
  <si>
    <t>Cengki Afo</t>
  </si>
  <si>
    <t>TERHADAP PROGNOSA</t>
  </si>
  <si>
    <t>REALISASI JAN S/D JULI 2023</t>
  </si>
  <si>
    <t>ESTIMATE AGUSTUS S/D DES 2023</t>
  </si>
  <si>
    <t>PROGNOSA 2023</t>
  </si>
  <si>
    <t>7 (5 + 6)</t>
  </si>
  <si>
    <t>8 (7:4)</t>
  </si>
  <si>
    <t>10 (9:4)</t>
  </si>
  <si>
    <t>11 (7:9)</t>
  </si>
  <si>
    <t>REALISASI BIAYA JANUARI S/D JULI 2023</t>
  </si>
  <si>
    <t>TOTAL REALISASI BIAYA JAN S/D JULI 2023</t>
  </si>
  <si>
    <t>SEPT</t>
  </si>
  <si>
    <t>OKT</t>
  </si>
  <si>
    <t>NOP</t>
  </si>
  <si>
    <t>DES</t>
  </si>
  <si>
    <t>AGUS</t>
  </si>
  <si>
    <t>TOTAL ESTIMATE AGUS S/D DES 2023</t>
  </si>
  <si>
    <t>ESTIMATE AGUS S/D DES 2023</t>
  </si>
  <si>
    <t>KMP. ARIWANGAN</t>
  </si>
  <si>
    <t>KMP. BARONANG</t>
  </si>
  <si>
    <t>KMP. BOBARA</t>
  </si>
  <si>
    <t>TERNATE</t>
  </si>
  <si>
    <t>KMP. GORANGO</t>
  </si>
  <si>
    <t>KMP. KERAPU II</t>
  </si>
  <si>
    <t>KMP. LOMPA</t>
  </si>
  <si>
    <t>KMP. MAMING</t>
  </si>
  <si>
    <t>KMP. NGAFI</t>
  </si>
  <si>
    <t>KMP. PORTLINK VIII</t>
  </si>
  <si>
    <t>KMP. PULAU SAGORI</t>
  </si>
  <si>
    <t>KMP. TUNA</t>
  </si>
  <si>
    <t>KMP. KOLORAI</t>
  </si>
  <si>
    <t xml:space="preserve">Sertifikasi Alat Produksi dalam Rangka Docking </t>
  </si>
  <si>
    <t xml:space="preserve">Fumigasi </t>
  </si>
  <si>
    <t>Pengangkutan Pelumas</t>
  </si>
  <si>
    <t>RKA 2025</t>
  </si>
  <si>
    <t>PROGNOSA 2025</t>
  </si>
  <si>
    <t>TABEL REALISASI BIAYA PERAWATAN KAPAL CABANG TERNATE TAHUN 2025</t>
  </si>
  <si>
    <t>TOTAL ESTIMATE AGUS S/D DES 2025</t>
  </si>
  <si>
    <t>KMP. LEMA</t>
  </si>
  <si>
    <t>RAB pelumas subsidi 30.265000000</t>
  </si>
  <si>
    <t>Service MES 2 unit/rekom MI</t>
  </si>
  <si>
    <t>ESTIMATE OKT S/D DES 2025</t>
  </si>
  <si>
    <t>REALISASI BIAYA JANUARI S/D SEPT 2025</t>
  </si>
  <si>
    <t>TOTAL REALISASI BIAYA JAN S/D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</si>
</sst>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[$Rp-3809]* #,##0_-;\-[$Rp-3809]* #,##0_-;_-[$Rp-3809]* &quot;-&quot;??_-;_-@"/>
    <numFmt numFmtId="167" formatCode="_-[$Rp-3809]* #,##0.00_-;\-[$Rp-3809]* #,##0.00_-;_-[$Rp-3809]* &quot;-&quot;??_-;_-@"/>
    <numFmt numFmtId="168" formatCode="[$-409]d\-mmm\-yy"/>
    <numFmt numFmtId="169" formatCode="[$-409]dd\-mmm\-yy"/>
    <numFmt numFmtId="170" formatCode="[$Rp-421]#,##0.00"/>
    <numFmt numFmtId="171" formatCode="d\-mmm\-yyyy"/>
    <numFmt numFmtId="172" formatCode="d\ mmmm\ yyyy"/>
    <numFmt numFmtId="173" formatCode="&quot;Rp&quot;#,##0"/>
    <numFmt numFmtId="174" formatCode="&quot;Rp&quot;#,##0.00"/>
    <numFmt numFmtId="175" formatCode="[$Rp-421]#,##0"/>
    <numFmt numFmtId="176" formatCode="dd\ mmmm\ yyyy"/>
    <numFmt numFmtId="177" formatCode="0.000%"/>
    <numFmt numFmtId="178" formatCode="dd\ mmm\ yyyy"/>
    <numFmt numFmtId="179" formatCode="d\ mmm\ yyyy"/>
    <numFmt numFmtId="180" formatCode="[$Rp-421]#,##0.00000"/>
    <numFmt numFmtId="181" formatCode="[$Rp-421]#,##0.0"/>
    <numFmt numFmtId="182" formatCode="[$Rp-421]#,##0.0000000000"/>
    <numFmt numFmtId="183" formatCode="_-[$Rp-3809]* #,##0.00_-;\-[$Rp-3809]* #,##0.00_-;_-[$Rp-3809]* &quot;-&quot;??_-;_-@_-"/>
    <numFmt numFmtId="184" formatCode="_(* #,##0_);_(* \(#,##0\);_(* &quot;-&quot;??_);_(@_)"/>
  </numFmts>
  <fonts count="6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&quot;fru-tiger normal&quot;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1F1F1F"/>
      <name val="Calibri"/>
      <family val="2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Docs-Calibri"/>
    </font>
    <font>
      <sz val="9"/>
      <color rgb="FF000000"/>
      <name val="Calibri"/>
      <family val="2"/>
    </font>
    <font>
      <b/>
      <sz val="8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8"/>
      <color rgb="FF000000"/>
      <name val="&quot;Fru-tiger normal&quot;"/>
    </font>
    <font>
      <b/>
      <sz val="8"/>
      <color rgb="FF000000"/>
      <name val="Arial"/>
      <family val="2"/>
    </font>
    <font>
      <b/>
      <u/>
      <sz val="8"/>
      <color rgb="FF0000FF"/>
      <name val="Arial"/>
      <family val="2"/>
    </font>
    <font>
      <b/>
      <sz val="9"/>
      <color rgb="FF000000"/>
      <name val="Calibri"/>
      <family val="2"/>
    </font>
    <font>
      <b/>
      <sz val="9"/>
      <color rgb="FF0000FF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Arial"/>
      <family val="2"/>
      <scheme val="minor"/>
    </font>
    <font>
      <b/>
      <u/>
      <sz val="9"/>
      <color theme="1"/>
      <name val="Calibri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9"/>
      <color theme="1"/>
      <name val="Calibri"/>
      <family val="2"/>
    </font>
    <font>
      <sz val="9"/>
      <color rgb="FF1F1F1F"/>
      <name val="Google Sans"/>
    </font>
    <font>
      <sz val="8"/>
      <color rgb="FF1F1F1F"/>
      <name val="Arial"/>
      <family val="2"/>
    </font>
    <font>
      <b/>
      <u/>
      <sz val="9"/>
      <color theme="1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10"/>
      <color theme="1"/>
      <name val="Arial"/>
      <family val="2"/>
    </font>
    <font>
      <u/>
      <sz val="9"/>
      <color theme="1"/>
      <name val="Arial"/>
      <family val="2"/>
    </font>
    <font>
      <sz val="11"/>
      <color rgb="FF000000"/>
      <name val="Calibri"/>
      <family val="2"/>
    </font>
    <font>
      <u/>
      <sz val="9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indexed="8"/>
      <name val="Calibri"/>
      <family val="2"/>
    </font>
    <font>
      <sz val="11"/>
      <color indexed="8"/>
      <name val="Arial Narrow"/>
      <family val="2"/>
    </font>
    <font>
      <b/>
      <sz val="11"/>
      <color indexed="8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0"/>
      <color rgb="FF000000"/>
      <name val="Arial"/>
      <family val="2"/>
      <scheme val="minor"/>
    </font>
    <font>
      <i/>
      <sz val="11"/>
      <color theme="1"/>
      <name val="Arial Narrow"/>
      <family val="2"/>
    </font>
    <font>
      <b/>
      <sz val="11"/>
      <color rgb="FFFF0000"/>
      <name val="Arial Narrow"/>
      <family val="2"/>
    </font>
    <font>
      <sz val="10"/>
      <color rgb="FF000000"/>
      <name val="Arial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Arial"/>
      <family val="2"/>
      <charset val="1"/>
      <scheme val="minor"/>
    </font>
    <font>
      <sz val="10"/>
      <color rgb="FF000000"/>
      <name val="Arial"/>
      <family val="2"/>
      <scheme val="minor"/>
    </font>
    <font>
      <b/>
      <i/>
      <sz val="11"/>
      <color theme="1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165" fontId="48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1" fillId="0" borderId="0"/>
    <xf numFmtId="164" fontId="57" fillId="0" borderId="0" applyFont="0" applyFill="0" applyBorder="0" applyAlignment="0" applyProtection="0"/>
    <xf numFmtId="0" fontId="58" fillId="0" borderId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59" fillId="0" borderId="0" applyFont="0" applyFill="0" applyBorder="0" applyAlignment="0" applyProtection="0"/>
  </cellStyleXfs>
  <cellXfs count="658">
    <xf numFmtId="0" fontId="0" fillId="0" borderId="0" xfId="0"/>
    <xf numFmtId="166" fontId="4" fillId="0" borderId="0" xfId="0" applyNumberFormat="1" applyFont="1"/>
    <xf numFmtId="167" fontId="8" fillId="2" borderId="5" xfId="0" applyNumberFormat="1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167" fontId="9" fillId="2" borderId="4" xfId="0" applyNumberFormat="1" applyFont="1" applyFill="1" applyBorder="1" applyAlignment="1">
      <alignment horizontal="center" wrapText="1"/>
    </xf>
    <xf numFmtId="0" fontId="8" fillId="2" borderId="7" xfId="0" quotePrefix="1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8" fontId="10" fillId="3" borderId="4" xfId="0" applyNumberFormat="1" applyFont="1" applyFill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169" fontId="10" fillId="3" borderId="4" xfId="0" applyNumberFormat="1" applyFont="1" applyFill="1" applyBorder="1" applyAlignment="1">
      <alignment horizontal="center"/>
    </xf>
    <xf numFmtId="0" fontId="10" fillId="3" borderId="4" xfId="0" applyFont="1" applyFill="1" applyBorder="1"/>
    <xf numFmtId="167" fontId="10" fillId="0" borderId="4" xfId="0" applyNumberFormat="1" applyFont="1" applyBorder="1" applyAlignment="1">
      <alignment horizontal="center"/>
    </xf>
    <xf numFmtId="167" fontId="11" fillId="0" borderId="4" xfId="0" applyNumberFormat="1" applyFont="1" applyBorder="1" applyAlignment="1">
      <alignment horizontal="center" wrapText="1"/>
    </xf>
    <xf numFmtId="0" fontId="10" fillId="4" borderId="4" xfId="0" applyFont="1" applyFill="1" applyBorder="1"/>
    <xf numFmtId="0" fontId="10" fillId="5" borderId="4" xfId="0" applyFont="1" applyFill="1" applyBorder="1"/>
    <xf numFmtId="169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169" fontId="10" fillId="0" borderId="4" xfId="0" applyNumberFormat="1" applyFont="1" applyBorder="1" applyAlignment="1">
      <alignment horizontal="center"/>
    </xf>
    <xf numFmtId="168" fontId="10" fillId="0" borderId="4" xfId="0" applyNumberFormat="1" applyFont="1" applyBorder="1" applyAlignment="1">
      <alignment horizontal="center" wrapText="1"/>
    </xf>
    <xf numFmtId="166" fontId="10" fillId="0" borderId="4" xfId="0" applyNumberFormat="1" applyFont="1" applyBorder="1" applyAlignment="1">
      <alignment horizontal="center" wrapText="1"/>
    </xf>
    <xf numFmtId="167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2" fillId="3" borderId="4" xfId="0" applyFont="1" applyFill="1" applyBorder="1"/>
    <xf numFmtId="167" fontId="13" fillId="0" borderId="8" xfId="0" applyNumberFormat="1" applyFont="1" applyBorder="1"/>
    <xf numFmtId="170" fontId="13" fillId="0" borderId="8" xfId="0" applyNumberFormat="1" applyFont="1" applyBorder="1"/>
    <xf numFmtId="0" fontId="14" fillId="0" borderId="8" xfId="0" applyFont="1" applyBorder="1"/>
    <xf numFmtId="10" fontId="15" fillId="0" borderId="8" xfId="0" applyNumberFormat="1" applyFont="1" applyBorder="1"/>
    <xf numFmtId="0" fontId="4" fillId="0" borderId="0" xfId="0" applyFont="1" applyAlignment="1">
      <alignment horizontal="center"/>
    </xf>
    <xf numFmtId="0" fontId="10" fillId="6" borderId="4" xfId="0" applyFont="1" applyFill="1" applyBorder="1"/>
    <xf numFmtId="0" fontId="10" fillId="0" borderId="5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0" fillId="7" borderId="4" xfId="0" applyFont="1" applyFill="1" applyBorder="1"/>
    <xf numFmtId="166" fontId="10" fillId="0" borderId="4" xfId="0" applyNumberFormat="1" applyFont="1" applyBorder="1"/>
    <xf numFmtId="168" fontId="10" fillId="0" borderId="4" xfId="0" applyNumberFormat="1" applyFont="1" applyBorder="1" applyAlignment="1">
      <alignment horizontal="center"/>
    </xf>
    <xf numFmtId="167" fontId="10" fillId="0" borderId="4" xfId="0" applyNumberFormat="1" applyFont="1" applyBorder="1"/>
    <xf numFmtId="168" fontId="12" fillId="3" borderId="4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166" fontId="13" fillId="0" borderId="8" xfId="0" applyNumberFormat="1" applyFont="1" applyBorder="1"/>
    <xf numFmtId="10" fontId="13" fillId="0" borderId="8" xfId="0" applyNumberFormat="1" applyFont="1" applyBorder="1"/>
    <xf numFmtId="0" fontId="11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/>
    </xf>
    <xf numFmtId="167" fontId="10" fillId="3" borderId="4" xfId="0" applyNumberFormat="1" applyFont="1" applyFill="1" applyBorder="1"/>
    <xf numFmtId="171" fontId="10" fillId="0" borderId="4" xfId="0" applyNumberFormat="1" applyFont="1" applyBorder="1" applyAlignment="1">
      <alignment horizontal="center"/>
    </xf>
    <xf numFmtId="0" fontId="10" fillId="9" borderId="4" xfId="0" applyFont="1" applyFill="1" applyBorder="1"/>
    <xf numFmtId="0" fontId="12" fillId="6" borderId="4" xfId="0" applyFont="1" applyFill="1" applyBorder="1"/>
    <xf numFmtId="15" fontId="10" fillId="0" borderId="4" xfId="0" applyNumberFormat="1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7" fillId="3" borderId="5" xfId="0" applyFont="1" applyFill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8" xfId="0" applyFont="1" applyBorder="1"/>
    <xf numFmtId="0" fontId="4" fillId="10" borderId="0" xfId="0" applyFont="1" applyFill="1"/>
    <xf numFmtId="0" fontId="4" fillId="0" borderId="0" xfId="0" applyFont="1"/>
    <xf numFmtId="0" fontId="4" fillId="8" borderId="0" xfId="0" applyFont="1" applyFill="1"/>
    <xf numFmtId="0" fontId="4" fillId="11" borderId="0" xfId="0" applyFont="1" applyFill="1"/>
    <xf numFmtId="0" fontId="4" fillId="12" borderId="0" xfId="0" applyFont="1" applyFill="1"/>
    <xf numFmtId="0" fontId="21" fillId="2" borderId="6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172" fontId="17" fillId="3" borderId="4" xfId="0" applyNumberFormat="1" applyFont="1" applyFill="1" applyBorder="1" applyAlignment="1">
      <alignment horizontal="left"/>
    </xf>
    <xf numFmtId="173" fontId="17" fillId="3" borderId="4" xfId="0" applyNumberFormat="1" applyFont="1" applyFill="1" applyBorder="1" applyAlignment="1">
      <alignment horizontal="left"/>
    </xf>
    <xf numFmtId="0" fontId="17" fillId="3" borderId="4" xfId="0" applyFont="1" applyFill="1" applyBorder="1" applyAlignment="1">
      <alignment horizontal="left"/>
    </xf>
    <xf numFmtId="0" fontId="17" fillId="5" borderId="4" xfId="0" applyFont="1" applyFill="1" applyBorder="1" applyAlignment="1">
      <alignment horizontal="left"/>
    </xf>
    <xf numFmtId="0" fontId="11" fillId="10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7" fillId="3" borderId="8" xfId="0" applyFont="1" applyFill="1" applyBorder="1" applyAlignment="1">
      <alignment horizontal="center"/>
    </xf>
    <xf numFmtId="0" fontId="17" fillId="0" borderId="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72" fontId="17" fillId="3" borderId="5" xfId="0" applyNumberFormat="1" applyFont="1" applyFill="1" applyBorder="1" applyAlignment="1">
      <alignment horizontal="left"/>
    </xf>
    <xf numFmtId="173" fontId="17" fillId="0" borderId="5" xfId="0" applyNumberFormat="1" applyFont="1" applyBorder="1" applyAlignment="1">
      <alignment horizontal="left"/>
    </xf>
    <xf numFmtId="0" fontId="17" fillId="5" borderId="5" xfId="0" applyFont="1" applyFill="1" applyBorder="1" applyAlignment="1">
      <alignment horizontal="left"/>
    </xf>
    <xf numFmtId="172" fontId="17" fillId="0" borderId="10" xfId="0" applyNumberFormat="1" applyFont="1" applyBorder="1" applyAlignment="1">
      <alignment horizontal="left"/>
    </xf>
    <xf numFmtId="173" fontId="17" fillId="0" borderId="10" xfId="0" applyNumberFormat="1" applyFont="1" applyBorder="1" applyAlignment="1">
      <alignment horizontal="left"/>
    </xf>
    <xf numFmtId="0" fontId="17" fillId="13" borderId="10" xfId="0" applyFont="1" applyFill="1" applyBorder="1" applyAlignment="1">
      <alignment horizontal="left"/>
    </xf>
    <xf numFmtId="172" fontId="17" fillId="3" borderId="10" xfId="0" applyNumberFormat="1" applyFont="1" applyFill="1" applyBorder="1" applyAlignment="1">
      <alignment horizontal="left"/>
    </xf>
    <xf numFmtId="0" fontId="17" fillId="3" borderId="10" xfId="0" applyFont="1" applyFill="1" applyBorder="1" applyAlignment="1">
      <alignment horizontal="left"/>
    </xf>
    <xf numFmtId="0" fontId="17" fillId="0" borderId="7" xfId="0" applyFont="1" applyBorder="1" applyAlignment="1">
      <alignment horizontal="left"/>
    </xf>
    <xf numFmtId="172" fontId="17" fillId="0" borderId="4" xfId="0" applyNumberFormat="1" applyFont="1" applyBorder="1" applyAlignment="1">
      <alignment horizontal="left"/>
    </xf>
    <xf numFmtId="173" fontId="17" fillId="0" borderId="4" xfId="0" applyNumberFormat="1" applyFont="1" applyBorder="1" applyAlignment="1">
      <alignment horizontal="left"/>
    </xf>
    <xf numFmtId="0" fontId="17" fillId="8" borderId="4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left"/>
    </xf>
    <xf numFmtId="172" fontId="10" fillId="0" borderId="8" xfId="0" applyNumberFormat="1" applyFont="1" applyBorder="1" applyAlignment="1">
      <alignment horizontal="left"/>
    </xf>
    <xf numFmtId="175" fontId="10" fillId="0" borderId="8" xfId="0" applyNumberFormat="1" applyFont="1" applyBorder="1" applyAlignment="1">
      <alignment horizontal="left"/>
    </xf>
    <xf numFmtId="175" fontId="10" fillId="13" borderId="8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13" borderId="8" xfId="0" applyFont="1" applyFill="1" applyBorder="1" applyAlignment="1">
      <alignment horizontal="left"/>
    </xf>
    <xf numFmtId="0" fontId="10" fillId="0" borderId="4" xfId="0" applyFont="1" applyBorder="1" applyAlignment="1">
      <alignment horizontal="left"/>
    </xf>
    <xf numFmtId="176" fontId="10" fillId="0" borderId="8" xfId="0" applyNumberFormat="1" applyFont="1" applyBorder="1" applyAlignment="1">
      <alignment horizontal="left"/>
    </xf>
    <xf numFmtId="0" fontId="10" fillId="5" borderId="8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5" fillId="0" borderId="0" xfId="0" applyFont="1"/>
    <xf numFmtId="173" fontId="13" fillId="0" borderId="8" xfId="0" applyNumberFormat="1" applyFont="1" applyBorder="1" applyAlignment="1">
      <alignment horizontal="left"/>
    </xf>
    <xf numFmtId="0" fontId="13" fillId="0" borderId="8" xfId="0" applyFont="1" applyBorder="1"/>
    <xf numFmtId="0" fontId="4" fillId="0" borderId="0" xfId="0" applyFont="1" applyAlignment="1">
      <alignment horizontal="right"/>
    </xf>
    <xf numFmtId="0" fontId="26" fillId="14" borderId="0" xfId="0" applyFont="1" applyFill="1"/>
    <xf numFmtId="0" fontId="26" fillId="8" borderId="0" xfId="0" applyFont="1" applyFill="1"/>
    <xf numFmtId="0" fontId="26" fillId="11" borderId="0" xfId="0" applyFont="1" applyFill="1"/>
    <xf numFmtId="0" fontId="26" fillId="15" borderId="0" xfId="0" applyFont="1" applyFill="1"/>
    <xf numFmtId="0" fontId="26" fillId="0" borderId="0" xfId="0" applyFont="1"/>
    <xf numFmtId="0" fontId="10" fillId="10" borderId="8" xfId="0" applyFont="1" applyFill="1" applyBorder="1" applyAlignment="1">
      <alignment horizontal="left"/>
    </xf>
    <xf numFmtId="0" fontId="17" fillId="10" borderId="10" xfId="0" applyFont="1" applyFill="1" applyBorder="1" applyAlignment="1">
      <alignment horizontal="left"/>
    </xf>
    <xf numFmtId="0" fontId="17" fillId="0" borderId="8" xfId="0" applyFont="1" applyBorder="1"/>
    <xf numFmtId="172" fontId="17" fillId="0" borderId="8" xfId="0" applyNumberFormat="1" applyFont="1" applyBorder="1"/>
    <xf numFmtId="173" fontId="17" fillId="0" borderId="4" xfId="0" applyNumberFormat="1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172" fontId="17" fillId="3" borderId="8" xfId="0" applyNumberFormat="1" applyFont="1" applyFill="1" applyBorder="1" applyAlignment="1">
      <alignment horizontal="center"/>
    </xf>
    <xf numFmtId="0" fontId="17" fillId="3" borderId="7" xfId="0" applyFont="1" applyFill="1" applyBorder="1" applyAlignment="1">
      <alignment horizontal="left"/>
    </xf>
    <xf numFmtId="0" fontId="17" fillId="10" borderId="4" xfId="0" applyFont="1" applyFill="1" applyBorder="1" applyAlignment="1">
      <alignment horizontal="left"/>
    </xf>
    <xf numFmtId="0" fontId="17" fillId="13" borderId="4" xfId="0" applyFont="1" applyFill="1" applyBorder="1" applyAlignment="1">
      <alignment horizontal="left"/>
    </xf>
    <xf numFmtId="0" fontId="27" fillId="0" borderId="8" xfId="0" applyFont="1" applyBorder="1"/>
    <xf numFmtId="0" fontId="17" fillId="10" borderId="8" xfId="0" applyFont="1" applyFill="1" applyBorder="1" applyAlignment="1">
      <alignment horizontal="left"/>
    </xf>
    <xf numFmtId="172" fontId="10" fillId="0" borderId="8" xfId="0" applyNumberFormat="1" applyFont="1" applyBorder="1"/>
    <xf numFmtId="173" fontId="17" fillId="3" borderId="8" xfId="0" applyNumberFormat="1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3" borderId="8" xfId="0" applyFont="1" applyFill="1" applyBorder="1" applyAlignment="1">
      <alignment horizontal="left"/>
    </xf>
    <xf numFmtId="0" fontId="10" fillId="13" borderId="4" xfId="0" applyFont="1" applyFill="1" applyBorder="1"/>
    <xf numFmtId="173" fontId="17" fillId="0" borderId="8" xfId="0" applyNumberFormat="1" applyFont="1" applyBorder="1" applyAlignment="1">
      <alignment horizontal="center"/>
    </xf>
    <xf numFmtId="173" fontId="17" fillId="13" borderId="8" xfId="0" applyNumberFormat="1" applyFont="1" applyFill="1" applyBorder="1" applyAlignment="1">
      <alignment horizontal="center"/>
    </xf>
    <xf numFmtId="0" fontId="27" fillId="13" borderId="8" xfId="0" applyFont="1" applyFill="1" applyBorder="1"/>
    <xf numFmtId="173" fontId="17" fillId="11" borderId="8" xfId="0" applyNumberFormat="1" applyFont="1" applyFill="1" applyBorder="1" applyAlignment="1">
      <alignment horizontal="center"/>
    </xf>
    <xf numFmtId="0" fontId="10" fillId="13" borderId="8" xfId="0" applyFont="1" applyFill="1" applyBorder="1"/>
    <xf numFmtId="0" fontId="10" fillId="3" borderId="8" xfId="0" applyFont="1" applyFill="1" applyBorder="1"/>
    <xf numFmtId="0" fontId="10" fillId="0" borderId="8" xfId="0" applyFont="1" applyBorder="1"/>
    <xf numFmtId="0" fontId="17" fillId="13" borderId="8" xfId="0" applyFont="1" applyFill="1" applyBorder="1" applyAlignment="1">
      <alignment horizontal="left"/>
    </xf>
    <xf numFmtId="0" fontId="28" fillId="0" borderId="8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10" fillId="3" borderId="10" xfId="0" applyFont="1" applyFill="1" applyBorder="1"/>
    <xf numFmtId="0" fontId="10" fillId="3" borderId="8" xfId="0" applyFont="1" applyFill="1" applyBorder="1" applyAlignment="1">
      <alignment horizontal="left"/>
    </xf>
    <xf numFmtId="0" fontId="25" fillId="13" borderId="8" xfId="0" applyFont="1" applyFill="1" applyBorder="1" applyAlignment="1">
      <alignment horizontal="center"/>
    </xf>
    <xf numFmtId="0" fontId="17" fillId="8" borderId="8" xfId="0" applyFont="1" applyFill="1" applyBorder="1" applyAlignment="1">
      <alignment horizontal="center"/>
    </xf>
    <xf numFmtId="0" fontId="17" fillId="5" borderId="8" xfId="0" applyFont="1" applyFill="1" applyBorder="1"/>
    <xf numFmtId="0" fontId="17" fillId="6" borderId="8" xfId="0" applyFont="1" applyFill="1" applyBorder="1"/>
    <xf numFmtId="176" fontId="10" fillId="0" borderId="8" xfId="0" applyNumberFormat="1" applyFont="1" applyBorder="1"/>
    <xf numFmtId="0" fontId="10" fillId="5" borderId="8" xfId="0" applyFont="1" applyFill="1" applyBorder="1"/>
    <xf numFmtId="172" fontId="10" fillId="0" borderId="0" xfId="0" applyNumberFormat="1" applyFont="1"/>
    <xf numFmtId="0" fontId="10" fillId="5" borderId="0" xfId="0" applyFont="1" applyFill="1"/>
    <xf numFmtId="0" fontId="10" fillId="10" borderId="0" xfId="0" applyFont="1" applyFill="1" applyAlignment="1">
      <alignment horizontal="left"/>
    </xf>
    <xf numFmtId="172" fontId="10" fillId="0" borderId="0" xfId="0" applyNumberFormat="1" applyFont="1" applyAlignment="1">
      <alignment horizontal="left"/>
    </xf>
    <xf numFmtId="0" fontId="27" fillId="13" borderId="8" xfId="0" applyFont="1" applyFill="1" applyBorder="1" applyAlignment="1">
      <alignment horizontal="right"/>
    </xf>
    <xf numFmtId="172" fontId="10" fillId="13" borderId="8" xfId="0" applyNumberFormat="1" applyFont="1" applyFill="1" applyBorder="1"/>
    <xf numFmtId="0" fontId="10" fillId="13" borderId="8" xfId="0" applyFont="1" applyFill="1" applyBorder="1" applyAlignment="1">
      <alignment horizontal="center"/>
    </xf>
    <xf numFmtId="172" fontId="17" fillId="13" borderId="8" xfId="0" applyNumberFormat="1" applyFont="1" applyFill="1" applyBorder="1" applyAlignment="1">
      <alignment horizontal="center"/>
    </xf>
    <xf numFmtId="172" fontId="10" fillId="13" borderId="8" xfId="0" applyNumberFormat="1" applyFont="1" applyFill="1" applyBorder="1" applyAlignment="1">
      <alignment horizontal="left"/>
    </xf>
    <xf numFmtId="0" fontId="11" fillId="13" borderId="8" xfId="0" applyFont="1" applyFill="1" applyBorder="1" applyAlignment="1">
      <alignment horizontal="center"/>
    </xf>
    <xf numFmtId="175" fontId="10" fillId="0" borderId="8" xfId="0" applyNumberFormat="1" applyFont="1" applyBorder="1" applyAlignment="1">
      <alignment horizontal="center"/>
    </xf>
    <xf numFmtId="172" fontId="10" fillId="0" borderId="8" xfId="0" applyNumberFormat="1" applyFont="1" applyBorder="1" applyAlignment="1">
      <alignment horizontal="center"/>
    </xf>
    <xf numFmtId="0" fontId="10" fillId="6" borderId="8" xfId="0" applyFont="1" applyFill="1" applyBorder="1"/>
    <xf numFmtId="0" fontId="10" fillId="16" borderId="8" xfId="0" applyFont="1" applyFill="1" applyBorder="1"/>
    <xf numFmtId="0" fontId="17" fillId="13" borderId="8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left"/>
    </xf>
    <xf numFmtId="175" fontId="10" fillId="13" borderId="8" xfId="0" applyNumberFormat="1" applyFont="1" applyFill="1" applyBorder="1" applyAlignment="1">
      <alignment horizontal="center"/>
    </xf>
    <xf numFmtId="175" fontId="10" fillId="11" borderId="8" xfId="0" applyNumberFormat="1" applyFont="1" applyFill="1" applyBorder="1" applyAlignment="1">
      <alignment horizontal="center"/>
    </xf>
    <xf numFmtId="0" fontId="4" fillId="0" borderId="8" xfId="0" applyFont="1" applyBorder="1"/>
    <xf numFmtId="175" fontId="11" fillId="0" borderId="8" xfId="0" applyNumberFormat="1" applyFont="1" applyBorder="1"/>
    <xf numFmtId="0" fontId="15" fillId="0" borderId="8" xfId="0" applyFont="1" applyBorder="1"/>
    <xf numFmtId="10" fontId="10" fillId="0" borderId="8" xfId="0" applyNumberFormat="1" applyFont="1" applyBorder="1"/>
    <xf numFmtId="0" fontId="4" fillId="13" borderId="0" xfId="0" applyFont="1" applyFill="1"/>
    <xf numFmtId="0" fontId="21" fillId="2" borderId="6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/>
    </xf>
    <xf numFmtId="0" fontId="17" fillId="13" borderId="5" xfId="0" applyFont="1" applyFill="1" applyBorder="1" applyAlignment="1">
      <alignment horizontal="left"/>
    </xf>
    <xf numFmtId="0" fontId="17" fillId="13" borderId="8" xfId="0" applyFont="1" applyFill="1" applyBorder="1"/>
    <xf numFmtId="172" fontId="10" fillId="13" borderId="4" xfId="0" applyNumberFormat="1" applyFont="1" applyFill="1" applyBorder="1"/>
    <xf numFmtId="173" fontId="17" fillId="13" borderId="4" xfId="0" applyNumberFormat="1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/>
    </xf>
    <xf numFmtId="0" fontId="17" fillId="16" borderId="4" xfId="0" applyFont="1" applyFill="1" applyBorder="1"/>
    <xf numFmtId="172" fontId="17" fillId="13" borderId="4" xfId="0" applyNumberFormat="1" applyFont="1" applyFill="1" applyBorder="1" applyAlignment="1">
      <alignment horizontal="center"/>
    </xf>
    <xf numFmtId="0" fontId="17" fillId="13" borderId="4" xfId="0" applyFont="1" applyFill="1" applyBorder="1"/>
    <xf numFmtId="0" fontId="17" fillId="13" borderId="7" xfId="0" applyFont="1" applyFill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28" fillId="13" borderId="8" xfId="0" applyFont="1" applyFill="1" applyBorder="1" applyAlignment="1">
      <alignment horizontal="center"/>
    </xf>
    <xf numFmtId="172" fontId="17" fillId="13" borderId="8" xfId="0" applyNumberFormat="1" applyFont="1" applyFill="1" applyBorder="1"/>
    <xf numFmtId="0" fontId="17" fillId="16" borderId="8" xfId="0" applyFont="1" applyFill="1" applyBorder="1"/>
    <xf numFmtId="0" fontId="10" fillId="3" borderId="7" xfId="0" applyFont="1" applyFill="1" applyBorder="1" applyAlignment="1">
      <alignment horizontal="left"/>
    </xf>
    <xf numFmtId="173" fontId="17" fillId="17" borderId="8" xfId="0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left"/>
    </xf>
    <xf numFmtId="0" fontId="11" fillId="15" borderId="8" xfId="0" applyFont="1" applyFill="1" applyBorder="1" applyAlignment="1">
      <alignment horizontal="center"/>
    </xf>
    <xf numFmtId="0" fontId="17" fillId="18" borderId="8" xfId="0" applyFont="1" applyFill="1" applyBorder="1"/>
    <xf numFmtId="0" fontId="10" fillId="15" borderId="7" xfId="0" applyFont="1" applyFill="1" applyBorder="1" applyAlignment="1">
      <alignment horizontal="left"/>
    </xf>
    <xf numFmtId="0" fontId="10" fillId="13" borderId="7" xfId="0" applyFont="1" applyFill="1" applyBorder="1" applyAlignment="1">
      <alignment horizontal="left"/>
    </xf>
    <xf numFmtId="173" fontId="4" fillId="0" borderId="8" xfId="0" applyNumberFormat="1" applyFont="1" applyBorder="1"/>
    <xf numFmtId="174" fontId="4" fillId="0" borderId="8" xfId="0" applyNumberFormat="1" applyFont="1" applyBorder="1"/>
    <xf numFmtId="0" fontId="14" fillId="0" borderId="9" xfId="0" applyFont="1" applyBorder="1"/>
    <xf numFmtId="10" fontId="4" fillId="0" borderId="8" xfId="0" applyNumberFormat="1" applyFont="1" applyBorder="1"/>
    <xf numFmtId="0" fontId="4" fillId="0" borderId="0" xfId="0" applyFont="1" applyAlignment="1">
      <alignment horizontal="left"/>
    </xf>
    <xf numFmtId="0" fontId="17" fillId="13" borderId="7" xfId="0" applyFont="1" applyFill="1" applyBorder="1" applyAlignment="1">
      <alignment horizontal="center"/>
    </xf>
    <xf numFmtId="0" fontId="17" fillId="18" borderId="4" xfId="0" applyFont="1" applyFill="1" applyBorder="1"/>
    <xf numFmtId="173" fontId="17" fillId="9" borderId="8" xfId="0" applyNumberFormat="1" applyFont="1" applyFill="1" applyBorder="1" applyAlignment="1">
      <alignment horizontal="center"/>
    </xf>
    <xf numFmtId="173" fontId="17" fillId="9" borderId="4" xfId="0" applyNumberFormat="1" applyFont="1" applyFill="1" applyBorder="1" applyAlignment="1">
      <alignment horizontal="center"/>
    </xf>
    <xf numFmtId="0" fontId="25" fillId="9" borderId="8" xfId="0" applyFont="1" applyFill="1" applyBorder="1" applyAlignment="1">
      <alignment horizontal="center"/>
    </xf>
    <xf numFmtId="0" fontId="17" fillId="19" borderId="4" xfId="0" applyFont="1" applyFill="1" applyBorder="1" applyAlignment="1">
      <alignment horizontal="left"/>
    </xf>
    <xf numFmtId="0" fontId="15" fillId="13" borderId="0" xfId="0" applyFont="1" applyFill="1"/>
    <xf numFmtId="172" fontId="10" fillId="0" borderId="8" xfId="0" applyNumberFormat="1" applyFont="1" applyBorder="1" applyAlignment="1">
      <alignment horizontal="right"/>
    </xf>
    <xf numFmtId="0" fontId="17" fillId="19" borderId="8" xfId="0" applyFont="1" applyFill="1" applyBorder="1" applyAlignment="1">
      <alignment horizontal="left"/>
    </xf>
    <xf numFmtId="0" fontId="10" fillId="19" borderId="4" xfId="0" applyFont="1" applyFill="1" applyBorder="1"/>
    <xf numFmtId="0" fontId="10" fillId="13" borderId="7" xfId="0" applyFont="1" applyFill="1" applyBorder="1"/>
    <xf numFmtId="172" fontId="17" fillId="13" borderId="8" xfId="0" applyNumberFormat="1" applyFont="1" applyFill="1" applyBorder="1" applyAlignment="1">
      <alignment horizontal="left"/>
    </xf>
    <xf numFmtId="0" fontId="10" fillId="0" borderId="7" xfId="0" applyFont="1" applyBorder="1"/>
    <xf numFmtId="0" fontId="10" fillId="20" borderId="8" xfId="0" applyFont="1" applyFill="1" applyBorder="1"/>
    <xf numFmtId="175" fontId="10" fillId="21" borderId="8" xfId="0" applyNumberFormat="1" applyFont="1" applyFill="1" applyBorder="1" applyAlignment="1">
      <alignment horizontal="center"/>
    </xf>
    <xf numFmtId="0" fontId="11" fillId="0" borderId="8" xfId="0" applyFont="1" applyBorder="1"/>
    <xf numFmtId="0" fontId="10" fillId="18" borderId="8" xfId="0" applyFont="1" applyFill="1" applyBorder="1"/>
    <xf numFmtId="175" fontId="10" fillId="9" borderId="8" xfId="0" applyNumberFormat="1" applyFont="1" applyFill="1" applyBorder="1" applyAlignment="1">
      <alignment horizontal="center"/>
    </xf>
    <xf numFmtId="0" fontId="10" fillId="0" borderId="0" xfId="0" applyFont="1"/>
    <xf numFmtId="172" fontId="10" fillId="13" borderId="8" xfId="0" applyNumberFormat="1" applyFont="1" applyFill="1" applyBorder="1" applyAlignment="1">
      <alignment horizontal="center"/>
    </xf>
    <xf numFmtId="0" fontId="4" fillId="0" borderId="9" xfId="0" applyFont="1" applyBorder="1"/>
    <xf numFmtId="177" fontId="4" fillId="0" borderId="8" xfId="0" applyNumberFormat="1" applyFont="1" applyBorder="1"/>
    <xf numFmtId="10" fontId="4" fillId="0" borderId="0" xfId="0" applyNumberFormat="1" applyFont="1"/>
    <xf numFmtId="1" fontId="4" fillId="0" borderId="0" xfId="0" applyNumberFormat="1" applyFont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/>
    </xf>
    <xf numFmtId="172" fontId="10" fillId="0" borderId="4" xfId="0" applyNumberFormat="1" applyFont="1" applyBorder="1"/>
    <xf numFmtId="175" fontId="17" fillId="0" borderId="4" xfId="0" applyNumberFormat="1" applyFont="1" applyBorder="1" applyAlignment="1">
      <alignment horizontal="center"/>
    </xf>
    <xf numFmtId="172" fontId="17" fillId="0" borderId="4" xfId="0" applyNumberFormat="1" applyFont="1" applyBorder="1" applyAlignment="1">
      <alignment horizontal="center"/>
    </xf>
    <xf numFmtId="173" fontId="24" fillId="0" borderId="8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20" borderId="4" xfId="0" applyFont="1" applyFill="1" applyBorder="1"/>
    <xf numFmtId="172" fontId="17" fillId="0" borderId="8" xfId="0" applyNumberFormat="1" applyFont="1" applyBorder="1" applyAlignment="1">
      <alignment horizontal="center"/>
    </xf>
    <xf numFmtId="175" fontId="17" fillId="0" borderId="8" xfId="0" applyNumberFormat="1" applyFont="1" applyBorder="1" applyAlignment="1">
      <alignment horizontal="center"/>
    </xf>
    <xf numFmtId="0" fontId="17" fillId="20" borderId="8" xfId="0" applyFont="1" applyFill="1" applyBorder="1"/>
    <xf numFmtId="0" fontId="10" fillId="15" borderId="8" xfId="0" applyFont="1" applyFill="1" applyBorder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vertical="center" wrapText="1"/>
    </xf>
    <xf numFmtId="0" fontId="29" fillId="13" borderId="0" xfId="0" applyFont="1" applyFill="1" applyAlignment="1">
      <alignment horizontal="center" vertical="center" wrapText="1"/>
    </xf>
    <xf numFmtId="0" fontId="4" fillId="0" borderId="14" xfId="0" applyFont="1" applyBorder="1"/>
    <xf numFmtId="0" fontId="4" fillId="4" borderId="15" xfId="0" applyFont="1" applyFill="1" applyBorder="1" applyAlignment="1">
      <alignment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vertical="center" wrapText="1"/>
    </xf>
    <xf numFmtId="0" fontId="14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70" fontId="11" fillId="0" borderId="19" xfId="0" applyNumberFormat="1" applyFont="1" applyBorder="1" applyAlignment="1">
      <alignment horizontal="left"/>
    </xf>
    <xf numFmtId="0" fontId="11" fillId="0" borderId="20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left"/>
    </xf>
    <xf numFmtId="0" fontId="31" fillId="13" borderId="22" xfId="0" applyFont="1" applyFill="1" applyBorder="1" applyAlignment="1">
      <alignment horizontal="center"/>
    </xf>
    <xf numFmtId="170" fontId="10" fillId="0" borderId="22" xfId="0" applyNumberFormat="1" applyFont="1" applyBorder="1" applyAlignment="1">
      <alignment horizontal="left"/>
    </xf>
    <xf numFmtId="0" fontId="10" fillId="0" borderId="23" xfId="0" applyFont="1" applyBorder="1"/>
    <xf numFmtId="0" fontId="32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0" fontId="10" fillId="4" borderId="8" xfId="0" applyFont="1" applyFill="1" applyBorder="1"/>
    <xf numFmtId="167" fontId="10" fillId="0" borderId="8" xfId="0" applyNumberFormat="1" applyFont="1" applyBorder="1" applyAlignment="1">
      <alignment horizontal="center"/>
    </xf>
    <xf numFmtId="0" fontId="10" fillId="0" borderId="26" xfId="0" applyFont="1" applyBorder="1"/>
    <xf numFmtId="0" fontId="10" fillId="4" borderId="7" xfId="0" applyFont="1" applyFill="1" applyBorder="1"/>
    <xf numFmtId="167" fontId="10" fillId="0" borderId="7" xfId="0" applyNumberFormat="1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0" fontId="12" fillId="13" borderId="0" xfId="0" applyFont="1" applyFill="1"/>
    <xf numFmtId="173" fontId="17" fillId="0" borderId="8" xfId="0" applyNumberFormat="1" applyFont="1" applyBorder="1" applyAlignment="1">
      <alignment horizontal="left"/>
    </xf>
    <xf numFmtId="0" fontId="4" fillId="0" borderId="24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0" fontId="11" fillId="0" borderId="12" xfId="0" applyFont="1" applyBorder="1"/>
    <xf numFmtId="170" fontId="11" fillId="0" borderId="12" xfId="0" applyNumberFormat="1" applyFont="1" applyBorder="1" applyAlignment="1">
      <alignment horizontal="center"/>
    </xf>
    <xf numFmtId="0" fontId="10" fillId="0" borderId="30" xfId="0" applyFont="1" applyBorder="1" applyAlignment="1">
      <alignment horizontal="left"/>
    </xf>
    <xf numFmtId="0" fontId="10" fillId="0" borderId="13" xfId="0" applyFont="1" applyBorder="1"/>
    <xf numFmtId="0" fontId="10" fillId="0" borderId="13" xfId="0" applyFont="1" applyBorder="1" applyAlignment="1">
      <alignment horizontal="left"/>
    </xf>
    <xf numFmtId="0" fontId="10" fillId="0" borderId="31" xfId="0" applyFont="1" applyBorder="1"/>
    <xf numFmtId="0" fontId="33" fillId="0" borderId="24" xfId="0" applyFont="1" applyBorder="1" applyAlignment="1">
      <alignment horizontal="center"/>
    </xf>
    <xf numFmtId="0" fontId="10" fillId="0" borderId="32" xfId="0" applyFont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167" fontId="10" fillId="0" borderId="10" xfId="0" applyNumberFormat="1" applyFont="1" applyBorder="1" applyAlignment="1">
      <alignment horizontal="center"/>
    </xf>
    <xf numFmtId="0" fontId="35" fillId="4" borderId="7" xfId="0" applyFont="1" applyFill="1" applyBorder="1"/>
    <xf numFmtId="170" fontId="17" fillId="0" borderId="8" xfId="0" applyNumberFormat="1" applyFont="1" applyBorder="1" applyAlignment="1">
      <alignment horizontal="left"/>
    </xf>
    <xf numFmtId="0" fontId="4" fillId="0" borderId="24" xfId="0" applyFont="1" applyBorder="1"/>
    <xf numFmtId="170" fontId="11" fillId="0" borderId="8" xfId="0" applyNumberFormat="1" applyFont="1" applyBorder="1" applyAlignment="1">
      <alignment horizontal="center"/>
    </xf>
    <xf numFmtId="0" fontId="4" fillId="0" borderId="17" xfId="0" applyFont="1" applyBorder="1"/>
    <xf numFmtId="0" fontId="10" fillId="0" borderId="33" xfId="0" applyFont="1" applyBorder="1" applyAlignment="1">
      <alignment horizontal="left"/>
    </xf>
    <xf numFmtId="0" fontId="11" fillId="0" borderId="34" xfId="0" applyFont="1" applyBorder="1"/>
    <xf numFmtId="170" fontId="11" fillId="0" borderId="34" xfId="0" applyNumberFormat="1" applyFont="1" applyBorder="1" applyAlignment="1">
      <alignment horizontal="center"/>
    </xf>
    <xf numFmtId="0" fontId="10" fillId="0" borderId="35" xfId="0" applyFont="1" applyBorder="1"/>
    <xf numFmtId="0" fontId="4" fillId="6" borderId="15" xfId="0" applyFont="1" applyFill="1" applyBorder="1" applyAlignment="1">
      <alignment vertical="center" wrapText="1"/>
    </xf>
    <xf numFmtId="0" fontId="29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vertical="center" wrapText="1"/>
    </xf>
    <xf numFmtId="170" fontId="10" fillId="0" borderId="8" xfId="0" applyNumberFormat="1" applyFont="1" applyBorder="1" applyAlignment="1">
      <alignment horizontal="left"/>
    </xf>
    <xf numFmtId="170" fontId="4" fillId="0" borderId="0" xfId="0" applyNumberFormat="1" applyFont="1"/>
    <xf numFmtId="170" fontId="10" fillId="0" borderId="4" xfId="0" applyNumberFormat="1" applyFont="1" applyBorder="1" applyAlignment="1">
      <alignment horizontal="left" wrapText="1"/>
    </xf>
    <xf numFmtId="0" fontId="17" fillId="6" borderId="8" xfId="0" applyFont="1" applyFill="1" applyBorder="1" applyAlignment="1">
      <alignment horizontal="left"/>
    </xf>
    <xf numFmtId="0" fontId="12" fillId="6" borderId="0" xfId="0" applyFont="1" applyFill="1"/>
    <xf numFmtId="0" fontId="12" fillId="6" borderId="8" xfId="0" applyFont="1" applyFill="1" applyBorder="1"/>
    <xf numFmtId="170" fontId="10" fillId="0" borderId="10" xfId="0" applyNumberFormat="1" applyFont="1" applyBorder="1" applyAlignment="1">
      <alignment horizontal="left" wrapText="1"/>
    </xf>
    <xf numFmtId="0" fontId="12" fillId="6" borderId="7" xfId="0" applyFont="1" applyFill="1" applyBorder="1"/>
    <xf numFmtId="0" fontId="10" fillId="0" borderId="0" xfId="0" applyFont="1" applyAlignment="1">
      <alignment horizontal="left"/>
    </xf>
    <xf numFmtId="0" fontId="4" fillId="5" borderId="36" xfId="0" applyFont="1" applyFill="1" applyBorder="1" applyAlignment="1">
      <alignment vertical="center" wrapText="1"/>
    </xf>
    <xf numFmtId="0" fontId="29" fillId="5" borderId="15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11" fillId="0" borderId="3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170" fontId="11" fillId="0" borderId="6" xfId="0" applyNumberFormat="1" applyFont="1" applyBorder="1" applyAlignment="1">
      <alignment horizontal="left"/>
    </xf>
    <xf numFmtId="0" fontId="11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left"/>
    </xf>
    <xf numFmtId="0" fontId="10" fillId="0" borderId="22" xfId="0" applyFont="1" applyBorder="1"/>
    <xf numFmtId="170" fontId="10" fillId="0" borderId="7" xfId="0" applyNumberFormat="1" applyFont="1" applyBorder="1" applyAlignment="1">
      <alignment horizontal="left"/>
    </xf>
    <xf numFmtId="170" fontId="10" fillId="0" borderId="4" xfId="0" applyNumberFormat="1" applyFont="1" applyBorder="1" applyAlignment="1">
      <alignment horizontal="left"/>
    </xf>
    <xf numFmtId="0" fontId="10" fillId="13" borderId="25" xfId="0" applyFont="1" applyFill="1" applyBorder="1" applyAlignment="1">
      <alignment horizontal="left"/>
    </xf>
    <xf numFmtId="0" fontId="36" fillId="5" borderId="0" xfId="0" applyFont="1" applyFill="1"/>
    <xf numFmtId="0" fontId="10" fillId="5" borderId="7" xfId="0" applyFont="1" applyFill="1" applyBorder="1"/>
    <xf numFmtId="173" fontId="10" fillId="3" borderId="7" xfId="0" applyNumberFormat="1" applyFont="1" applyFill="1" applyBorder="1" applyAlignment="1">
      <alignment horizontal="left"/>
    </xf>
    <xf numFmtId="0" fontId="10" fillId="13" borderId="0" xfId="0" applyFont="1" applyFill="1" applyAlignment="1">
      <alignment horizontal="left"/>
    </xf>
    <xf numFmtId="170" fontId="10" fillId="3" borderId="8" xfId="0" applyNumberFormat="1" applyFont="1" applyFill="1" applyBorder="1" applyAlignment="1">
      <alignment horizontal="left"/>
    </xf>
    <xf numFmtId="173" fontId="10" fillId="3" borderId="8" xfId="0" applyNumberFormat="1" applyFont="1" applyFill="1" applyBorder="1" applyAlignment="1">
      <alignment horizontal="left"/>
    </xf>
    <xf numFmtId="0" fontId="10" fillId="5" borderId="6" xfId="0" applyFont="1" applyFill="1" applyBorder="1"/>
    <xf numFmtId="173" fontId="10" fillId="3" borderId="6" xfId="0" applyNumberFormat="1" applyFont="1" applyFill="1" applyBorder="1" applyAlignment="1">
      <alignment horizontal="left"/>
    </xf>
    <xf numFmtId="0" fontId="11" fillId="13" borderId="12" xfId="0" applyFont="1" applyFill="1" applyBorder="1"/>
    <xf numFmtId="0" fontId="10" fillId="13" borderId="13" xfId="0" applyFont="1" applyFill="1" applyBorder="1"/>
    <xf numFmtId="0" fontId="37" fillId="13" borderId="7" xfId="0" applyFont="1" applyFill="1" applyBorder="1" applyAlignment="1">
      <alignment horizontal="center"/>
    </xf>
    <xf numFmtId="0" fontId="12" fillId="5" borderId="8" xfId="0" applyFont="1" applyFill="1" applyBorder="1"/>
    <xf numFmtId="170" fontId="10" fillId="0" borderId="8" xfId="0" applyNumberFormat="1" applyFont="1" applyBorder="1" applyAlignment="1">
      <alignment horizontal="left" wrapText="1"/>
    </xf>
    <xf numFmtId="0" fontId="4" fillId="16" borderId="36" xfId="0" applyFont="1" applyFill="1" applyBorder="1" applyAlignment="1">
      <alignment vertical="center" wrapText="1"/>
    </xf>
    <xf numFmtId="0" fontId="29" fillId="16" borderId="15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vertical="center" wrapText="1"/>
    </xf>
    <xf numFmtId="0" fontId="4" fillId="16" borderId="16" xfId="0" applyFont="1" applyFill="1" applyBorder="1" applyAlignment="1">
      <alignment vertical="center" wrapText="1"/>
    </xf>
    <xf numFmtId="0" fontId="10" fillId="16" borderId="7" xfId="0" applyFont="1" applyFill="1" applyBorder="1"/>
    <xf numFmtId="175" fontId="10" fillId="0" borderId="7" xfId="0" applyNumberFormat="1" applyFont="1" applyBorder="1" applyAlignment="1">
      <alignment horizontal="left"/>
    </xf>
    <xf numFmtId="173" fontId="10" fillId="0" borderId="8" xfId="0" applyNumberFormat="1" applyFont="1" applyBorder="1" applyAlignment="1">
      <alignment horizontal="left"/>
    </xf>
    <xf numFmtId="173" fontId="17" fillId="0" borderId="12" xfId="0" applyNumberFormat="1" applyFont="1" applyBorder="1" applyAlignment="1">
      <alignment horizontal="left"/>
    </xf>
    <xf numFmtId="173" fontId="11" fillId="0" borderId="12" xfId="0" applyNumberFormat="1" applyFont="1" applyBorder="1" applyAlignment="1">
      <alignment horizontal="center"/>
    </xf>
    <xf numFmtId="0" fontId="10" fillId="16" borderId="9" xfId="0" applyFont="1" applyFill="1" applyBorder="1"/>
    <xf numFmtId="173" fontId="17" fillId="13" borderId="8" xfId="0" applyNumberFormat="1" applyFont="1" applyFill="1" applyBorder="1" applyAlignment="1">
      <alignment horizontal="left"/>
    </xf>
    <xf numFmtId="173" fontId="11" fillId="0" borderId="8" xfId="0" applyNumberFormat="1" applyFont="1" applyBorder="1" applyAlignment="1">
      <alignment horizontal="center"/>
    </xf>
    <xf numFmtId="173" fontId="11" fillId="0" borderId="34" xfId="0" applyNumberFormat="1" applyFont="1" applyBorder="1" applyAlignment="1">
      <alignment horizontal="center"/>
    </xf>
    <xf numFmtId="0" fontId="4" fillId="18" borderId="36" xfId="0" applyFont="1" applyFill="1" applyBorder="1" applyAlignment="1">
      <alignment vertical="center" wrapText="1"/>
    </xf>
    <xf numFmtId="0" fontId="29" fillId="18" borderId="15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6" xfId="0" applyFont="1" applyFill="1" applyBorder="1" applyAlignment="1">
      <alignment vertical="center" wrapText="1"/>
    </xf>
    <xf numFmtId="0" fontId="10" fillId="18" borderId="7" xfId="0" applyFont="1" applyFill="1" applyBorder="1"/>
    <xf numFmtId="0" fontId="4" fillId="20" borderId="36" xfId="0" applyFont="1" applyFill="1" applyBorder="1" applyAlignment="1">
      <alignment vertical="center" wrapText="1"/>
    </xf>
    <xf numFmtId="0" fontId="29" fillId="20" borderId="15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vertical="center" wrapText="1"/>
    </xf>
    <xf numFmtId="0" fontId="4" fillId="20" borderId="16" xfId="0" applyFont="1" applyFill="1" applyBorder="1" applyAlignment="1">
      <alignment vertical="center" wrapText="1"/>
    </xf>
    <xf numFmtId="0" fontId="10" fillId="20" borderId="7" xfId="0" applyFont="1" applyFill="1" applyBorder="1"/>
    <xf numFmtId="173" fontId="10" fillId="0" borderId="7" xfId="0" applyNumberFormat="1" applyFont="1" applyBorder="1" applyAlignment="1">
      <alignment horizontal="left"/>
    </xf>
    <xf numFmtId="175" fontId="11" fillId="0" borderId="12" xfId="0" applyNumberFormat="1" applyFont="1" applyBorder="1" applyAlignment="1">
      <alignment horizontal="left"/>
    </xf>
    <xf numFmtId="175" fontId="11" fillId="0" borderId="8" xfId="0" applyNumberFormat="1" applyFont="1" applyBorder="1" applyAlignment="1">
      <alignment horizontal="center"/>
    </xf>
    <xf numFmtId="175" fontId="11" fillId="0" borderId="34" xfId="0" applyNumberFormat="1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78" fontId="7" fillId="0" borderId="12" xfId="0" applyNumberFormat="1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79" fontId="7" fillId="0" borderId="6" xfId="0" applyNumberFormat="1" applyFont="1" applyBorder="1"/>
    <xf numFmtId="175" fontId="38" fillId="0" borderId="6" xfId="0" applyNumberFormat="1" applyFont="1" applyBorder="1"/>
    <xf numFmtId="0" fontId="7" fillId="0" borderId="5" xfId="0" applyFont="1" applyBorder="1"/>
    <xf numFmtId="0" fontId="7" fillId="0" borderId="6" xfId="0" applyFont="1" applyBorder="1"/>
    <xf numFmtId="175" fontId="41" fillId="0" borderId="6" xfId="0" applyNumberFormat="1" applyFont="1" applyBorder="1"/>
    <xf numFmtId="175" fontId="32" fillId="0" borderId="6" xfId="0" applyNumberFormat="1" applyFont="1" applyBorder="1"/>
    <xf numFmtId="0" fontId="7" fillId="0" borderId="7" xfId="0" applyFont="1" applyBorder="1"/>
    <xf numFmtId="175" fontId="38" fillId="0" borderId="7" xfId="0" applyNumberFormat="1" applyFont="1" applyBorder="1"/>
    <xf numFmtId="0" fontId="7" fillId="0" borderId="8" xfId="0" applyFont="1" applyBorder="1"/>
    <xf numFmtId="175" fontId="32" fillId="0" borderId="8" xfId="0" applyNumberFormat="1" applyFont="1" applyBorder="1"/>
    <xf numFmtId="0" fontId="38" fillId="21" borderId="8" xfId="0" applyFont="1" applyFill="1" applyBorder="1" applyAlignment="1">
      <alignment horizontal="center"/>
    </xf>
    <xf numFmtId="179" fontId="7" fillId="0" borderId="8" xfId="0" applyNumberFormat="1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179" fontId="7" fillId="0" borderId="0" xfId="0" applyNumberFormat="1" applyFont="1"/>
    <xf numFmtId="175" fontId="7" fillId="0" borderId="0" xfId="0" applyNumberFormat="1" applyFont="1"/>
    <xf numFmtId="0" fontId="19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180" fontId="38" fillId="0" borderId="8" xfId="0" applyNumberFormat="1" applyFont="1" applyBorder="1"/>
    <xf numFmtId="181" fontId="42" fillId="0" borderId="8" xfId="0" applyNumberFormat="1" applyFont="1" applyBorder="1" applyAlignment="1">
      <alignment horizontal="right"/>
    </xf>
    <xf numFmtId="182" fontId="42" fillId="0" borderId="8" xfId="0" applyNumberFormat="1" applyFont="1" applyBorder="1" applyAlignment="1">
      <alignment horizontal="right"/>
    </xf>
    <xf numFmtId="0" fontId="38" fillId="0" borderId="8" xfId="0" applyFont="1" applyBorder="1"/>
    <xf numFmtId="170" fontId="42" fillId="0" borderId="8" xfId="0" applyNumberFormat="1" applyFont="1" applyBorder="1" applyAlignment="1">
      <alignment horizontal="right"/>
    </xf>
    <xf numFmtId="0" fontId="38" fillId="0" borderId="1" xfId="0" applyFont="1" applyBorder="1" applyAlignment="1">
      <alignment horizontal="center"/>
    </xf>
    <xf numFmtId="175" fontId="38" fillId="0" borderId="0" xfId="0" applyNumberFormat="1" applyFont="1" applyAlignment="1">
      <alignment horizontal="center"/>
    </xf>
    <xf numFmtId="175" fontId="43" fillId="0" borderId="0" xfId="0" applyNumberFormat="1" applyFont="1" applyAlignment="1">
      <alignment horizontal="center"/>
    </xf>
    <xf numFmtId="175" fontId="32" fillId="0" borderId="0" xfId="0" applyNumberFormat="1" applyFont="1" applyAlignment="1">
      <alignment horizontal="center"/>
    </xf>
    <xf numFmtId="0" fontId="42" fillId="0" borderId="8" xfId="0" applyFont="1" applyBorder="1"/>
    <xf numFmtId="175" fontId="32" fillId="0" borderId="8" xfId="0" applyNumberFormat="1" applyFont="1" applyBorder="1" applyAlignment="1">
      <alignment horizontal="center"/>
    </xf>
    <xf numFmtId="175" fontId="4" fillId="0" borderId="0" xfId="0" applyNumberFormat="1" applyFont="1"/>
    <xf numFmtId="0" fontId="38" fillId="0" borderId="8" xfId="0" applyFont="1" applyBorder="1" applyAlignment="1">
      <alignment horizontal="left"/>
    </xf>
    <xf numFmtId="172" fontId="7" fillId="0" borderId="12" xfId="0" applyNumberFormat="1" applyFont="1" applyBorder="1" applyAlignment="1">
      <alignment horizontal="center"/>
    </xf>
    <xf numFmtId="175" fontId="7" fillId="0" borderId="12" xfId="0" applyNumberFormat="1" applyFont="1" applyBorder="1" applyAlignment="1">
      <alignment horizontal="center"/>
    </xf>
    <xf numFmtId="175" fontId="38" fillId="0" borderId="12" xfId="0" applyNumberFormat="1" applyFont="1" applyBorder="1" applyAlignment="1">
      <alignment horizontal="center"/>
    </xf>
    <xf numFmtId="0" fontId="38" fillId="21" borderId="8" xfId="0" applyFont="1" applyFill="1" applyBorder="1" applyAlignment="1">
      <alignment horizontal="left"/>
    </xf>
    <xf numFmtId="0" fontId="46" fillId="0" borderId="0" xfId="1" applyFont="1"/>
    <xf numFmtId="0" fontId="47" fillId="0" borderId="0" xfId="1" applyFont="1" applyAlignment="1">
      <alignment horizontal="center" vertical="center"/>
    </xf>
    <xf numFmtId="0" fontId="46" fillId="0" borderId="0" xfId="1" applyFont="1" applyAlignment="1">
      <alignment horizontal="center"/>
    </xf>
    <xf numFmtId="184" fontId="49" fillId="0" borderId="0" xfId="2" applyNumberFormat="1" applyFont="1"/>
    <xf numFmtId="184" fontId="50" fillId="0" borderId="50" xfId="2" applyNumberFormat="1" applyFont="1" applyBorder="1" applyAlignment="1">
      <alignment horizontal="center"/>
    </xf>
    <xf numFmtId="184" fontId="50" fillId="0" borderId="45" xfId="2" applyNumberFormat="1" applyFont="1" applyBorder="1"/>
    <xf numFmtId="0" fontId="49" fillId="0" borderId="51" xfId="2" applyNumberFormat="1" applyFont="1" applyBorder="1" applyAlignment="1">
      <alignment horizontal="center"/>
    </xf>
    <xf numFmtId="0" fontId="49" fillId="0" borderId="52" xfId="2" applyNumberFormat="1" applyFont="1" applyBorder="1"/>
    <xf numFmtId="184" fontId="51" fillId="0" borderId="45" xfId="3" applyNumberFormat="1" applyFont="1" applyFill="1" applyBorder="1"/>
    <xf numFmtId="0" fontId="52" fillId="0" borderId="45" xfId="1" applyFont="1" applyBorder="1"/>
    <xf numFmtId="0" fontId="52" fillId="0" borderId="0" xfId="1" applyFont="1"/>
    <xf numFmtId="184" fontId="46" fillId="0" borderId="53" xfId="2" applyNumberFormat="1" applyFont="1" applyBorder="1" applyAlignment="1">
      <alignment horizontal="center"/>
    </xf>
    <xf numFmtId="184" fontId="46" fillId="0" borderId="54" xfId="2" applyNumberFormat="1" applyFont="1" applyBorder="1"/>
    <xf numFmtId="0" fontId="52" fillId="0" borderId="55" xfId="1" applyFont="1" applyBorder="1" applyAlignment="1">
      <alignment horizontal="center"/>
    </xf>
    <xf numFmtId="0" fontId="52" fillId="0" borderId="56" xfId="1" applyFont="1" applyBorder="1" applyAlignment="1">
      <alignment horizontal="left"/>
    </xf>
    <xf numFmtId="184" fontId="46" fillId="0" borderId="54" xfId="3" applyNumberFormat="1" applyFont="1" applyFill="1" applyBorder="1"/>
    <xf numFmtId="184" fontId="52" fillId="0" borderId="54" xfId="3" applyNumberFormat="1" applyFont="1" applyFill="1" applyBorder="1"/>
    <xf numFmtId="0" fontId="52" fillId="0" borderId="56" xfId="3" applyNumberFormat="1" applyFont="1" applyBorder="1"/>
    <xf numFmtId="184" fontId="50" fillId="0" borderId="0" xfId="2" applyNumberFormat="1" applyFont="1"/>
    <xf numFmtId="184" fontId="46" fillId="0" borderId="46" xfId="3" applyNumberFormat="1" applyFont="1" applyBorder="1" applyAlignment="1">
      <alignment horizontal="center"/>
    </xf>
    <xf numFmtId="184" fontId="46" fillId="0" borderId="47" xfId="3" applyNumberFormat="1" applyFont="1" applyBorder="1"/>
    <xf numFmtId="0" fontId="52" fillId="0" borderId="48" xfId="3" applyNumberFormat="1" applyFont="1" applyBorder="1" applyAlignment="1">
      <alignment horizontal="center"/>
    </xf>
    <xf numFmtId="0" fontId="46" fillId="0" borderId="49" xfId="3" applyNumberFormat="1" applyFont="1" applyBorder="1" applyAlignment="1">
      <alignment horizontal="right" vertical="center"/>
    </xf>
    <xf numFmtId="184" fontId="46" fillId="24" borderId="47" xfId="3" applyNumberFormat="1" applyFont="1" applyFill="1" applyBorder="1" applyAlignment="1">
      <alignment vertical="center"/>
    </xf>
    <xf numFmtId="0" fontId="52" fillId="0" borderId="55" xfId="2" applyNumberFormat="1" applyFont="1" applyBorder="1" applyAlignment="1">
      <alignment horizontal="center"/>
    </xf>
    <xf numFmtId="0" fontId="52" fillId="0" borderId="56" xfId="2" applyNumberFormat="1" applyFont="1" applyBorder="1"/>
    <xf numFmtId="184" fontId="46" fillId="0" borderId="46" xfId="2" applyNumberFormat="1" applyFont="1" applyBorder="1" applyAlignment="1">
      <alignment horizontal="center"/>
    </xf>
    <xf numFmtId="184" fontId="46" fillId="0" borderId="47" xfId="2" applyNumberFormat="1" applyFont="1" applyBorder="1"/>
    <xf numFmtId="0" fontId="46" fillId="0" borderId="48" xfId="2" applyNumberFormat="1" applyFont="1" applyBorder="1" applyAlignment="1">
      <alignment horizontal="center"/>
    </xf>
    <xf numFmtId="0" fontId="46" fillId="0" borderId="49" xfId="2" applyNumberFormat="1" applyFont="1" applyBorder="1" applyAlignment="1">
      <alignment horizontal="right" vertical="center"/>
    </xf>
    <xf numFmtId="184" fontId="46" fillId="0" borderId="0" xfId="3" applyNumberFormat="1" applyFont="1"/>
    <xf numFmtId="184" fontId="46" fillId="0" borderId="53" xfId="3" applyNumberFormat="1" applyFont="1" applyBorder="1" applyAlignment="1">
      <alignment horizontal="center"/>
    </xf>
    <xf numFmtId="184" fontId="46" fillId="0" borderId="54" xfId="3" applyNumberFormat="1" applyFont="1" applyBorder="1"/>
    <xf numFmtId="0" fontId="52" fillId="0" borderId="55" xfId="3" applyNumberFormat="1" applyFont="1" applyBorder="1" applyAlignment="1">
      <alignment horizontal="center"/>
    </xf>
    <xf numFmtId="0" fontId="52" fillId="0" borderId="56" xfId="3" applyNumberFormat="1" applyFont="1" applyBorder="1" applyAlignment="1">
      <alignment horizontal="right"/>
    </xf>
    <xf numFmtId="184" fontId="52" fillId="0" borderId="0" xfId="1" applyNumberFormat="1" applyFont="1"/>
    <xf numFmtId="184" fontId="46" fillId="0" borderId="58" xfId="2" applyNumberFormat="1" applyFont="1" applyFill="1" applyBorder="1" applyAlignment="1">
      <alignment horizontal="center"/>
    </xf>
    <xf numFmtId="184" fontId="46" fillId="25" borderId="59" xfId="2" applyNumberFormat="1" applyFont="1" applyFill="1" applyBorder="1" applyAlignment="1">
      <alignment horizontal="center"/>
    </xf>
    <xf numFmtId="0" fontId="46" fillId="0" borderId="55" xfId="2" applyNumberFormat="1" applyFont="1" applyBorder="1" applyAlignment="1">
      <alignment horizontal="center"/>
    </xf>
    <xf numFmtId="0" fontId="46" fillId="0" borderId="56" xfId="2" applyNumberFormat="1" applyFont="1" applyBorder="1" applyAlignment="1">
      <alignment horizontal="right"/>
    </xf>
    <xf numFmtId="184" fontId="46" fillId="0" borderId="53" xfId="2" applyNumberFormat="1" applyFont="1" applyFill="1" applyBorder="1" applyAlignment="1">
      <alignment horizontal="center"/>
    </xf>
    <xf numFmtId="184" fontId="46" fillId="0" borderId="54" xfId="2" applyNumberFormat="1" applyFont="1" applyFill="1" applyBorder="1"/>
    <xf numFmtId="0" fontId="46" fillId="0" borderId="55" xfId="1" applyFont="1" applyBorder="1" applyAlignment="1">
      <alignment horizontal="center"/>
    </xf>
    <xf numFmtId="0" fontId="46" fillId="0" borderId="56" xfId="1" applyFont="1" applyBorder="1" applyAlignment="1">
      <alignment horizontal="left"/>
    </xf>
    <xf numFmtId="184" fontId="52" fillId="0" borderId="53" xfId="2" applyNumberFormat="1" applyFont="1" applyFill="1" applyBorder="1" applyAlignment="1">
      <alignment horizontal="center"/>
    </xf>
    <xf numFmtId="184" fontId="52" fillId="0" borderId="54" xfId="2" applyNumberFormat="1" applyFont="1" applyFill="1" applyBorder="1"/>
    <xf numFmtId="0" fontId="46" fillId="0" borderId="56" xfId="3" applyNumberFormat="1" applyFont="1" applyFill="1" applyBorder="1"/>
    <xf numFmtId="184" fontId="46" fillId="0" borderId="60" xfId="2" applyNumberFormat="1" applyFont="1" applyFill="1" applyBorder="1" applyAlignment="1">
      <alignment horizontal="center"/>
    </xf>
    <xf numFmtId="0" fontId="46" fillId="0" borderId="62" xfId="1" applyFont="1" applyBorder="1" applyAlignment="1">
      <alignment horizontal="center"/>
    </xf>
    <xf numFmtId="0" fontId="46" fillId="0" borderId="63" xfId="3" applyNumberFormat="1" applyFont="1" applyFill="1" applyBorder="1"/>
    <xf numFmtId="184" fontId="46" fillId="0" borderId="61" xfId="3" applyNumberFormat="1" applyFont="1" applyFill="1" applyBorder="1"/>
    <xf numFmtId="184" fontId="46" fillId="26" borderId="64" xfId="2" applyNumberFormat="1" applyFont="1" applyFill="1" applyBorder="1"/>
    <xf numFmtId="184" fontId="46" fillId="26" borderId="65" xfId="2" applyNumberFormat="1" applyFont="1" applyFill="1" applyBorder="1"/>
    <xf numFmtId="0" fontId="46" fillId="26" borderId="66" xfId="2" applyNumberFormat="1" applyFont="1" applyFill="1" applyBorder="1" applyAlignment="1">
      <alignment horizontal="center"/>
    </xf>
    <xf numFmtId="0" fontId="46" fillId="26" borderId="67" xfId="2" applyNumberFormat="1" applyFont="1" applyFill="1" applyBorder="1" applyAlignment="1">
      <alignment horizontal="right" vertical="center"/>
    </xf>
    <xf numFmtId="184" fontId="46" fillId="26" borderId="65" xfId="3" applyNumberFormat="1" applyFont="1" applyFill="1" applyBorder="1"/>
    <xf numFmtId="0" fontId="52" fillId="0" borderId="0" xfId="1" applyFont="1" applyAlignment="1">
      <alignment horizontal="center"/>
    </xf>
    <xf numFmtId="0" fontId="52" fillId="0" borderId="0" xfId="1" applyFont="1" applyAlignment="1">
      <alignment horizontal="right"/>
    </xf>
    <xf numFmtId="0" fontId="52" fillId="0" borderId="0" xfId="1" applyFont="1" applyAlignment="1">
      <alignment horizontal="right" vertical="center"/>
    </xf>
    <xf numFmtId="9" fontId="52" fillId="0" borderId="0" xfId="4" applyFont="1" applyBorder="1"/>
    <xf numFmtId="184" fontId="46" fillId="24" borderId="0" xfId="3" applyNumberFormat="1" applyFont="1" applyFill="1" applyBorder="1"/>
    <xf numFmtId="0" fontId="46" fillId="23" borderId="45" xfId="1" applyFont="1" applyFill="1" applyBorder="1" applyAlignment="1">
      <alignment horizontal="center" vertical="center" wrapText="1"/>
    </xf>
    <xf numFmtId="0" fontId="46" fillId="23" borderId="42" xfId="1" applyFont="1" applyFill="1" applyBorder="1" applyAlignment="1">
      <alignment horizontal="center" vertical="center" wrapText="1"/>
    </xf>
    <xf numFmtId="0" fontId="46" fillId="23" borderId="41" xfId="1" applyFont="1" applyFill="1" applyBorder="1" applyAlignment="1">
      <alignment horizontal="center" vertical="center" wrapText="1"/>
    </xf>
    <xf numFmtId="0" fontId="45" fillId="0" borderId="0" xfId="0" applyFont="1"/>
    <xf numFmtId="183" fontId="0" fillId="0" borderId="0" xfId="0" applyNumberFormat="1"/>
    <xf numFmtId="167" fontId="0" fillId="0" borderId="0" xfId="0" applyNumberFormat="1"/>
    <xf numFmtId="0" fontId="52" fillId="0" borderId="0" xfId="1" applyFont="1" applyAlignment="1">
      <alignment vertical="top" wrapText="1"/>
    </xf>
    <xf numFmtId="184" fontId="46" fillId="0" borderId="0" xfId="2" applyNumberFormat="1" applyFont="1" applyFill="1" applyBorder="1" applyAlignment="1">
      <alignment horizontal="center"/>
    </xf>
    <xf numFmtId="184" fontId="46" fillId="25" borderId="0" xfId="2" applyNumberFormat="1" applyFont="1" applyFill="1" applyBorder="1" applyAlignment="1">
      <alignment horizontal="center"/>
    </xf>
    <xf numFmtId="10" fontId="46" fillId="0" borderId="54" xfId="5" applyNumberFormat="1" applyFont="1" applyFill="1" applyBorder="1"/>
    <xf numFmtId="10" fontId="46" fillId="24" borderId="47" xfId="5" applyNumberFormat="1" applyFont="1" applyFill="1" applyBorder="1" applyAlignment="1">
      <alignment vertical="center"/>
    </xf>
    <xf numFmtId="10" fontId="46" fillId="26" borderId="65" xfId="5" applyNumberFormat="1" applyFont="1" applyFill="1" applyBorder="1"/>
    <xf numFmtId="0" fontId="46" fillId="0" borderId="0" xfId="6" applyFont="1"/>
    <xf numFmtId="0" fontId="47" fillId="0" borderId="0" xfId="6" applyFont="1" applyAlignment="1">
      <alignment horizontal="center" vertical="center"/>
    </xf>
    <xf numFmtId="0" fontId="46" fillId="0" borderId="0" xfId="6" applyFont="1" applyAlignment="1">
      <alignment horizontal="center"/>
    </xf>
    <xf numFmtId="0" fontId="46" fillId="23" borderId="47" xfId="6" applyFont="1" applyFill="1" applyBorder="1" applyAlignment="1">
      <alignment horizontal="center" vertical="center" wrapText="1"/>
    </xf>
    <xf numFmtId="0" fontId="46" fillId="23" borderId="70" xfId="6" applyFont="1" applyFill="1" applyBorder="1" applyAlignment="1">
      <alignment horizontal="center" vertical="center" wrapText="1"/>
    </xf>
    <xf numFmtId="0" fontId="54" fillId="0" borderId="0" xfId="6" applyFont="1"/>
    <xf numFmtId="0" fontId="54" fillId="23" borderId="71" xfId="6" applyFont="1" applyFill="1" applyBorder="1" applyAlignment="1">
      <alignment horizontal="center"/>
    </xf>
    <xf numFmtId="0" fontId="54" fillId="23" borderId="72" xfId="6" applyFont="1" applyFill="1" applyBorder="1" applyAlignment="1">
      <alignment horizontal="center"/>
    </xf>
    <xf numFmtId="0" fontId="54" fillId="23" borderId="75" xfId="6" applyFont="1" applyFill="1" applyBorder="1" applyAlignment="1">
      <alignment horizontal="center"/>
    </xf>
    <xf numFmtId="184" fontId="51" fillId="0" borderId="45" xfId="7" applyNumberFormat="1" applyFont="1" applyFill="1" applyBorder="1"/>
    <xf numFmtId="0" fontId="52" fillId="0" borderId="45" xfId="6" applyFont="1" applyBorder="1"/>
    <xf numFmtId="0" fontId="52" fillId="0" borderId="76" xfId="6" applyFont="1" applyBorder="1"/>
    <xf numFmtId="0" fontId="52" fillId="0" borderId="0" xfId="6" applyFont="1"/>
    <xf numFmtId="0" fontId="52" fillId="0" borderId="55" xfId="8" applyFont="1" applyBorder="1" applyAlignment="1">
      <alignment horizontal="center"/>
    </xf>
    <xf numFmtId="0" fontId="52" fillId="0" borderId="56" xfId="6" applyFont="1" applyBorder="1" applyAlignment="1">
      <alignment horizontal="left"/>
    </xf>
    <xf numFmtId="184" fontId="46" fillId="0" borderId="54" xfId="7" applyNumberFormat="1" applyFont="1" applyFill="1" applyBorder="1"/>
    <xf numFmtId="184" fontId="52" fillId="0" borderId="54" xfId="7" applyNumberFormat="1" applyFont="1" applyFill="1" applyBorder="1"/>
    <xf numFmtId="9" fontId="46" fillId="0" borderId="54" xfId="7" applyNumberFormat="1" applyFont="1" applyFill="1" applyBorder="1"/>
    <xf numFmtId="9" fontId="46" fillId="27" borderId="54" xfId="7" applyNumberFormat="1" applyFont="1" applyFill="1" applyBorder="1"/>
    <xf numFmtId="9" fontId="46" fillId="27" borderId="77" xfId="7" applyNumberFormat="1" applyFont="1" applyFill="1" applyBorder="1"/>
    <xf numFmtId="0" fontId="52" fillId="0" borderId="56" xfId="7" applyNumberFormat="1" applyFont="1" applyBorder="1"/>
    <xf numFmtId="9" fontId="55" fillId="0" borderId="78" xfId="7" applyNumberFormat="1" applyFont="1" applyFill="1" applyBorder="1"/>
    <xf numFmtId="184" fontId="46" fillId="0" borderId="46" xfId="7" applyNumberFormat="1" applyFont="1" applyBorder="1" applyAlignment="1">
      <alignment horizontal="center"/>
    </xf>
    <xf numFmtId="184" fontId="46" fillId="0" borderId="47" xfId="7" applyNumberFormat="1" applyFont="1" applyBorder="1"/>
    <xf numFmtId="0" fontId="52" fillId="0" borderId="48" xfId="7" applyNumberFormat="1" applyFont="1" applyBorder="1" applyAlignment="1">
      <alignment horizontal="center"/>
    </xf>
    <xf numFmtId="0" fontId="46" fillId="0" borderId="49" xfId="7" applyNumberFormat="1" applyFont="1" applyBorder="1" applyAlignment="1">
      <alignment horizontal="right" vertical="center"/>
    </xf>
    <xf numFmtId="184" fontId="46" fillId="24" borderId="47" xfId="7" applyNumberFormat="1" applyFont="1" applyFill="1" applyBorder="1" applyAlignment="1">
      <alignment vertical="center"/>
    </xf>
    <xf numFmtId="9" fontId="46" fillId="24" borderId="47" xfId="7" applyNumberFormat="1" applyFont="1" applyFill="1" applyBorder="1" applyAlignment="1">
      <alignment vertical="center"/>
    </xf>
    <xf numFmtId="9" fontId="46" fillId="24" borderId="70" xfId="7" applyNumberFormat="1" applyFont="1" applyFill="1" applyBorder="1" applyAlignment="1">
      <alignment vertical="center"/>
    </xf>
    <xf numFmtId="184" fontId="52" fillId="0" borderId="77" xfId="7" applyNumberFormat="1" applyFont="1" applyFill="1" applyBorder="1"/>
    <xf numFmtId="184" fontId="46" fillId="0" borderId="0" xfId="7" applyNumberFormat="1" applyFont="1"/>
    <xf numFmtId="184" fontId="46" fillId="0" borderId="53" xfId="7" applyNumberFormat="1" applyFont="1" applyBorder="1" applyAlignment="1">
      <alignment horizontal="center"/>
    </xf>
    <xf numFmtId="184" fontId="46" fillId="0" borderId="54" xfId="7" applyNumberFormat="1" applyFont="1" applyBorder="1"/>
    <xf numFmtId="0" fontId="52" fillId="0" borderId="55" xfId="7" applyNumberFormat="1" applyFont="1" applyBorder="1" applyAlignment="1">
      <alignment horizontal="center"/>
    </xf>
    <xf numFmtId="0" fontId="52" fillId="0" borderId="56" xfId="7" applyNumberFormat="1" applyFont="1" applyBorder="1" applyAlignment="1">
      <alignment horizontal="right"/>
    </xf>
    <xf numFmtId="184" fontId="46" fillId="0" borderId="77" xfId="7" applyNumberFormat="1" applyFont="1" applyFill="1" applyBorder="1"/>
    <xf numFmtId="0" fontId="52" fillId="0" borderId="0" xfId="8" applyFont="1"/>
    <xf numFmtId="184" fontId="52" fillId="0" borderId="0" xfId="6" applyNumberFormat="1" applyFont="1"/>
    <xf numFmtId="38" fontId="52" fillId="0" borderId="0" xfId="6" applyNumberFormat="1" applyFont="1"/>
    <xf numFmtId="184" fontId="46" fillId="0" borderId="79" xfId="2" applyNumberFormat="1" applyFont="1" applyFill="1" applyBorder="1" applyAlignment="1">
      <alignment horizontal="center"/>
    </xf>
    <xf numFmtId="184" fontId="46" fillId="0" borderId="81" xfId="7" applyNumberFormat="1" applyFont="1" applyFill="1" applyBorder="1"/>
    <xf numFmtId="184" fontId="46" fillId="0" borderId="82" xfId="7" applyNumberFormat="1" applyFont="1" applyFill="1" applyBorder="1"/>
    <xf numFmtId="0" fontId="46" fillId="0" borderId="55" xfId="8" applyFont="1" applyBorder="1" applyAlignment="1">
      <alignment horizontal="center"/>
    </xf>
    <xf numFmtId="0" fontId="46" fillId="0" borderId="56" xfId="6" applyFont="1" applyBorder="1" applyAlignment="1">
      <alignment horizontal="left"/>
    </xf>
    <xf numFmtId="0" fontId="46" fillId="0" borderId="56" xfId="7" applyNumberFormat="1" applyFont="1" applyFill="1" applyBorder="1"/>
    <xf numFmtId="0" fontId="46" fillId="0" borderId="62" xfId="8" applyFont="1" applyBorder="1" applyAlignment="1">
      <alignment horizontal="center"/>
    </xf>
    <xf numFmtId="0" fontId="46" fillId="0" borderId="63" xfId="7" applyNumberFormat="1" applyFont="1" applyFill="1" applyBorder="1"/>
    <xf numFmtId="184" fontId="46" fillId="0" borderId="61" xfId="7" applyNumberFormat="1" applyFont="1" applyFill="1" applyBorder="1"/>
    <xf numFmtId="184" fontId="52" fillId="0" borderId="61" xfId="7" applyNumberFormat="1" applyFont="1" applyFill="1" applyBorder="1"/>
    <xf numFmtId="9" fontId="46" fillId="0" borderId="61" xfId="7" applyNumberFormat="1" applyFont="1" applyFill="1" applyBorder="1"/>
    <xf numFmtId="184" fontId="46" fillId="26" borderId="65" xfId="7" applyNumberFormat="1" applyFont="1" applyFill="1" applyBorder="1"/>
    <xf numFmtId="9" fontId="46" fillId="26" borderId="65" xfId="7" applyNumberFormat="1" applyFont="1" applyFill="1" applyBorder="1"/>
    <xf numFmtId="9" fontId="46" fillId="26" borderId="65" xfId="7" applyNumberFormat="1" applyFont="1" applyFill="1" applyBorder="1" applyAlignment="1">
      <alignment vertical="center"/>
    </xf>
    <xf numFmtId="9" fontId="46" fillId="26" borderId="83" xfId="7" applyNumberFormat="1" applyFont="1" applyFill="1" applyBorder="1" applyAlignment="1">
      <alignment vertical="center"/>
    </xf>
    <xf numFmtId="0" fontId="52" fillId="0" borderId="0" xfId="6" applyFont="1" applyAlignment="1">
      <alignment horizontal="center"/>
    </xf>
    <xf numFmtId="0" fontId="52" fillId="0" borderId="0" xfId="6" applyFont="1" applyAlignment="1">
      <alignment horizontal="right"/>
    </xf>
    <xf numFmtId="0" fontId="52" fillId="0" borderId="0" xfId="6" applyFont="1" applyAlignment="1">
      <alignment horizontal="right" vertical="center"/>
    </xf>
    <xf numFmtId="9" fontId="52" fillId="0" borderId="0" xfId="9" applyFont="1" applyBorder="1"/>
    <xf numFmtId="184" fontId="46" fillId="24" borderId="0" xfId="7" applyNumberFormat="1" applyFont="1" applyFill="1" applyBorder="1"/>
    <xf numFmtId="184" fontId="46" fillId="0" borderId="0" xfId="6" applyNumberFormat="1" applyFont="1"/>
    <xf numFmtId="0" fontId="52" fillId="0" borderId="81" xfId="6" applyFont="1" applyBorder="1"/>
    <xf numFmtId="184" fontId="52" fillId="0" borderId="81" xfId="7" applyNumberFormat="1" applyFont="1" applyFill="1" applyBorder="1"/>
    <xf numFmtId="0" fontId="52" fillId="0" borderId="54" xfId="6" applyFont="1" applyBorder="1"/>
    <xf numFmtId="0" fontId="54" fillId="0" borderId="54" xfId="6" applyFont="1" applyBorder="1"/>
    <xf numFmtId="0" fontId="52" fillId="0" borderId="69" xfId="6" applyFont="1" applyBorder="1"/>
    <xf numFmtId="184" fontId="52" fillId="0" borderId="69" xfId="7" applyNumberFormat="1" applyFont="1" applyFill="1" applyBorder="1"/>
    <xf numFmtId="0" fontId="54" fillId="28" borderId="72" xfId="6" applyFont="1" applyFill="1" applyBorder="1" applyAlignment="1">
      <alignment horizontal="center"/>
    </xf>
    <xf numFmtId="0" fontId="52" fillId="28" borderId="45" xfId="6" applyFont="1" applyFill="1" applyBorder="1"/>
    <xf numFmtId="184" fontId="52" fillId="28" borderId="54" xfId="7" applyNumberFormat="1" applyFont="1" applyFill="1" applyBorder="1"/>
    <xf numFmtId="184" fontId="46" fillId="28" borderId="54" xfId="7" applyNumberFormat="1" applyFont="1" applyFill="1" applyBorder="1"/>
    <xf numFmtId="184" fontId="52" fillId="28" borderId="61" xfId="7" applyNumberFormat="1" applyFont="1" applyFill="1" applyBorder="1"/>
    <xf numFmtId="0" fontId="46" fillId="0" borderId="84" xfId="1" applyFont="1" applyBorder="1"/>
    <xf numFmtId="10" fontId="46" fillId="26" borderId="83" xfId="7" applyNumberFormat="1" applyFont="1" applyFill="1" applyBorder="1" applyAlignment="1">
      <alignment vertical="center"/>
    </xf>
    <xf numFmtId="10" fontId="46" fillId="27" borderId="54" xfId="7" applyNumberFormat="1" applyFont="1" applyFill="1" applyBorder="1"/>
    <xf numFmtId="10" fontId="46" fillId="27" borderId="77" xfId="7" applyNumberFormat="1" applyFont="1" applyFill="1" applyBorder="1"/>
    <xf numFmtId="10" fontId="46" fillId="24" borderId="47" xfId="7" applyNumberFormat="1" applyFont="1" applyFill="1" applyBorder="1" applyAlignment="1">
      <alignment vertical="center"/>
    </xf>
    <xf numFmtId="10" fontId="46" fillId="24" borderId="70" xfId="7" applyNumberFormat="1" applyFont="1" applyFill="1" applyBorder="1" applyAlignment="1">
      <alignment vertical="center"/>
    </xf>
    <xf numFmtId="10" fontId="52" fillId="0" borderId="54" xfId="7" applyNumberFormat="1" applyFont="1" applyFill="1" applyBorder="1"/>
    <xf numFmtId="10" fontId="52" fillId="0" borderId="77" xfId="7" applyNumberFormat="1" applyFont="1" applyFill="1" applyBorder="1"/>
    <xf numFmtId="10" fontId="46" fillId="0" borderId="54" xfId="7" applyNumberFormat="1" applyFont="1" applyFill="1" applyBorder="1"/>
    <xf numFmtId="10" fontId="46" fillId="0" borderId="77" xfId="7" applyNumberFormat="1" applyFont="1" applyFill="1" applyBorder="1"/>
    <xf numFmtId="10" fontId="46" fillId="26" borderId="65" xfId="7" applyNumberFormat="1" applyFont="1" applyFill="1" applyBorder="1"/>
    <xf numFmtId="41" fontId="52" fillId="0" borderId="0" xfId="10" applyFont="1"/>
    <xf numFmtId="41" fontId="46" fillId="0" borderId="0" xfId="10" applyFont="1"/>
    <xf numFmtId="41" fontId="46" fillId="0" borderId="0" xfId="10" applyFont="1" applyAlignment="1">
      <alignment horizontal="center"/>
    </xf>
    <xf numFmtId="41" fontId="46" fillId="24" borderId="47" xfId="10" applyFont="1" applyFill="1" applyBorder="1" applyAlignment="1">
      <alignment vertical="center"/>
    </xf>
    <xf numFmtId="10" fontId="46" fillId="0" borderId="0" xfId="5" applyNumberFormat="1" applyFont="1"/>
    <xf numFmtId="10" fontId="46" fillId="0" borderId="0" xfId="5" applyNumberFormat="1" applyFont="1" applyAlignment="1">
      <alignment horizontal="center"/>
    </xf>
    <xf numFmtId="10" fontId="52" fillId="0" borderId="0" xfId="5" applyNumberFormat="1" applyFont="1"/>
    <xf numFmtId="3" fontId="52" fillId="0" borderId="0" xfId="1" applyNumberFormat="1" applyFont="1" applyAlignment="1">
      <alignment horizontal="right" vertical="center"/>
    </xf>
    <xf numFmtId="184" fontId="50" fillId="0" borderId="0" xfId="2" applyNumberFormat="1" applyFont="1" applyFill="1"/>
    <xf numFmtId="184" fontId="46" fillId="0" borderId="53" xfId="3" applyNumberFormat="1" applyFont="1" applyFill="1" applyBorder="1" applyAlignment="1">
      <alignment horizontal="center"/>
    </xf>
    <xf numFmtId="0" fontId="52" fillId="0" borderId="55" xfId="3" applyNumberFormat="1" applyFont="1" applyFill="1" applyBorder="1" applyAlignment="1">
      <alignment horizontal="center"/>
    </xf>
    <xf numFmtId="0" fontId="46" fillId="0" borderId="56" xfId="3" applyNumberFormat="1" applyFont="1" applyFill="1" applyBorder="1" applyAlignment="1">
      <alignment horizontal="right" vertical="center"/>
    </xf>
    <xf numFmtId="184" fontId="46" fillId="0" borderId="54" xfId="3" applyNumberFormat="1" applyFont="1" applyFill="1" applyBorder="1" applyAlignment="1">
      <alignment vertical="center"/>
    </xf>
    <xf numFmtId="10" fontId="46" fillId="0" borderId="54" xfId="5" applyNumberFormat="1" applyFont="1" applyFill="1" applyBorder="1" applyAlignment="1">
      <alignment vertical="center"/>
    </xf>
    <xf numFmtId="184" fontId="46" fillId="0" borderId="0" xfId="3" applyNumberFormat="1" applyFont="1" applyFill="1" applyBorder="1" applyAlignment="1">
      <alignment vertical="center"/>
    </xf>
    <xf numFmtId="41" fontId="46" fillId="0" borderId="0" xfId="10" applyFont="1" applyFill="1" applyBorder="1" applyAlignment="1">
      <alignment vertical="center"/>
    </xf>
    <xf numFmtId="10" fontId="46" fillId="0" borderId="0" xfId="5" applyNumberFormat="1" applyFont="1" applyFill="1" applyBorder="1" applyAlignment="1">
      <alignment vertical="center"/>
    </xf>
    <xf numFmtId="0" fontId="46" fillId="0" borderId="56" xfId="3" applyNumberFormat="1" applyFont="1" applyBorder="1"/>
    <xf numFmtId="184" fontId="46" fillId="24" borderId="0" xfId="3" applyNumberFormat="1" applyFont="1" applyFill="1" applyBorder="1" applyAlignment="1">
      <alignment vertical="center"/>
    </xf>
    <xf numFmtId="10" fontId="46" fillId="24" borderId="0" xfId="5" applyNumberFormat="1" applyFont="1" applyFill="1" applyBorder="1" applyAlignment="1">
      <alignment vertical="center"/>
    </xf>
    <xf numFmtId="41" fontId="46" fillId="24" borderId="0" xfId="10" applyFont="1" applyFill="1" applyBorder="1" applyAlignment="1">
      <alignment vertical="center"/>
    </xf>
    <xf numFmtId="0" fontId="52" fillId="0" borderId="56" xfId="3" applyNumberFormat="1" applyFont="1" applyFill="1" applyBorder="1"/>
    <xf numFmtId="184" fontId="52" fillId="0" borderId="45" xfId="18" applyNumberFormat="1" applyFont="1" applyBorder="1"/>
    <xf numFmtId="184" fontId="52" fillId="0" borderId="54" xfId="18" applyNumberFormat="1" applyFont="1" applyBorder="1"/>
    <xf numFmtId="165" fontId="52" fillId="0" borderId="0" xfId="1" applyNumberFormat="1" applyFont="1"/>
    <xf numFmtId="0" fontId="60" fillId="0" borderId="0" xfId="1" applyFont="1"/>
    <xf numFmtId="0" fontId="46" fillId="26" borderId="86" xfId="1" applyFont="1" applyFill="1" applyBorder="1" applyAlignment="1">
      <alignment horizontal="center"/>
    </xf>
    <xf numFmtId="184" fontId="52" fillId="0" borderId="54" xfId="2" applyNumberFormat="1" applyFont="1" applyFill="1" applyBorder="1" applyAlignment="1">
      <alignment horizontal="justify" vertical="top" wrapText="1"/>
    </xf>
    <xf numFmtId="184" fontId="52" fillId="0" borderId="61" xfId="2" applyNumberFormat="1" applyFont="1" applyFill="1" applyBorder="1" applyAlignment="1">
      <alignment horizontal="justify" vertical="top" wrapText="1"/>
    </xf>
    <xf numFmtId="0" fontId="46" fillId="23" borderId="43" xfId="6" applyFont="1" applyFill="1" applyBorder="1" applyAlignment="1">
      <alignment horizontal="center" vertical="center" wrapText="1"/>
    </xf>
    <xf numFmtId="0" fontId="46" fillId="23" borderId="44" xfId="6" applyFont="1" applyFill="1" applyBorder="1" applyAlignment="1">
      <alignment horizontal="center" vertical="center" wrapText="1"/>
    </xf>
    <xf numFmtId="0" fontId="46" fillId="23" borderId="42" xfId="6" applyFont="1" applyFill="1" applyBorder="1" applyAlignment="1">
      <alignment horizontal="center" vertical="center" wrapText="1"/>
    </xf>
    <xf numFmtId="0" fontId="46" fillId="23" borderId="68" xfId="6" applyFont="1" applyFill="1" applyBorder="1" applyAlignment="1">
      <alignment horizontal="center" vertical="center" wrapText="1"/>
    </xf>
    <xf numFmtId="0" fontId="54" fillId="23" borderId="73" xfId="6" applyFont="1" applyFill="1" applyBorder="1" applyAlignment="1">
      <alignment horizontal="center"/>
    </xf>
    <xf numFmtId="0" fontId="54" fillId="23" borderId="74" xfId="6" applyFont="1" applyFill="1" applyBorder="1" applyAlignment="1">
      <alignment horizontal="center"/>
    </xf>
    <xf numFmtId="184" fontId="52" fillId="0" borderId="54" xfId="2" applyNumberFormat="1" applyFont="1" applyBorder="1" applyAlignment="1">
      <alignment horizontal="center" vertical="top" wrapText="1"/>
    </xf>
    <xf numFmtId="0" fontId="52" fillId="0" borderId="0" xfId="6" applyFont="1" applyAlignment="1">
      <alignment horizontal="right" vertical="top" wrapText="1"/>
    </xf>
    <xf numFmtId="184" fontId="46" fillId="0" borderId="57" xfId="2" applyNumberFormat="1" applyFont="1" applyFill="1" applyBorder="1" applyAlignment="1">
      <alignment horizontal="center"/>
    </xf>
    <xf numFmtId="184" fontId="46" fillId="0" borderId="58" xfId="2" applyNumberFormat="1" applyFont="1" applyFill="1" applyBorder="1" applyAlignment="1">
      <alignment horizontal="center"/>
    </xf>
    <xf numFmtId="184" fontId="46" fillId="25" borderId="48" xfId="2" applyNumberFormat="1" applyFont="1" applyFill="1" applyBorder="1" applyAlignment="1">
      <alignment horizontal="center"/>
    </xf>
    <xf numFmtId="184" fontId="46" fillId="25" borderId="59" xfId="2" applyNumberFormat="1" applyFont="1" applyFill="1" applyBorder="1" applyAlignment="1">
      <alignment horizontal="center"/>
    </xf>
    <xf numFmtId="184" fontId="46" fillId="25" borderId="80" xfId="2" applyNumberFormat="1" applyFont="1" applyFill="1" applyBorder="1" applyAlignment="1">
      <alignment horizontal="center"/>
    </xf>
    <xf numFmtId="0" fontId="47" fillId="0" borderId="0" xfId="6" applyFont="1" applyAlignment="1">
      <alignment horizontal="center" vertical="center"/>
    </xf>
    <xf numFmtId="0" fontId="46" fillId="23" borderId="41" xfId="6" applyFont="1" applyFill="1" applyBorder="1" applyAlignment="1">
      <alignment horizontal="center" vertical="center" wrapText="1"/>
    </xf>
    <xf numFmtId="0" fontId="46" fillId="23" borderId="46" xfId="6" applyFont="1" applyFill="1" applyBorder="1" applyAlignment="1">
      <alignment horizontal="center" vertical="center" wrapText="1"/>
    </xf>
    <xf numFmtId="0" fontId="46" fillId="23" borderId="47" xfId="6" applyFont="1" applyFill="1" applyBorder="1" applyAlignment="1">
      <alignment horizontal="center" vertical="center" wrapText="1"/>
    </xf>
    <xf numFmtId="0" fontId="46" fillId="23" borderId="48" xfId="6" applyFont="1" applyFill="1" applyBorder="1" applyAlignment="1">
      <alignment horizontal="center" vertical="center" wrapText="1"/>
    </xf>
    <xf numFmtId="0" fontId="46" fillId="23" borderId="49" xfId="6" applyFont="1" applyFill="1" applyBorder="1" applyAlignment="1">
      <alignment horizontal="center" vertical="center" wrapText="1"/>
    </xf>
    <xf numFmtId="0" fontId="46" fillId="23" borderId="45" xfId="6" applyFont="1" applyFill="1" applyBorder="1" applyAlignment="1">
      <alignment horizontal="center" vertical="center" wrapText="1"/>
    </xf>
    <xf numFmtId="0" fontId="46" fillId="23" borderId="69" xfId="6" applyFont="1" applyFill="1" applyBorder="1" applyAlignment="1">
      <alignment horizontal="center" vertical="center" wrapText="1"/>
    </xf>
    <xf numFmtId="0" fontId="47" fillId="0" borderId="0" xfId="1" applyFont="1" applyAlignment="1">
      <alignment horizontal="center" vertical="center"/>
    </xf>
    <xf numFmtId="0" fontId="46" fillId="26" borderId="85" xfId="1" applyFont="1" applyFill="1" applyBorder="1" applyAlignment="1">
      <alignment horizontal="center"/>
    </xf>
    <xf numFmtId="0" fontId="46" fillId="26" borderId="86" xfId="1" applyFont="1" applyFill="1" applyBorder="1" applyAlignment="1">
      <alignment horizontal="center"/>
    </xf>
    <xf numFmtId="0" fontId="46" fillId="26" borderId="87" xfId="1" applyFont="1" applyFill="1" applyBorder="1" applyAlignment="1">
      <alignment horizontal="center"/>
    </xf>
    <xf numFmtId="0" fontId="46" fillId="29" borderId="85" xfId="1" applyFont="1" applyFill="1" applyBorder="1" applyAlignment="1">
      <alignment horizontal="center"/>
    </xf>
    <xf numFmtId="0" fontId="46" fillId="29" borderId="86" xfId="1" applyFont="1" applyFill="1" applyBorder="1" applyAlignment="1">
      <alignment horizontal="center"/>
    </xf>
    <xf numFmtId="0" fontId="46" fillId="29" borderId="87" xfId="1" applyFont="1" applyFill="1" applyBorder="1" applyAlignment="1">
      <alignment horizontal="center"/>
    </xf>
    <xf numFmtId="0" fontId="46" fillId="23" borderId="43" xfId="1" applyFont="1" applyFill="1" applyBorder="1" applyAlignment="1">
      <alignment horizontal="center" vertical="center" wrapText="1"/>
    </xf>
    <xf numFmtId="0" fontId="46" fillId="23" borderId="44" xfId="1" applyFont="1" applyFill="1" applyBorder="1" applyAlignment="1">
      <alignment horizontal="center" vertical="center" wrapText="1"/>
    </xf>
    <xf numFmtId="0" fontId="46" fillId="28" borderId="45" xfId="6" applyFont="1" applyFill="1" applyBorder="1" applyAlignment="1">
      <alignment horizontal="center" vertical="center" wrapText="1"/>
    </xf>
    <xf numFmtId="0" fontId="46" fillId="28" borderId="69" xfId="6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9" fillId="2" borderId="5" xfId="0" applyFont="1" applyFill="1" applyBorder="1" applyAlignment="1">
      <alignment horizontal="center" wrapText="1"/>
    </xf>
    <xf numFmtId="0" fontId="6" fillId="0" borderId="4" xfId="0" applyFont="1" applyBorder="1"/>
    <xf numFmtId="0" fontId="8" fillId="2" borderId="5" xfId="0" applyFont="1" applyFill="1" applyBorder="1" applyAlignment="1">
      <alignment horizontal="center" wrapText="1"/>
    </xf>
    <xf numFmtId="168" fontId="8" fillId="2" borderId="5" xfId="0" applyNumberFormat="1" applyFont="1" applyFill="1" applyBorder="1" applyAlignment="1">
      <alignment horizontal="center" wrapText="1"/>
    </xf>
    <xf numFmtId="169" fontId="8" fillId="2" borderId="5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6" fillId="0" borderId="3" xfId="0" applyFont="1" applyBorder="1"/>
    <xf numFmtId="0" fontId="5" fillId="0" borderId="1" xfId="0" applyFont="1" applyBorder="1" applyAlignment="1">
      <alignment horizontal="center" wrapText="1"/>
    </xf>
    <xf numFmtId="0" fontId="6" fillId="0" borderId="1" xfId="0" applyFont="1" applyBorder="1"/>
    <xf numFmtId="0" fontId="6" fillId="0" borderId="2" xfId="0" applyFont="1" applyBorder="1"/>
    <xf numFmtId="167" fontId="7" fillId="0" borderId="2" xfId="0" applyNumberFormat="1" applyFont="1" applyBorder="1"/>
    <xf numFmtId="0" fontId="5" fillId="0" borderId="0" xfId="0" applyFont="1" applyAlignment="1">
      <alignment horizontal="center"/>
    </xf>
    <xf numFmtId="0" fontId="6" fillId="0" borderId="5" xfId="0" applyFont="1" applyBorder="1"/>
    <xf numFmtId="167" fontId="7" fillId="0" borderId="5" xfId="0" applyNumberFormat="1" applyFont="1" applyBorder="1"/>
    <xf numFmtId="0" fontId="8" fillId="2" borderId="6" xfId="0" applyFont="1" applyFill="1" applyBorder="1" applyAlignment="1">
      <alignment horizontal="center" wrapText="1"/>
    </xf>
    <xf numFmtId="0" fontId="6" fillId="0" borderId="7" xfId="0" applyFont="1" applyBorder="1"/>
    <xf numFmtId="167" fontId="8" fillId="2" borderId="5" xfId="0" applyNumberFormat="1" applyFont="1" applyFill="1" applyBorder="1" applyAlignment="1">
      <alignment horizontal="center" wrapText="1"/>
    </xf>
    <xf numFmtId="166" fontId="8" fillId="2" borderId="5" xfId="0" applyNumberFormat="1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6" fillId="0" borderId="9" xfId="0" applyFont="1" applyBorder="1"/>
    <xf numFmtId="0" fontId="20" fillId="0" borderId="12" xfId="0" applyFont="1" applyBorder="1"/>
    <xf numFmtId="0" fontId="20" fillId="0" borderId="6" xfId="0" applyFont="1" applyBorder="1"/>
    <xf numFmtId="0" fontId="21" fillId="2" borderId="13" xfId="0" applyFont="1" applyFill="1" applyBorder="1" applyAlignment="1">
      <alignment horizontal="center" vertical="center" wrapText="1"/>
    </xf>
    <xf numFmtId="0" fontId="6" fillId="0" borderId="13" xfId="0" applyFont="1" applyBorder="1"/>
    <xf numFmtId="0" fontId="6" fillId="0" borderId="10" xfId="0" applyFont="1" applyBorder="1"/>
    <xf numFmtId="0" fontId="15" fillId="0" borderId="0" xfId="0" applyFont="1"/>
    <xf numFmtId="0" fontId="4" fillId="0" borderId="0" xfId="0" applyFont="1"/>
    <xf numFmtId="0" fontId="19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40" xfId="0" applyFont="1" applyBorder="1" applyAlignment="1">
      <alignment horizontal="right"/>
    </xf>
    <xf numFmtId="0" fontId="38" fillId="0" borderId="4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14" fillId="18" borderId="40" xfId="0" applyFont="1" applyFill="1" applyBorder="1" applyAlignment="1">
      <alignment horizontal="center"/>
    </xf>
    <xf numFmtId="0" fontId="14" fillId="22" borderId="40" xfId="0" applyFont="1" applyFill="1" applyBorder="1" applyAlignment="1">
      <alignment horizontal="center"/>
    </xf>
    <xf numFmtId="0" fontId="44" fillId="0" borderId="11" xfId="0" applyFont="1" applyBorder="1" applyAlignment="1">
      <alignment horizontal="left"/>
    </xf>
    <xf numFmtId="0" fontId="14" fillId="10" borderId="40" xfId="0" applyFont="1" applyFill="1" applyBorder="1" applyAlignment="1">
      <alignment horizontal="center"/>
    </xf>
    <xf numFmtId="0" fontId="14" fillId="6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20" borderId="40" xfId="0" applyFont="1" applyFill="1" applyBorder="1" applyAlignment="1">
      <alignment horizontal="center"/>
    </xf>
  </cellXfs>
  <cellStyles count="19">
    <cellStyle name="Comma" xfId="18" builtinId="3"/>
    <cellStyle name="Comma [0]" xfId="10" builtinId="6"/>
    <cellStyle name="Comma [0] 2" xfId="17" xr:uid="{A0EC9B3E-DC56-434F-81CB-226647EF3F28}"/>
    <cellStyle name="Comma [0] 7" xfId="12" xr:uid="{C21F54A8-F206-4317-AAEA-0FC8BEAFDF8B}"/>
    <cellStyle name="Comma 2" xfId="3" xr:uid="{3F9C5991-5FF6-45CD-A082-8C84517527DB}"/>
    <cellStyle name="Comma 2 2" xfId="7" xr:uid="{D44ABE2F-486D-43DB-9DA8-30089F8DA3C4}"/>
    <cellStyle name="Comma 2 3" xfId="2" xr:uid="{DD80D185-15BC-4323-B242-3C8F29A0E4E3}"/>
    <cellStyle name="Normal" xfId="0" builtinId="0"/>
    <cellStyle name="Normal 2" xfId="1" xr:uid="{43E5613E-2D5F-4831-A69D-A76DBCA1C49C}"/>
    <cellStyle name="Normal 2 2" xfId="8" xr:uid="{7A7442BD-4955-49F4-9D1F-73675AC44E33}"/>
    <cellStyle name="Normal 3" xfId="6" xr:uid="{08BF2143-9005-442D-A5BD-E86EEDE40F54}"/>
    <cellStyle name="Normal 3 5" xfId="13" xr:uid="{2A58862F-6420-4682-90C2-2A3FA9F86F99}"/>
    <cellStyle name="Normal 4" xfId="11" xr:uid="{6B4F90DB-5666-4986-87A1-728F3958844D}"/>
    <cellStyle name="Normal 5" xfId="15" xr:uid="{1B6E294B-AD63-42D9-96A3-B9C5D4546E8D}"/>
    <cellStyle name="Percent" xfId="5" builtinId="5"/>
    <cellStyle name="Percent 2" xfId="4" xr:uid="{1CBD4770-0415-4FB0-9DB3-6F7E1F3F9C12}"/>
    <cellStyle name="Percent 3" xfId="9" xr:uid="{93B4F800-1039-43F4-8C6B-3F33C3BEE5EC}"/>
    <cellStyle name="Percent 4" xfId="14" xr:uid="{03B8A68D-26DF-4313-871C-08162653A1B8}"/>
    <cellStyle name="Percent 5" xfId="16" xr:uid="{941151F5-095F-4BE6-958C-58442670A3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\teknik%20kapal\My%20Documents\Rencana%20biaya%20doking%20kapal%20Th%20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REALISASI%20JULI%20%202023%20%20DAN%20RENCANA%20AGUSTUS%20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erja/RKAC/2024/RKA%20TERBARU/Rekapitulasi%20RKAC%20Kapal%20Luwuk%202024/PROGNOS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Rekapitulasi%20RKAC%20Kapal%20Luwuk%202024%20(13%20M)\Rekapitulasi%20Total%20RKA%20Biaya%20Kapal%20Luwuk%202024.xls" TargetMode="External"/><Relationship Id="rId1" Type="http://schemas.openxmlformats.org/officeDocument/2006/relationships/externalLinkPath" Target="/Kerja/RKAC/2024/RKA%20TERBARU/Rekapitulasi%20RKAC%20Kapal%20Luwuk%202024%20(13%20M)/Rekapitulasi%20Total%20RKA%20Biaya%20Kapal%20Luwuk%202024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17\REALIASASI%20MARET%202023.xlsx" TargetMode="External"/><Relationship Id="rId1" Type="http://schemas.openxmlformats.org/officeDocument/2006/relationships/externalLinkPath" Target="file:///C:\Users\Acer\AppData\Local\Temp\Rar$DIa0.817\REALIASASI%20MARET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977\REALISASI%20BULAN%20MEI%202023.xlsx" TargetMode="External"/><Relationship Id="rId1" Type="http://schemas.openxmlformats.org/officeDocument/2006/relationships/externalLinkPath" Target="file:///C:\Users\Acer\AppData\Local\Temp\Rar$DIa0.977\REALISASI%20BULAN%20MEI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228\MOINIT.xls" TargetMode="External"/><Relationship Id="rId1" Type="http://schemas.openxmlformats.org/officeDocument/2006/relationships/externalLinkPath" Target="file:///C:\Users\Acer\AppData\Local\Temp\Rar$DIa0.228\MOINI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00.%20Prognosa%20RKAC%20Perawatan%20Kapal.xls" TargetMode="External"/><Relationship Id="rId1" Type="http://schemas.openxmlformats.org/officeDocument/2006/relationships/externalLinkPath" Target="/Kerja/RKAC/2024/RKA%20TERBARU/00.%20Prognosa%20RKAC%20Perawatan%20Kapal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28\REALIASI%20JANUARI%202023.xlsx" TargetMode="External"/><Relationship Id="rId1" Type="http://schemas.openxmlformats.org/officeDocument/2006/relationships/externalLinkPath" Target="file:///C:\Users\Acer\AppData\Local\Temp\Rar$DIa0.128\REALIASI%20JANUARI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681\MOINIT.xls" TargetMode="External"/><Relationship Id="rId1" Type="http://schemas.openxmlformats.org/officeDocument/2006/relationships/externalLinkPath" Target="file:///C:\Users\Acer\AppData\Local\Temp\Rar$DIa0.681\MOINI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286\REALISASI%20APRIL%202023.xlsx" TargetMode="External"/><Relationship Id="rId1" Type="http://schemas.openxmlformats.org/officeDocument/2006/relationships/externalLinkPath" Target="file:///C:\Users\Acer\AppData\Local\Temp\Rar$DIa0.286\REALISASI%20APRIL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81\REALISASI%20JUNI%202023.xlsx" TargetMode="External"/><Relationship Id="rId1" Type="http://schemas.openxmlformats.org/officeDocument/2006/relationships/externalLinkPath" Target="file:///C:\Users\Acer\AppData\Local\Temp\Rar$DIa0.181\REALISASI%20JUNI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Keuangan\2022\Daftar%20Utang%20Teknik%20Kapal%202020-2022\Daftar%20Hutang%20Teknik%202020%20sd%202022%20(Pusat).xlsx" TargetMode="External"/><Relationship Id="rId1" Type="http://schemas.openxmlformats.org/officeDocument/2006/relationships/externalLinkPath" Target="/Kerja/Keuangan/2022/Daftar%20Utang%20Teknik%20Kapal%202020-2022/Daftar%20Hutang%20Teknik%202020%20sd%202022%20(Pusat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64\TUNA%20TOMINI.xls" TargetMode="External"/><Relationship Id="rId1" Type="http://schemas.openxmlformats.org/officeDocument/2006/relationships/externalLinkPath" Target="file:///C:\Users\Acer\AppData\Local\Temp\Rar$DIa0.864\TUNA%20TOMINI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09\TUNA%20TOMINI.xls" TargetMode="External"/><Relationship Id="rId1" Type="http://schemas.openxmlformats.org/officeDocument/2006/relationships/externalLinkPath" Target="file:///C:\Users\Acer\AppData\Local\Temp\Rar$DIa0.309\TUNA%20TOMINI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866\CENGKIH%20AFO.xls" TargetMode="External"/><Relationship Id="rId1" Type="http://schemas.openxmlformats.org/officeDocument/2006/relationships/externalLinkPath" Target="file:///C:\Users\Acer\AppData\Local\Temp\Rar$DIa0.866\CENGKIH%20AFO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24\CENGKIH%20AFO.xls" TargetMode="External"/><Relationship Id="rId1" Type="http://schemas.openxmlformats.org/officeDocument/2006/relationships/externalLinkPath" Target="file:///C:\Users\Acer\AppData\Local\Temp\Rar$DIa0.324\CENGKIH%20AFO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516\TANJUNG%20API.xls" TargetMode="External"/><Relationship Id="rId1" Type="http://schemas.openxmlformats.org/officeDocument/2006/relationships/externalLinkPath" Target="file:///C:\Users\Acer\AppData\Local\Temp\Rar$DIa0.516\TANJUNG%20API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35\TANJUNG%20API.xls" TargetMode="External"/><Relationship Id="rId1" Type="http://schemas.openxmlformats.org/officeDocument/2006/relationships/externalLinkPath" Target="file:///C:\Users\Acer\AppData\Local\Temp\Rar$DIa0.135\TANJUNG%20API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113\TELUK%20TOLO.xls" TargetMode="External"/><Relationship Id="rId1" Type="http://schemas.openxmlformats.org/officeDocument/2006/relationships/externalLinkPath" Target="file:///C:\Users\Acer\AppData\Local\Temp\Rar$DIa0.113\TELUK%20TOLO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Docking\Docking%202023\KMP%20Teluk%20Tolo\Usulan%20Permohonan%20Addendum%20Docking%20KMP%20Teluk%20Tolo%202023.xlsx" TargetMode="External"/><Relationship Id="rId1" Type="http://schemas.openxmlformats.org/officeDocument/2006/relationships/externalLinkPath" Target="/Kerja/Docking/Docking%202023/KMP%20Teluk%20Tolo/Usulan%20Permohonan%20Addendum%20Docking%20KMP%20Teluk%20Tolo%20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077\TELUK%20TOLO.xls" TargetMode="External"/><Relationship Id="rId1" Type="http://schemas.openxmlformats.org/officeDocument/2006/relationships/externalLinkPath" Target="file:///C:\Users\Acer\AppData\Local\Temp\Rar$DIa0.077\TELUK%20TOLO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304\DOLOSI.xls" TargetMode="External"/><Relationship Id="rId1" Type="http://schemas.openxmlformats.org/officeDocument/2006/relationships/externalLinkPath" Target="file:///C:\Users\Acer\AppData\Local\Temp\Rar$DIa0.304\DOLOSI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AppData\Local\Temp\Rar$DIa0.928\DOLOSI.xls" TargetMode="External"/><Relationship Id="rId1" Type="http://schemas.openxmlformats.org/officeDocument/2006/relationships/externalLinkPath" Target="file:///C:\Users\Acer\AppData\Local\Temp\Rar$DIa0.928\DOLOSI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DOC-20230822-WA0015..xlsx" TargetMode="External"/><Relationship Id="rId1" Type="http://schemas.openxmlformats.org/officeDocument/2006/relationships/externalLinkPath" Target="file:///C:\Users\Acer\Downloads\DOC-20230822-WA0015.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erja\RKAC\2024\RKA%20TERBARU\Rekapitulasi%20RKAC%20Kapal%20Luwuk%202024\Rekapitulasi%20Total%20RKA%20Biaya%20Kapal%20Luwuk%202024.xls" TargetMode="External"/><Relationship Id="rId1" Type="http://schemas.openxmlformats.org/officeDocument/2006/relationships/externalLinkPath" Target="/luwuk%202023/LUWUK%202024/USULAN%20RKAC%20TEKNIK%20KAPAL%202024/Rekapitulasi%20RKAC%20Kapal%20Luwuk%202024%20ok/Rekapitulasi%20Total%20RKA%20Biaya%20Kapal%20Luwuk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WANGAN"/>
      <sheetName val="MADIDIHANG"/>
      <sheetName val="SEMUMU"/>
      <sheetName val="SAGORI"/>
      <sheetName val="Sheet3"/>
      <sheetName val="RL_SAGORI"/>
      <sheetName val="TDR-DRT 2014"/>
      <sheetName val="Tarif"/>
    </sheetNames>
    <sheetDataSet>
      <sheetData sheetId="0">
        <row r="116">
          <cell r="L116">
            <v>86679000</v>
          </cell>
        </row>
      </sheetData>
      <sheetData sheetId="1">
        <row r="116">
          <cell r="L116">
            <v>86679000</v>
          </cell>
        </row>
      </sheetData>
      <sheetData sheetId="2">
        <row r="116">
          <cell r="L116">
            <v>86679000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ncana KMP. MOINIT"/>
      <sheetName val="Rencana KMP. TUNA TOMINI "/>
      <sheetName val="Rencana KMP. CENGKIH AFO"/>
      <sheetName val="Rencana KMP. TANJUNG API"/>
      <sheetName val="Rencana KMP. DOLOSI"/>
      <sheetName val="Rencana KMP. TELUK TOLO"/>
      <sheetName val=","/>
      <sheetName val="Realisasi KMP. MOINIT "/>
      <sheetName val="Realisasi KMP. TUNA TOMINI"/>
      <sheetName val="Realisasi KMP. CENGKIH AFO"/>
      <sheetName val="Realisasi KMP. TANJUNG API"/>
      <sheetName val="Realisasi KMP. Dolosi"/>
      <sheetName val="Realisasi KMP. TELUK TOLO"/>
      <sheetName val="Sheet1"/>
    </sheetNames>
    <sheetDataSet>
      <sheetData sheetId="0">
        <row r="11">
          <cell r="F11">
            <v>260845555.66666672</v>
          </cell>
        </row>
        <row r="18">
          <cell r="F18">
            <v>261345555.66666666</v>
          </cell>
        </row>
        <row r="25">
          <cell r="F25">
            <v>261345555.66666701</v>
          </cell>
        </row>
        <row r="32">
          <cell r="F32">
            <v>248255101.12121215</v>
          </cell>
        </row>
        <row r="39">
          <cell r="F39">
            <v>246262676.87878782</v>
          </cell>
        </row>
        <row r="46">
          <cell r="F46">
            <v>261345555.6666666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NOSA"/>
      <sheetName val="PROGNOSA (2)"/>
      <sheetName val="Sheet1"/>
    </sheetNames>
    <sheetDataSet>
      <sheetData sheetId="0" refreshError="1"/>
      <sheetData sheetId="1">
        <row r="4">
          <cell r="D4">
            <v>115495500</v>
          </cell>
        </row>
        <row r="5">
          <cell r="D5">
            <v>94192480</v>
          </cell>
        </row>
        <row r="6">
          <cell r="D6">
            <v>1661115776</v>
          </cell>
        </row>
        <row r="7">
          <cell r="D7">
            <v>315266188</v>
          </cell>
        </row>
        <row r="8">
          <cell r="D8">
            <v>220917700</v>
          </cell>
        </row>
        <row r="16">
          <cell r="D16">
            <v>18348000</v>
          </cell>
        </row>
        <row r="17">
          <cell r="D17">
            <v>86892480</v>
          </cell>
        </row>
        <row r="18">
          <cell r="D18">
            <v>884763187</v>
          </cell>
        </row>
        <row r="19">
          <cell r="D19">
            <v>169048600</v>
          </cell>
        </row>
        <row r="20">
          <cell r="D20">
            <v>211288362</v>
          </cell>
        </row>
        <row r="28">
          <cell r="D28">
            <v>186800000</v>
          </cell>
        </row>
        <row r="29">
          <cell r="D29">
            <v>69992480</v>
          </cell>
        </row>
        <row r="30">
          <cell r="D30">
            <v>1838757695</v>
          </cell>
        </row>
        <row r="31">
          <cell r="D31">
            <v>249673250</v>
          </cell>
        </row>
        <row r="32">
          <cell r="D32">
            <v>297756800</v>
          </cell>
        </row>
        <row r="41">
          <cell r="D41">
            <v>116550000</v>
          </cell>
        </row>
        <row r="42">
          <cell r="D42">
            <v>103192480</v>
          </cell>
        </row>
        <row r="43">
          <cell r="D43">
            <v>1252641038</v>
          </cell>
        </row>
        <row r="44">
          <cell r="D44">
            <v>36200500</v>
          </cell>
        </row>
        <row r="45">
          <cell r="D45">
            <v>80313000</v>
          </cell>
        </row>
        <row r="53">
          <cell r="D53">
            <v>186036000</v>
          </cell>
        </row>
        <row r="54">
          <cell r="D54">
            <v>70508220</v>
          </cell>
        </row>
        <row r="55">
          <cell r="D55">
            <v>801138610</v>
          </cell>
        </row>
        <row r="56">
          <cell r="D56">
            <v>177514920</v>
          </cell>
        </row>
        <row r="57">
          <cell r="D57">
            <v>179754078</v>
          </cell>
        </row>
        <row r="66">
          <cell r="D66">
            <v>20548000</v>
          </cell>
        </row>
        <row r="67">
          <cell r="D67">
            <v>70508220</v>
          </cell>
        </row>
        <row r="68">
          <cell r="D68">
            <v>653548850</v>
          </cell>
        </row>
        <row r="69">
          <cell r="D69">
            <v>213177250</v>
          </cell>
        </row>
        <row r="70">
          <cell r="D70">
            <v>232968700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MA "/>
      <sheetName val="REKAPITULASI  KAPAL"/>
      <sheetName val="Sheet1"/>
    </sheetNames>
    <sheetDataSet>
      <sheetData sheetId="0"/>
      <sheetData sheetId="1">
        <row r="9">
          <cell r="E9">
            <v>223941107.21649486</v>
          </cell>
          <cell r="F9">
            <v>231995896.90721652</v>
          </cell>
          <cell r="G9">
            <v>204583548.45360824</v>
          </cell>
          <cell r="H9">
            <v>215980288.65979376</v>
          </cell>
          <cell r="I9">
            <v>223531158.76288658</v>
          </cell>
          <cell r="J9">
            <v>227045896.90721652</v>
          </cell>
        </row>
        <row r="14">
          <cell r="E14">
            <v>1068499860</v>
          </cell>
          <cell r="F14">
            <v>958060950.5</v>
          </cell>
          <cell r="G14">
            <v>1175203807</v>
          </cell>
          <cell r="H14">
            <v>928884137</v>
          </cell>
          <cell r="I14">
            <v>980730368.20000005</v>
          </cell>
          <cell r="J14">
            <v>980229950.00000012</v>
          </cell>
        </row>
        <row r="20">
          <cell r="E20">
            <v>518217900</v>
          </cell>
          <cell r="F20">
            <v>422892400</v>
          </cell>
          <cell r="G20">
            <v>532726900</v>
          </cell>
          <cell r="H20">
            <v>401360000</v>
          </cell>
          <cell r="I20">
            <v>469166650</v>
          </cell>
          <cell r="J20">
            <v>424380600</v>
          </cell>
        </row>
        <row r="27">
          <cell r="E27">
            <v>477311186.66666663</v>
          </cell>
          <cell r="F27">
            <v>424053070</v>
          </cell>
          <cell r="G27">
            <v>478047520</v>
          </cell>
          <cell r="H27">
            <v>450467330</v>
          </cell>
          <cell r="I27">
            <v>443685430</v>
          </cell>
          <cell r="J27">
            <v>406756495</v>
          </cell>
        </row>
        <row r="33">
          <cell r="E33">
            <v>217000000</v>
          </cell>
          <cell r="F33">
            <v>201000000</v>
          </cell>
          <cell r="G33">
            <v>250000000</v>
          </cell>
          <cell r="H33">
            <v>190705439.54166666</v>
          </cell>
          <cell r="I33">
            <v>218400000</v>
          </cell>
          <cell r="J33">
            <v>233000000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52">
          <cell r="E52">
            <v>186800000</v>
          </cell>
        </row>
        <row r="53">
          <cell r="E53">
            <v>54894260</v>
          </cell>
        </row>
        <row r="60">
          <cell r="E60">
            <v>349510000</v>
          </cell>
        </row>
        <row r="61">
          <cell r="E61">
            <v>85021000</v>
          </cell>
        </row>
        <row r="62">
          <cell r="E62">
            <v>24566500</v>
          </cell>
        </row>
      </sheetData>
      <sheetData sheetId="1">
        <row r="53">
          <cell r="E53">
            <v>15900000</v>
          </cell>
        </row>
        <row r="60">
          <cell r="E60">
            <v>360403461</v>
          </cell>
        </row>
        <row r="61">
          <cell r="E61">
            <v>121596250</v>
          </cell>
        </row>
        <row r="62">
          <cell r="E62">
            <v>89905000</v>
          </cell>
        </row>
      </sheetData>
      <sheetData sheetId="2">
        <row r="51">
          <cell r="E51">
            <v>15900000</v>
          </cell>
        </row>
        <row r="58">
          <cell r="E58">
            <v>6648000</v>
          </cell>
        </row>
        <row r="59">
          <cell r="E59">
            <v>126616078</v>
          </cell>
        </row>
      </sheetData>
      <sheetData sheetId="3" refreshError="1"/>
      <sheetData sheetId="4">
        <row r="51">
          <cell r="E51">
            <v>32284260</v>
          </cell>
        </row>
        <row r="60">
          <cell r="E60">
            <v>2282500</v>
          </cell>
        </row>
        <row r="61">
          <cell r="E61">
            <v>10460000</v>
          </cell>
        </row>
      </sheetData>
      <sheetData sheetId="5">
        <row r="50">
          <cell r="E50">
            <v>32284260</v>
          </cell>
        </row>
        <row r="58">
          <cell r="E58">
            <v>2708000</v>
          </cell>
        </row>
        <row r="59">
          <cell r="E59">
            <v>7210000</v>
          </cell>
        </row>
      </sheetData>
      <sheetData sheetId="6">
        <row r="52">
          <cell r="E52">
            <v>32284260</v>
          </cell>
        </row>
        <row r="61">
          <cell r="E61">
            <v>21571000</v>
          </cell>
        </row>
        <row r="62">
          <cell r="E62">
            <v>7881000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LABUHAN"/>
      <sheetName val="MOINIT"/>
      <sheetName val="DOLOSI"/>
      <sheetName val="CENGKIH AFO"/>
      <sheetName val="TANJUNG API"/>
      <sheetName val="TELUK TOLO"/>
      <sheetName val="TUNA TOMINI"/>
    </sheetNames>
    <sheetDataSet>
      <sheetData sheetId="0" refreshError="1"/>
      <sheetData sheetId="1">
        <row r="51">
          <cell r="E51">
            <v>23210000</v>
          </cell>
        </row>
        <row r="58">
          <cell r="E58">
            <v>40904920</v>
          </cell>
        </row>
        <row r="59">
          <cell r="E59">
            <v>5151000</v>
          </cell>
        </row>
      </sheetData>
      <sheetData sheetId="2">
        <row r="53">
          <cell r="E53">
            <v>16300000</v>
          </cell>
        </row>
        <row r="61">
          <cell r="E61">
            <v>3352500</v>
          </cell>
        </row>
        <row r="62">
          <cell r="E62">
            <v>3168000</v>
          </cell>
        </row>
      </sheetData>
      <sheetData sheetId="3">
        <row r="60">
          <cell r="E60">
            <v>6240000</v>
          </cell>
        </row>
        <row r="61">
          <cell r="E61">
            <v>2678000</v>
          </cell>
        </row>
        <row r="62">
          <cell r="E62">
            <v>134266900</v>
          </cell>
        </row>
      </sheetData>
      <sheetData sheetId="4">
        <row r="51">
          <cell r="E51">
            <v>23210000</v>
          </cell>
        </row>
        <row r="60">
          <cell r="E60">
            <v>2331000</v>
          </cell>
        </row>
        <row r="61">
          <cell r="E61">
            <v>20946000</v>
          </cell>
        </row>
      </sheetData>
      <sheetData sheetId="5">
        <row r="50">
          <cell r="E50">
            <v>16300000</v>
          </cell>
        </row>
        <row r="58">
          <cell r="E58">
            <v>2681500</v>
          </cell>
        </row>
        <row r="59">
          <cell r="E59">
            <v>3131000</v>
          </cell>
        </row>
      </sheetData>
      <sheetData sheetId="6">
        <row r="51">
          <cell r="E51">
            <v>115495500</v>
          </cell>
        </row>
        <row r="52">
          <cell r="E52">
            <v>39510000</v>
          </cell>
        </row>
        <row r="60">
          <cell r="E60">
            <v>375140000</v>
          </cell>
        </row>
        <row r="61">
          <cell r="E61">
            <v>110510000</v>
          </cell>
        </row>
        <row r="62">
          <cell r="E62">
            <v>72743000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INIT"/>
    </sheetNames>
    <sheetDataSet>
      <sheetData sheetId="0">
        <row r="52">
          <cell r="E52">
            <v>18436000</v>
          </cell>
        </row>
        <row r="53">
          <cell r="E53">
            <v>16300000</v>
          </cell>
        </row>
        <row r="61">
          <cell r="E61">
            <v>337046500</v>
          </cell>
        </row>
        <row r="62">
          <cell r="E62">
            <v>15875000</v>
          </cell>
        </row>
        <row r="63">
          <cell r="E63">
            <v>12375000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isasi PJK Rutin Kapal"/>
      <sheetName val="Realisasi PJK Docking"/>
      <sheetName val="Prognosa"/>
      <sheetName val="Prognosa Fix"/>
      <sheetName val="Prognosa (2)"/>
    </sheetNames>
    <sheetDataSet>
      <sheetData sheetId="0"/>
      <sheetData sheetId="1"/>
      <sheetData sheetId="2">
        <row r="9">
          <cell r="G9">
            <v>70508220</v>
          </cell>
        </row>
        <row r="10">
          <cell r="G10">
            <v>801138610</v>
          </cell>
        </row>
        <row r="11">
          <cell r="G11">
            <v>177514920</v>
          </cell>
        </row>
        <row r="12">
          <cell r="G12">
            <v>179754078</v>
          </cell>
        </row>
        <row r="13">
          <cell r="G13">
            <v>186036000</v>
          </cell>
        </row>
        <row r="16">
          <cell r="G16">
            <v>94192480</v>
          </cell>
        </row>
        <row r="17">
          <cell r="G17">
            <v>1661115776</v>
          </cell>
        </row>
        <row r="18">
          <cell r="G18">
            <v>315266188</v>
          </cell>
        </row>
        <row r="19">
          <cell r="G19">
            <v>220917700</v>
          </cell>
        </row>
        <row r="20">
          <cell r="G20">
            <v>115495500</v>
          </cell>
        </row>
        <row r="23">
          <cell r="G23">
            <v>69992480</v>
          </cell>
        </row>
        <row r="24">
          <cell r="G24">
            <v>1838757695</v>
          </cell>
        </row>
        <row r="25">
          <cell r="G25">
            <v>249673250</v>
          </cell>
        </row>
        <row r="26">
          <cell r="G26">
            <v>297756800</v>
          </cell>
        </row>
        <row r="27">
          <cell r="G27">
            <v>186800000</v>
          </cell>
        </row>
        <row r="30">
          <cell r="G30">
            <v>86892480</v>
          </cell>
        </row>
        <row r="31">
          <cell r="G31">
            <v>884763187</v>
          </cell>
        </row>
        <row r="32">
          <cell r="G32">
            <v>169048600</v>
          </cell>
        </row>
        <row r="33">
          <cell r="G33">
            <v>211288362</v>
          </cell>
        </row>
        <row r="34">
          <cell r="G34">
            <v>18348000</v>
          </cell>
        </row>
        <row r="37">
          <cell r="G37">
            <v>103192480</v>
          </cell>
        </row>
        <row r="38">
          <cell r="G38">
            <v>1252641038</v>
          </cell>
        </row>
        <row r="39">
          <cell r="G39">
            <v>36200500</v>
          </cell>
        </row>
        <row r="40">
          <cell r="G40">
            <v>80313000</v>
          </cell>
        </row>
        <row r="41">
          <cell r="G41">
            <v>116550000</v>
          </cell>
        </row>
        <row r="44">
          <cell r="G44">
            <v>70508220</v>
          </cell>
        </row>
        <row r="45">
          <cell r="G45">
            <v>653548850</v>
          </cell>
        </row>
        <row r="46">
          <cell r="G46">
            <v>213177250</v>
          </cell>
        </row>
        <row r="47">
          <cell r="G47">
            <v>232968700</v>
          </cell>
        </row>
        <row r="48">
          <cell r="G48">
            <v>20548000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61">
          <cell r="E61">
            <v>8118000</v>
          </cell>
        </row>
        <row r="62">
          <cell r="E62">
            <v>2738000</v>
          </cell>
        </row>
      </sheetData>
      <sheetData sheetId="1">
        <row r="61">
          <cell r="E61">
            <v>3105500</v>
          </cell>
        </row>
        <row r="62">
          <cell r="E62">
            <v>2570000</v>
          </cell>
        </row>
      </sheetData>
      <sheetData sheetId="2">
        <row r="58">
          <cell r="E58">
            <v>3011000</v>
          </cell>
        </row>
        <row r="59">
          <cell r="E59">
            <v>2413000</v>
          </cell>
        </row>
      </sheetData>
      <sheetData sheetId="3" refreshError="1"/>
      <sheetData sheetId="4">
        <row r="61">
          <cell r="E61">
            <v>9902500</v>
          </cell>
        </row>
        <row r="62">
          <cell r="E62">
            <v>2725000</v>
          </cell>
        </row>
      </sheetData>
      <sheetData sheetId="5">
        <row r="58">
          <cell r="E58">
            <v>2546000</v>
          </cell>
        </row>
        <row r="59">
          <cell r="E59">
            <v>2600000</v>
          </cell>
        </row>
      </sheetData>
      <sheetData sheetId="6">
        <row r="62">
          <cell r="E62">
            <v>19637750</v>
          </cell>
        </row>
        <row r="63">
          <cell r="E63">
            <v>2459000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INIT"/>
    </sheetNames>
    <sheetDataSet>
      <sheetData sheetId="0">
        <row r="63">
          <cell r="E63">
            <v>9833000</v>
          </cell>
        </row>
        <row r="64">
          <cell r="E64">
            <v>6760500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MOINIT"/>
      <sheetName val="PELABUHAN"/>
      <sheetName val="TANJUNG API"/>
      <sheetName val="TELUK TOLO"/>
      <sheetName val="TUNA TOMINI"/>
    </sheetNames>
    <sheetDataSet>
      <sheetData sheetId="0">
        <row r="61">
          <cell r="E61">
            <v>126214750</v>
          </cell>
        </row>
        <row r="62">
          <cell r="E62">
            <v>43291000</v>
          </cell>
        </row>
      </sheetData>
      <sheetData sheetId="1">
        <row r="61">
          <cell r="E61">
            <v>62191500</v>
          </cell>
        </row>
        <row r="62">
          <cell r="E62">
            <v>1857000</v>
          </cell>
        </row>
      </sheetData>
      <sheetData sheetId="2">
        <row r="58">
          <cell r="E58">
            <v>100533000</v>
          </cell>
        </row>
        <row r="59">
          <cell r="E59">
            <v>2870000</v>
          </cell>
        </row>
      </sheetData>
      <sheetData sheetId="3" refreshError="1"/>
      <sheetData sheetId="4">
        <row r="59">
          <cell r="E59">
            <v>5094100</v>
          </cell>
        </row>
        <row r="60">
          <cell r="E60">
            <v>10734600</v>
          </cell>
        </row>
        <row r="61">
          <cell r="E61">
            <v>3367000</v>
          </cell>
        </row>
      </sheetData>
      <sheetData sheetId="5">
        <row r="58">
          <cell r="E58">
            <v>5375500</v>
          </cell>
        </row>
        <row r="59">
          <cell r="E59">
            <v>6228000</v>
          </cell>
        </row>
      </sheetData>
      <sheetData sheetId="6">
        <row r="61">
          <cell r="E61">
            <v>2219000</v>
          </cell>
        </row>
        <row r="62">
          <cell r="E62">
            <v>14148200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  <sheetName val="DOLOSI"/>
      <sheetName val="GABUNGAN"/>
      <sheetName val="MOINIT"/>
      <sheetName val="PELABUHAN"/>
      <sheetName val="TANJUNG"/>
      <sheetName val="TELUK TOLO"/>
      <sheetName val="TUNA TOMINI"/>
    </sheetNames>
    <sheetDataSet>
      <sheetData sheetId="0">
        <row r="61">
          <cell r="E61">
            <v>15075000</v>
          </cell>
        </row>
      </sheetData>
      <sheetData sheetId="1">
        <row r="63">
          <cell r="E63">
            <v>17500000</v>
          </cell>
        </row>
      </sheetData>
      <sheetData sheetId="2" refreshError="1"/>
      <sheetData sheetId="3">
        <row r="51">
          <cell r="E51">
            <v>167600000</v>
          </cell>
        </row>
        <row r="60">
          <cell r="E60">
            <v>3700000</v>
          </cell>
        </row>
        <row r="61">
          <cell r="E61">
            <v>14980000</v>
          </cell>
        </row>
      </sheetData>
      <sheetData sheetId="4" refreshError="1"/>
      <sheetData sheetId="5">
        <row r="52">
          <cell r="E52">
            <v>18348000</v>
          </cell>
        </row>
        <row r="61">
          <cell r="E61">
            <v>332914250</v>
          </cell>
        </row>
        <row r="62">
          <cell r="E62">
            <v>13912500</v>
          </cell>
        </row>
        <row r="63">
          <cell r="E63">
            <v>64749362</v>
          </cell>
        </row>
      </sheetData>
      <sheetData sheetId="6">
        <row r="59">
          <cell r="E59">
            <v>26265000</v>
          </cell>
        </row>
      </sheetData>
      <sheetData sheetId="7">
        <row r="61">
          <cell r="E61">
            <v>67400000</v>
          </cell>
        </row>
        <row r="62">
          <cell r="E62">
            <v>22944000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List Hutang 2020 &amp; 2021"/>
      <sheetName val="Daftar Pekerjaan"/>
      <sheetName val="Rekapan RKA-Realisasi"/>
      <sheetName val="Rekapan Hutang Total (20-22)"/>
      <sheetName val="Rekapan Hutang 2022"/>
      <sheetName val="Outstanding V1"/>
      <sheetName val="Outstanding V1 (2)"/>
      <sheetName val="Non Outstanding"/>
      <sheetName val="Januari - Oktober 2022"/>
      <sheetName val="Suplemen Budget 2022"/>
      <sheetName val="Outstanding V1 (SPI)"/>
      <sheetName val="Non Outstanding (Belum Fidias)"/>
      <sheetName val="Hutang 2022"/>
      <sheetName val="Outstanding V1 (3)"/>
      <sheetName val="Rekapan Suplemen"/>
      <sheetName val="Suplemen Budget 2022 (4)"/>
      <sheetName val="Sheet3"/>
      <sheetName val="Suplemen Budget 2022 (3)"/>
      <sheetName val="Suplemen Budget 202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E4">
            <v>26000000</v>
          </cell>
        </row>
        <row r="7">
          <cell r="E7">
            <v>28600000</v>
          </cell>
        </row>
        <row r="8">
          <cell r="E8">
            <v>9000000</v>
          </cell>
        </row>
        <row r="9">
          <cell r="E9">
            <v>15420000</v>
          </cell>
        </row>
        <row r="12">
          <cell r="E12">
            <v>29220000</v>
          </cell>
        </row>
        <row r="13">
          <cell r="E13">
            <v>22679666</v>
          </cell>
        </row>
        <row r="14">
          <cell r="E14">
            <v>27275000</v>
          </cell>
        </row>
        <row r="15">
          <cell r="E15">
            <v>16500000</v>
          </cell>
        </row>
        <row r="16">
          <cell r="E16">
            <v>9920000</v>
          </cell>
        </row>
        <row r="17">
          <cell r="E17">
            <v>3861000</v>
          </cell>
        </row>
        <row r="18">
          <cell r="E18">
            <v>17701200</v>
          </cell>
        </row>
        <row r="19">
          <cell r="E19">
            <v>19380000</v>
          </cell>
        </row>
        <row r="20">
          <cell r="E20">
            <v>8450000</v>
          </cell>
        </row>
        <row r="21">
          <cell r="E21">
            <v>8640000</v>
          </cell>
        </row>
        <row r="22">
          <cell r="E22">
            <v>46651920</v>
          </cell>
        </row>
        <row r="23">
          <cell r="E23">
            <v>20560400</v>
          </cell>
        </row>
        <row r="24">
          <cell r="E24">
            <v>15970000</v>
          </cell>
        </row>
        <row r="27">
          <cell r="E27">
            <v>49335000</v>
          </cell>
        </row>
        <row r="28">
          <cell r="E28">
            <v>20350000</v>
          </cell>
        </row>
        <row r="29">
          <cell r="E29">
            <v>40260000</v>
          </cell>
        </row>
        <row r="30">
          <cell r="E30">
            <v>44825000</v>
          </cell>
        </row>
        <row r="31">
          <cell r="E31">
            <v>27750000</v>
          </cell>
        </row>
        <row r="32">
          <cell r="E32">
            <v>67900000</v>
          </cell>
        </row>
        <row r="35">
          <cell r="E35">
            <v>29250000</v>
          </cell>
        </row>
        <row r="36">
          <cell r="E36">
            <v>63130265</v>
          </cell>
        </row>
      </sheetData>
      <sheetData sheetId="12">
        <row r="10">
          <cell r="E10">
            <v>8950000</v>
          </cell>
        </row>
        <row r="11">
          <cell r="E11">
            <v>6800000</v>
          </cell>
        </row>
        <row r="14">
          <cell r="E14">
            <v>11376000</v>
          </cell>
        </row>
        <row r="15">
          <cell r="E15">
            <v>6000000</v>
          </cell>
        </row>
        <row r="16">
          <cell r="E16">
            <v>7550000</v>
          </cell>
        </row>
        <row r="17">
          <cell r="E17">
            <v>24901000</v>
          </cell>
        </row>
        <row r="18">
          <cell r="E18">
            <v>16000000</v>
          </cell>
        </row>
        <row r="19">
          <cell r="E19">
            <v>10265000</v>
          </cell>
        </row>
        <row r="22">
          <cell r="E22">
            <v>20100000</v>
          </cell>
        </row>
        <row r="25">
          <cell r="E25">
            <v>48160915</v>
          </cell>
        </row>
        <row r="26">
          <cell r="E26">
            <v>53122035</v>
          </cell>
        </row>
      </sheetData>
      <sheetData sheetId="13">
        <row r="9">
          <cell r="J9">
            <v>47052900</v>
          </cell>
        </row>
        <row r="10">
          <cell r="J10">
            <v>258001318</v>
          </cell>
        </row>
        <row r="11">
          <cell r="J11">
            <v>13579017</v>
          </cell>
        </row>
        <row r="12">
          <cell r="J12">
            <v>3186810</v>
          </cell>
        </row>
        <row r="13">
          <cell r="J13">
            <v>35791950</v>
          </cell>
        </row>
        <row r="14">
          <cell r="J14">
            <v>366773082</v>
          </cell>
        </row>
        <row r="15">
          <cell r="J15">
            <v>18147306</v>
          </cell>
        </row>
        <row r="20">
          <cell r="J20">
            <v>78266100</v>
          </cell>
        </row>
        <row r="21">
          <cell r="J21">
            <v>54556638.75</v>
          </cell>
        </row>
        <row r="22">
          <cell r="J22">
            <v>54062113</v>
          </cell>
        </row>
        <row r="23">
          <cell r="J23">
            <v>27500000</v>
          </cell>
        </row>
        <row r="24">
          <cell r="J24">
            <v>133463000</v>
          </cell>
        </row>
        <row r="25">
          <cell r="J25">
            <v>47752375</v>
          </cell>
        </row>
        <row r="26">
          <cell r="J26">
            <v>87418050</v>
          </cell>
        </row>
        <row r="27">
          <cell r="J27">
            <v>50227500</v>
          </cell>
        </row>
        <row r="28">
          <cell r="J28">
            <v>58030800</v>
          </cell>
        </row>
        <row r="29">
          <cell r="J29">
            <v>99090000</v>
          </cell>
        </row>
        <row r="30">
          <cell r="J30">
            <v>137900000</v>
          </cell>
        </row>
        <row r="31">
          <cell r="J31">
            <v>80780000</v>
          </cell>
        </row>
        <row r="36">
          <cell r="J36">
            <v>11555100</v>
          </cell>
        </row>
        <row r="37">
          <cell r="J37">
            <v>11433000</v>
          </cell>
        </row>
        <row r="38">
          <cell r="J38">
            <v>48755196</v>
          </cell>
        </row>
        <row r="39">
          <cell r="J39">
            <v>39977630</v>
          </cell>
        </row>
        <row r="40">
          <cell r="J40">
            <v>6700000</v>
          </cell>
        </row>
        <row r="41">
          <cell r="J41">
            <v>18369000</v>
          </cell>
        </row>
        <row r="42">
          <cell r="J42">
            <v>28027500</v>
          </cell>
        </row>
        <row r="43">
          <cell r="J43">
            <v>27639000</v>
          </cell>
        </row>
        <row r="44">
          <cell r="J44">
            <v>76331370</v>
          </cell>
        </row>
        <row r="45">
          <cell r="J45">
            <v>41902500</v>
          </cell>
        </row>
        <row r="46">
          <cell r="J46">
            <v>12487500</v>
          </cell>
        </row>
        <row r="47">
          <cell r="J47">
            <v>29095000</v>
          </cell>
        </row>
        <row r="48">
          <cell r="J48">
            <v>50998338</v>
          </cell>
        </row>
        <row r="49">
          <cell r="J49">
            <v>55825000</v>
          </cell>
        </row>
        <row r="50">
          <cell r="J50">
            <v>47300000</v>
          </cell>
        </row>
        <row r="51">
          <cell r="J51">
            <v>33220000</v>
          </cell>
        </row>
        <row r="52">
          <cell r="J52">
            <v>57090000</v>
          </cell>
        </row>
        <row r="53">
          <cell r="J53">
            <v>35200000</v>
          </cell>
        </row>
        <row r="54">
          <cell r="J54">
            <v>22825000</v>
          </cell>
        </row>
        <row r="55">
          <cell r="J55">
            <v>31625000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NA TOMINI"/>
    </sheetNames>
    <sheetDataSet>
      <sheetData sheetId="0">
        <row r="63">
          <cell r="E63">
            <v>6706000</v>
          </cell>
        </row>
        <row r="64">
          <cell r="E64">
            <v>6848000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NA TOMINI"/>
    </sheetNames>
    <sheetDataSet>
      <sheetData sheetId="0">
        <row r="62">
          <cell r="E62">
            <v>23780000</v>
          </cell>
        </row>
        <row r="63">
          <cell r="E63">
            <v>94947500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</sheetNames>
    <sheetDataSet>
      <sheetData sheetId="0">
        <row r="62">
          <cell r="E62">
            <v>205305375</v>
          </cell>
        </row>
        <row r="63">
          <cell r="E63">
            <v>86898500</v>
          </cell>
        </row>
        <row r="64">
          <cell r="E64">
            <v>73168030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"/>
    </sheetNames>
    <sheetDataSet>
      <sheetData sheetId="0">
        <row r="61">
          <cell r="E61">
            <v>8978000</v>
          </cell>
        </row>
        <row r="62">
          <cell r="E62">
            <v>6426000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JUNG API"/>
    </sheetNames>
    <sheetDataSet>
      <sheetData sheetId="0">
        <row r="53">
          <cell r="E53">
            <v>16300000</v>
          </cell>
        </row>
        <row r="61">
          <cell r="E61">
            <v>62290000</v>
          </cell>
        </row>
        <row r="62">
          <cell r="E62">
            <v>127111000</v>
          </cell>
        </row>
        <row r="63">
          <cell r="E63">
            <v>30321000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NJUNG API"/>
    </sheetNames>
    <sheetDataSet>
      <sheetData sheetId="0">
        <row r="65">
          <cell r="E65">
            <v>10313000</v>
          </cell>
        </row>
        <row r="66">
          <cell r="E66">
            <v>31656500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UK TOLO"/>
    </sheetNames>
    <sheetDataSet>
      <sheetData sheetId="0">
        <row r="51">
          <cell r="E51">
            <v>116550000</v>
          </cell>
        </row>
        <row r="52">
          <cell r="E52">
            <v>39510000</v>
          </cell>
        </row>
        <row r="60">
          <cell r="E60">
            <v>235960203</v>
          </cell>
        </row>
        <row r="61">
          <cell r="E61">
            <v>12777500</v>
          </cell>
        </row>
        <row r="62">
          <cell r="E62">
            <v>27481000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biaya"/>
      <sheetName val="Rincian Pekerjaan Tambahan"/>
      <sheetName val="Lampiran Kontrak Induk"/>
      <sheetName val="RL Tambahan Docking"/>
      <sheetName val="Rekap biaya (2)"/>
      <sheetName val="RL Tambahan (2)"/>
      <sheetName val="Sheet1"/>
    </sheetNames>
    <sheetDataSet>
      <sheetData sheetId="0"/>
      <sheetData sheetId="1"/>
      <sheetData sheetId="2"/>
      <sheetData sheetId="3">
        <row r="260">
          <cell r="U260">
            <v>308032711.17000002</v>
          </cell>
        </row>
      </sheetData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LUK TOLO"/>
    </sheetNames>
    <sheetDataSet>
      <sheetData sheetId="0">
        <row r="63">
          <cell r="E63">
            <v>6881500</v>
          </cell>
        </row>
        <row r="64">
          <cell r="E64">
            <v>24132200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OSI"/>
    </sheetNames>
    <sheetDataSet>
      <sheetData sheetId="0">
        <row r="53">
          <cell r="E53">
            <v>23210000</v>
          </cell>
        </row>
        <row r="62">
          <cell r="E62">
            <v>7376500</v>
          </cell>
        </row>
        <row r="63">
          <cell r="E63">
            <v>19687500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LOSI"/>
    </sheetNames>
    <sheetDataSet>
      <sheetData sheetId="0">
        <row r="62">
          <cell r="E62">
            <v>26400000</v>
          </cell>
        </row>
        <row r="63">
          <cell r="E63">
            <v>15822500</v>
          </cell>
        </row>
        <row r="64">
          <cell r="E64">
            <v>82247200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ENGKIH AFO produksi"/>
      <sheetName val="CENGKIH AFO PNDPTN pendapatan"/>
      <sheetName val="Bo Tolo Kolo-Batu"/>
      <sheetName val="dolosi produksi L-S"/>
      <sheetName val="dolosi pendaptan L-S"/>
      <sheetName val="Bo DLS LWK-SYNG"/>
      <sheetName val="MNT produksi P-G"/>
      <sheetName val="MNT pendaptan P-G"/>
      <sheetName val="Bo MNT PGM-GTO"/>
      <sheetName val="Sheet1"/>
      <sheetName val="PENDAPATAN HURAAAAY"/>
      <sheetName val="TELUK TOLO PROD"/>
      <sheetName val="TELUK TOLO PNDP"/>
      <sheetName val="BO C AFO"/>
      <sheetName val="tarif c afo"/>
      <sheetName val="TARIF TUNA"/>
      <sheetName val="TUNA PNDP"/>
      <sheetName val="TUNA PROD"/>
      <sheetName val="bo tuna tomini"/>
      <sheetName val="TJ API PROD"/>
      <sheetName val="TJ API PNDP"/>
      <sheetName val="TARIF"/>
      <sheetName val="bo TANJUNG API"/>
      <sheetName val="PRODUKSI HURA"/>
      <sheetName val="SUBSUDI 2023"/>
      <sheetName val="TOTAL BIAYA"/>
      <sheetName val="TARIF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2">
          <cell r="DG32">
            <v>5788123891</v>
          </cell>
          <cell r="DH32">
            <v>6935454565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SI MA "/>
      <sheetName val="REKAPITULASI  KAPAL"/>
      <sheetName val="Sheet1"/>
    </sheetNames>
    <sheetDataSet>
      <sheetData sheetId="0"/>
      <sheetData sheetId="1">
        <row r="11">
          <cell r="E11">
            <v>223941107.21649486</v>
          </cell>
          <cell r="F11">
            <v>231995896.90721652</v>
          </cell>
          <cell r="G11">
            <v>204583548.45360824</v>
          </cell>
          <cell r="H11">
            <v>215980288.65979376</v>
          </cell>
          <cell r="I11">
            <v>223531158.76288658</v>
          </cell>
          <cell r="J11">
            <v>227045896.90721652</v>
          </cell>
        </row>
        <row r="14">
          <cell r="E14">
            <v>829414900</v>
          </cell>
          <cell r="F14">
            <v>778102700.5</v>
          </cell>
          <cell r="G14">
            <v>822284767</v>
          </cell>
          <cell r="H14">
            <v>736184817</v>
          </cell>
          <cell r="I14">
            <v>760538833.20000005</v>
          </cell>
          <cell r="J14">
            <v>744524135.00000012</v>
          </cell>
        </row>
        <row r="20">
          <cell r="E20">
            <v>507260900</v>
          </cell>
          <cell r="F20">
            <v>408619400</v>
          </cell>
          <cell r="G20">
            <v>496122900</v>
          </cell>
          <cell r="H20">
            <v>480650200</v>
          </cell>
          <cell r="I20">
            <v>435264650</v>
          </cell>
          <cell r="J20">
            <v>474731600</v>
          </cell>
        </row>
        <row r="27">
          <cell r="E27">
            <v>477311186.66666663</v>
          </cell>
          <cell r="F27">
            <v>424053070</v>
          </cell>
          <cell r="G27">
            <v>478047520</v>
          </cell>
          <cell r="H27">
            <v>450467330</v>
          </cell>
          <cell r="I27">
            <v>443685430</v>
          </cell>
          <cell r="J27">
            <v>406756495</v>
          </cell>
        </row>
        <row r="33">
          <cell r="E33">
            <v>189000000</v>
          </cell>
          <cell r="F33">
            <v>173000000</v>
          </cell>
          <cell r="G33">
            <v>151000000</v>
          </cell>
          <cell r="H33">
            <v>162705439.54166666</v>
          </cell>
          <cell r="I33">
            <v>186400000</v>
          </cell>
          <cell r="J33">
            <v>159000000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4/folders/1mAn8c55nicL4n3MWl4padzHu36msvjh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EC83D-0D44-4B6B-83A7-E6F9DBB9406E}">
  <sheetPr>
    <tabColor rgb="FFFF0000"/>
    <pageSetUpPr fitToPage="1"/>
  </sheetPr>
  <dimension ref="A2:IP72"/>
  <sheetViews>
    <sheetView showGridLines="0" view="pageBreakPreview" topLeftCell="B2" zoomScale="85" zoomScaleNormal="100" zoomScaleSheetLayoutView="85" workbookViewId="0">
      <pane xSplit="4" ySplit="6" topLeftCell="H44" activePane="bottomRight" state="frozen"/>
      <selection activeCell="B2" sqref="B2"/>
      <selection pane="topRight" activeCell="F2" sqref="F2"/>
      <selection pane="bottomLeft" activeCell="B9" sqref="B9"/>
      <selection pane="bottomRight" activeCell="I9" sqref="I9"/>
    </sheetView>
  </sheetViews>
  <sheetFormatPr defaultColWidth="18.5546875" defaultRowHeight="13.8"/>
  <cols>
    <col min="1" max="1" width="4" style="486" customWidth="1"/>
    <col min="2" max="2" width="5.5546875" style="486" customWidth="1"/>
    <col min="3" max="3" width="30.21875" style="486" customWidth="1"/>
    <col min="4" max="4" width="4.5546875" style="528" bestFit="1" customWidth="1"/>
    <col min="5" max="5" width="41" style="486" customWidth="1"/>
    <col min="6" max="7" width="14.5546875" style="486" customWidth="1"/>
    <col min="8" max="8" width="16.5546875" style="486" customWidth="1"/>
    <col min="9" max="12" width="14.5546875" style="486" customWidth="1"/>
    <col min="13" max="14" width="12.5546875" style="486" customWidth="1"/>
    <col min="15" max="15" width="16.5546875" style="486" customWidth="1"/>
    <col min="16" max="17" width="20.5546875" style="486" customWidth="1"/>
    <col min="18" max="18" width="11" style="486" hidden="1" customWidth="1"/>
    <col min="19" max="19" width="17.21875" style="486" hidden="1" customWidth="1"/>
    <col min="20" max="20" width="11" style="486" hidden="1" customWidth="1"/>
    <col min="21" max="21" width="8.77734375" style="486" hidden="1" customWidth="1"/>
    <col min="22" max="25" width="10.21875" style="486" hidden="1" customWidth="1"/>
    <col min="26" max="27" width="11.21875" style="486" hidden="1" customWidth="1"/>
    <col min="28" max="29" width="8.77734375" style="486" hidden="1" customWidth="1"/>
    <col min="30" max="238" width="8.77734375" style="486" customWidth="1"/>
    <col min="239" max="239" width="2.5546875" style="486" customWidth="1"/>
    <col min="240" max="240" width="5.5546875" style="486" customWidth="1"/>
    <col min="241" max="241" width="23.77734375" style="486" customWidth="1"/>
    <col min="242" max="242" width="3.77734375" style="486" customWidth="1"/>
    <col min="243" max="243" width="35.77734375" style="486" customWidth="1"/>
    <col min="244" max="244" width="22.21875" style="486" customWidth="1"/>
    <col min="245" max="245" width="17.77734375" style="486" customWidth="1"/>
    <col min="246" max="246" width="19" style="486" customWidth="1"/>
    <col min="247" max="247" width="20.77734375" style="486" customWidth="1"/>
    <col min="248" max="248" width="16.77734375" style="486" customWidth="1"/>
    <col min="249" max="249" width="18.77734375" style="486" customWidth="1"/>
    <col min="250" max="256" width="18.5546875" style="486"/>
    <col min="257" max="257" width="4" style="486" customWidth="1"/>
    <col min="258" max="258" width="5.5546875" style="486" customWidth="1"/>
    <col min="259" max="259" width="30.21875" style="486" customWidth="1"/>
    <col min="260" max="260" width="4.5546875" style="486" bestFit="1" customWidth="1"/>
    <col min="261" max="261" width="41" style="486" customWidth="1"/>
    <col min="262" max="263" width="14.5546875" style="486" customWidth="1"/>
    <col min="264" max="264" width="16.5546875" style="486" customWidth="1"/>
    <col min="265" max="268" width="14.5546875" style="486" customWidth="1"/>
    <col min="269" max="270" width="12.5546875" style="486" customWidth="1"/>
    <col min="271" max="271" width="16.5546875" style="486" customWidth="1"/>
    <col min="272" max="273" width="20.5546875" style="486" customWidth="1"/>
    <col min="274" max="274" width="11" style="486" bestFit="1" customWidth="1"/>
    <col min="275" max="275" width="17.21875" style="486" customWidth="1"/>
    <col min="276" max="276" width="11" style="486" bestFit="1" customWidth="1"/>
    <col min="277" max="277" width="8.77734375" style="486" customWidth="1"/>
    <col min="278" max="281" width="10.21875" style="486" bestFit="1" customWidth="1"/>
    <col min="282" max="283" width="11.21875" style="486" bestFit="1" customWidth="1"/>
    <col min="284" max="494" width="8.77734375" style="486" customWidth="1"/>
    <col min="495" max="495" width="2.5546875" style="486" customWidth="1"/>
    <col min="496" max="496" width="5.5546875" style="486" customWidth="1"/>
    <col min="497" max="497" width="23.77734375" style="486" customWidth="1"/>
    <col min="498" max="498" width="3.77734375" style="486" customWidth="1"/>
    <col min="499" max="499" width="35.77734375" style="486" customWidth="1"/>
    <col min="500" max="500" width="22.21875" style="486" customWidth="1"/>
    <col min="501" max="501" width="17.77734375" style="486" customWidth="1"/>
    <col min="502" max="502" width="19" style="486" customWidth="1"/>
    <col min="503" max="503" width="20.77734375" style="486" customWidth="1"/>
    <col min="504" max="504" width="16.77734375" style="486" customWidth="1"/>
    <col min="505" max="505" width="18.77734375" style="486" customWidth="1"/>
    <col min="506" max="512" width="18.5546875" style="486"/>
    <col min="513" max="513" width="4" style="486" customWidth="1"/>
    <col min="514" max="514" width="5.5546875" style="486" customWidth="1"/>
    <col min="515" max="515" width="30.21875" style="486" customWidth="1"/>
    <col min="516" max="516" width="4.5546875" style="486" bestFit="1" customWidth="1"/>
    <col min="517" max="517" width="41" style="486" customWidth="1"/>
    <col min="518" max="519" width="14.5546875" style="486" customWidth="1"/>
    <col min="520" max="520" width="16.5546875" style="486" customWidth="1"/>
    <col min="521" max="524" width="14.5546875" style="486" customWidth="1"/>
    <col min="525" max="526" width="12.5546875" style="486" customWidth="1"/>
    <col min="527" max="527" width="16.5546875" style="486" customWidth="1"/>
    <col min="528" max="529" width="20.5546875" style="486" customWidth="1"/>
    <col min="530" max="530" width="11" style="486" bestFit="1" customWidth="1"/>
    <col min="531" max="531" width="17.21875" style="486" customWidth="1"/>
    <col min="532" max="532" width="11" style="486" bestFit="1" customWidth="1"/>
    <col min="533" max="533" width="8.77734375" style="486" customWidth="1"/>
    <col min="534" max="537" width="10.21875" style="486" bestFit="1" customWidth="1"/>
    <col min="538" max="539" width="11.21875" style="486" bestFit="1" customWidth="1"/>
    <col min="540" max="750" width="8.77734375" style="486" customWidth="1"/>
    <col min="751" max="751" width="2.5546875" style="486" customWidth="1"/>
    <col min="752" max="752" width="5.5546875" style="486" customWidth="1"/>
    <col min="753" max="753" width="23.77734375" style="486" customWidth="1"/>
    <col min="754" max="754" width="3.77734375" style="486" customWidth="1"/>
    <col min="755" max="755" width="35.77734375" style="486" customWidth="1"/>
    <col min="756" max="756" width="22.21875" style="486" customWidth="1"/>
    <col min="757" max="757" width="17.77734375" style="486" customWidth="1"/>
    <col min="758" max="758" width="19" style="486" customWidth="1"/>
    <col min="759" max="759" width="20.77734375" style="486" customWidth="1"/>
    <col min="760" max="760" width="16.77734375" style="486" customWidth="1"/>
    <col min="761" max="761" width="18.77734375" style="486" customWidth="1"/>
    <col min="762" max="768" width="18.5546875" style="486"/>
    <col min="769" max="769" width="4" style="486" customWidth="1"/>
    <col min="770" max="770" width="5.5546875" style="486" customWidth="1"/>
    <col min="771" max="771" width="30.21875" style="486" customWidth="1"/>
    <col min="772" max="772" width="4.5546875" style="486" bestFit="1" customWidth="1"/>
    <col min="773" max="773" width="41" style="486" customWidth="1"/>
    <col min="774" max="775" width="14.5546875" style="486" customWidth="1"/>
    <col min="776" max="776" width="16.5546875" style="486" customWidth="1"/>
    <col min="777" max="780" width="14.5546875" style="486" customWidth="1"/>
    <col min="781" max="782" width="12.5546875" style="486" customWidth="1"/>
    <col min="783" max="783" width="16.5546875" style="486" customWidth="1"/>
    <col min="784" max="785" width="20.5546875" style="486" customWidth="1"/>
    <col min="786" max="786" width="11" style="486" bestFit="1" customWidth="1"/>
    <col min="787" max="787" width="17.21875" style="486" customWidth="1"/>
    <col min="788" max="788" width="11" style="486" bestFit="1" customWidth="1"/>
    <col min="789" max="789" width="8.77734375" style="486" customWidth="1"/>
    <col min="790" max="793" width="10.21875" style="486" bestFit="1" customWidth="1"/>
    <col min="794" max="795" width="11.21875" style="486" bestFit="1" customWidth="1"/>
    <col min="796" max="1006" width="8.77734375" style="486" customWidth="1"/>
    <col min="1007" max="1007" width="2.5546875" style="486" customWidth="1"/>
    <col min="1008" max="1008" width="5.5546875" style="486" customWidth="1"/>
    <col min="1009" max="1009" width="23.77734375" style="486" customWidth="1"/>
    <col min="1010" max="1010" width="3.77734375" style="486" customWidth="1"/>
    <col min="1011" max="1011" width="35.77734375" style="486" customWidth="1"/>
    <col min="1012" max="1012" width="22.21875" style="486" customWidth="1"/>
    <col min="1013" max="1013" width="17.77734375" style="486" customWidth="1"/>
    <col min="1014" max="1014" width="19" style="486" customWidth="1"/>
    <col min="1015" max="1015" width="20.77734375" style="486" customWidth="1"/>
    <col min="1016" max="1016" width="16.77734375" style="486" customWidth="1"/>
    <col min="1017" max="1017" width="18.77734375" style="486" customWidth="1"/>
    <col min="1018" max="1024" width="18.5546875" style="486"/>
    <col min="1025" max="1025" width="4" style="486" customWidth="1"/>
    <col min="1026" max="1026" width="5.5546875" style="486" customWidth="1"/>
    <col min="1027" max="1027" width="30.21875" style="486" customWidth="1"/>
    <col min="1028" max="1028" width="4.5546875" style="486" bestFit="1" customWidth="1"/>
    <col min="1029" max="1029" width="41" style="486" customWidth="1"/>
    <col min="1030" max="1031" width="14.5546875" style="486" customWidth="1"/>
    <col min="1032" max="1032" width="16.5546875" style="486" customWidth="1"/>
    <col min="1033" max="1036" width="14.5546875" style="486" customWidth="1"/>
    <col min="1037" max="1038" width="12.5546875" style="486" customWidth="1"/>
    <col min="1039" max="1039" width="16.5546875" style="486" customWidth="1"/>
    <col min="1040" max="1041" width="20.5546875" style="486" customWidth="1"/>
    <col min="1042" max="1042" width="11" style="486" bestFit="1" customWidth="1"/>
    <col min="1043" max="1043" width="17.21875" style="486" customWidth="1"/>
    <col min="1044" max="1044" width="11" style="486" bestFit="1" customWidth="1"/>
    <col min="1045" max="1045" width="8.77734375" style="486" customWidth="1"/>
    <col min="1046" max="1049" width="10.21875" style="486" bestFit="1" customWidth="1"/>
    <col min="1050" max="1051" width="11.21875" style="486" bestFit="1" customWidth="1"/>
    <col min="1052" max="1262" width="8.77734375" style="486" customWidth="1"/>
    <col min="1263" max="1263" width="2.5546875" style="486" customWidth="1"/>
    <col min="1264" max="1264" width="5.5546875" style="486" customWidth="1"/>
    <col min="1265" max="1265" width="23.77734375" style="486" customWidth="1"/>
    <col min="1266" max="1266" width="3.77734375" style="486" customWidth="1"/>
    <col min="1267" max="1267" width="35.77734375" style="486" customWidth="1"/>
    <col min="1268" max="1268" width="22.21875" style="486" customWidth="1"/>
    <col min="1269" max="1269" width="17.77734375" style="486" customWidth="1"/>
    <col min="1270" max="1270" width="19" style="486" customWidth="1"/>
    <col min="1271" max="1271" width="20.77734375" style="486" customWidth="1"/>
    <col min="1272" max="1272" width="16.77734375" style="486" customWidth="1"/>
    <col min="1273" max="1273" width="18.77734375" style="486" customWidth="1"/>
    <col min="1274" max="1280" width="18.5546875" style="486"/>
    <col min="1281" max="1281" width="4" style="486" customWidth="1"/>
    <col min="1282" max="1282" width="5.5546875" style="486" customWidth="1"/>
    <col min="1283" max="1283" width="30.21875" style="486" customWidth="1"/>
    <col min="1284" max="1284" width="4.5546875" style="486" bestFit="1" customWidth="1"/>
    <col min="1285" max="1285" width="41" style="486" customWidth="1"/>
    <col min="1286" max="1287" width="14.5546875" style="486" customWidth="1"/>
    <col min="1288" max="1288" width="16.5546875" style="486" customWidth="1"/>
    <col min="1289" max="1292" width="14.5546875" style="486" customWidth="1"/>
    <col min="1293" max="1294" width="12.5546875" style="486" customWidth="1"/>
    <col min="1295" max="1295" width="16.5546875" style="486" customWidth="1"/>
    <col min="1296" max="1297" width="20.5546875" style="486" customWidth="1"/>
    <col min="1298" max="1298" width="11" style="486" bestFit="1" customWidth="1"/>
    <col min="1299" max="1299" width="17.21875" style="486" customWidth="1"/>
    <col min="1300" max="1300" width="11" style="486" bestFit="1" customWidth="1"/>
    <col min="1301" max="1301" width="8.77734375" style="486" customWidth="1"/>
    <col min="1302" max="1305" width="10.21875" style="486" bestFit="1" customWidth="1"/>
    <col min="1306" max="1307" width="11.21875" style="486" bestFit="1" customWidth="1"/>
    <col min="1308" max="1518" width="8.77734375" style="486" customWidth="1"/>
    <col min="1519" max="1519" width="2.5546875" style="486" customWidth="1"/>
    <col min="1520" max="1520" width="5.5546875" style="486" customWidth="1"/>
    <col min="1521" max="1521" width="23.77734375" style="486" customWidth="1"/>
    <col min="1522" max="1522" width="3.77734375" style="486" customWidth="1"/>
    <col min="1523" max="1523" width="35.77734375" style="486" customWidth="1"/>
    <col min="1524" max="1524" width="22.21875" style="486" customWidth="1"/>
    <col min="1525" max="1525" width="17.77734375" style="486" customWidth="1"/>
    <col min="1526" max="1526" width="19" style="486" customWidth="1"/>
    <col min="1527" max="1527" width="20.77734375" style="486" customWidth="1"/>
    <col min="1528" max="1528" width="16.77734375" style="486" customWidth="1"/>
    <col min="1529" max="1529" width="18.77734375" style="486" customWidth="1"/>
    <col min="1530" max="1536" width="18.5546875" style="486"/>
    <col min="1537" max="1537" width="4" style="486" customWidth="1"/>
    <col min="1538" max="1538" width="5.5546875" style="486" customWidth="1"/>
    <col min="1539" max="1539" width="30.21875" style="486" customWidth="1"/>
    <col min="1540" max="1540" width="4.5546875" style="486" bestFit="1" customWidth="1"/>
    <col min="1541" max="1541" width="41" style="486" customWidth="1"/>
    <col min="1542" max="1543" width="14.5546875" style="486" customWidth="1"/>
    <col min="1544" max="1544" width="16.5546875" style="486" customWidth="1"/>
    <col min="1545" max="1548" width="14.5546875" style="486" customWidth="1"/>
    <col min="1549" max="1550" width="12.5546875" style="486" customWidth="1"/>
    <col min="1551" max="1551" width="16.5546875" style="486" customWidth="1"/>
    <col min="1552" max="1553" width="20.5546875" style="486" customWidth="1"/>
    <col min="1554" max="1554" width="11" style="486" bestFit="1" customWidth="1"/>
    <col min="1555" max="1555" width="17.21875" style="486" customWidth="1"/>
    <col min="1556" max="1556" width="11" style="486" bestFit="1" customWidth="1"/>
    <col min="1557" max="1557" width="8.77734375" style="486" customWidth="1"/>
    <col min="1558" max="1561" width="10.21875" style="486" bestFit="1" customWidth="1"/>
    <col min="1562" max="1563" width="11.21875" style="486" bestFit="1" customWidth="1"/>
    <col min="1564" max="1774" width="8.77734375" style="486" customWidth="1"/>
    <col min="1775" max="1775" width="2.5546875" style="486" customWidth="1"/>
    <col min="1776" max="1776" width="5.5546875" style="486" customWidth="1"/>
    <col min="1777" max="1777" width="23.77734375" style="486" customWidth="1"/>
    <col min="1778" max="1778" width="3.77734375" style="486" customWidth="1"/>
    <col min="1779" max="1779" width="35.77734375" style="486" customWidth="1"/>
    <col min="1780" max="1780" width="22.21875" style="486" customWidth="1"/>
    <col min="1781" max="1781" width="17.77734375" style="486" customWidth="1"/>
    <col min="1782" max="1782" width="19" style="486" customWidth="1"/>
    <col min="1783" max="1783" width="20.77734375" style="486" customWidth="1"/>
    <col min="1784" max="1784" width="16.77734375" style="486" customWidth="1"/>
    <col min="1785" max="1785" width="18.77734375" style="486" customWidth="1"/>
    <col min="1786" max="1792" width="18.5546875" style="486"/>
    <col min="1793" max="1793" width="4" style="486" customWidth="1"/>
    <col min="1794" max="1794" width="5.5546875" style="486" customWidth="1"/>
    <col min="1795" max="1795" width="30.21875" style="486" customWidth="1"/>
    <col min="1796" max="1796" width="4.5546875" style="486" bestFit="1" customWidth="1"/>
    <col min="1797" max="1797" width="41" style="486" customWidth="1"/>
    <col min="1798" max="1799" width="14.5546875" style="486" customWidth="1"/>
    <col min="1800" max="1800" width="16.5546875" style="486" customWidth="1"/>
    <col min="1801" max="1804" width="14.5546875" style="486" customWidth="1"/>
    <col min="1805" max="1806" width="12.5546875" style="486" customWidth="1"/>
    <col min="1807" max="1807" width="16.5546875" style="486" customWidth="1"/>
    <col min="1808" max="1809" width="20.5546875" style="486" customWidth="1"/>
    <col min="1810" max="1810" width="11" style="486" bestFit="1" customWidth="1"/>
    <col min="1811" max="1811" width="17.21875" style="486" customWidth="1"/>
    <col min="1812" max="1812" width="11" style="486" bestFit="1" customWidth="1"/>
    <col min="1813" max="1813" width="8.77734375" style="486" customWidth="1"/>
    <col min="1814" max="1817" width="10.21875" style="486" bestFit="1" customWidth="1"/>
    <col min="1818" max="1819" width="11.21875" style="486" bestFit="1" customWidth="1"/>
    <col min="1820" max="2030" width="8.77734375" style="486" customWidth="1"/>
    <col min="2031" max="2031" width="2.5546875" style="486" customWidth="1"/>
    <col min="2032" max="2032" width="5.5546875" style="486" customWidth="1"/>
    <col min="2033" max="2033" width="23.77734375" style="486" customWidth="1"/>
    <col min="2034" max="2034" width="3.77734375" style="486" customWidth="1"/>
    <col min="2035" max="2035" width="35.77734375" style="486" customWidth="1"/>
    <col min="2036" max="2036" width="22.21875" style="486" customWidth="1"/>
    <col min="2037" max="2037" width="17.77734375" style="486" customWidth="1"/>
    <col min="2038" max="2038" width="19" style="486" customWidth="1"/>
    <col min="2039" max="2039" width="20.77734375" style="486" customWidth="1"/>
    <col min="2040" max="2040" width="16.77734375" style="486" customWidth="1"/>
    <col min="2041" max="2041" width="18.77734375" style="486" customWidth="1"/>
    <col min="2042" max="2048" width="18.5546875" style="486"/>
    <col min="2049" max="2049" width="4" style="486" customWidth="1"/>
    <col min="2050" max="2050" width="5.5546875" style="486" customWidth="1"/>
    <col min="2051" max="2051" width="30.21875" style="486" customWidth="1"/>
    <col min="2052" max="2052" width="4.5546875" style="486" bestFit="1" customWidth="1"/>
    <col min="2053" max="2053" width="41" style="486" customWidth="1"/>
    <col min="2054" max="2055" width="14.5546875" style="486" customWidth="1"/>
    <col min="2056" max="2056" width="16.5546875" style="486" customWidth="1"/>
    <col min="2057" max="2060" width="14.5546875" style="486" customWidth="1"/>
    <col min="2061" max="2062" width="12.5546875" style="486" customWidth="1"/>
    <col min="2063" max="2063" width="16.5546875" style="486" customWidth="1"/>
    <col min="2064" max="2065" width="20.5546875" style="486" customWidth="1"/>
    <col min="2066" max="2066" width="11" style="486" bestFit="1" customWidth="1"/>
    <col min="2067" max="2067" width="17.21875" style="486" customWidth="1"/>
    <col min="2068" max="2068" width="11" style="486" bestFit="1" customWidth="1"/>
    <col min="2069" max="2069" width="8.77734375" style="486" customWidth="1"/>
    <col min="2070" max="2073" width="10.21875" style="486" bestFit="1" customWidth="1"/>
    <col min="2074" max="2075" width="11.21875" style="486" bestFit="1" customWidth="1"/>
    <col min="2076" max="2286" width="8.77734375" style="486" customWidth="1"/>
    <col min="2287" max="2287" width="2.5546875" style="486" customWidth="1"/>
    <col min="2288" max="2288" width="5.5546875" style="486" customWidth="1"/>
    <col min="2289" max="2289" width="23.77734375" style="486" customWidth="1"/>
    <col min="2290" max="2290" width="3.77734375" style="486" customWidth="1"/>
    <col min="2291" max="2291" width="35.77734375" style="486" customWidth="1"/>
    <col min="2292" max="2292" width="22.21875" style="486" customWidth="1"/>
    <col min="2293" max="2293" width="17.77734375" style="486" customWidth="1"/>
    <col min="2294" max="2294" width="19" style="486" customWidth="1"/>
    <col min="2295" max="2295" width="20.77734375" style="486" customWidth="1"/>
    <col min="2296" max="2296" width="16.77734375" style="486" customWidth="1"/>
    <col min="2297" max="2297" width="18.77734375" style="486" customWidth="1"/>
    <col min="2298" max="2304" width="18.5546875" style="486"/>
    <col min="2305" max="2305" width="4" style="486" customWidth="1"/>
    <col min="2306" max="2306" width="5.5546875" style="486" customWidth="1"/>
    <col min="2307" max="2307" width="30.21875" style="486" customWidth="1"/>
    <col min="2308" max="2308" width="4.5546875" style="486" bestFit="1" customWidth="1"/>
    <col min="2309" max="2309" width="41" style="486" customWidth="1"/>
    <col min="2310" max="2311" width="14.5546875" style="486" customWidth="1"/>
    <col min="2312" max="2312" width="16.5546875" style="486" customWidth="1"/>
    <col min="2313" max="2316" width="14.5546875" style="486" customWidth="1"/>
    <col min="2317" max="2318" width="12.5546875" style="486" customWidth="1"/>
    <col min="2319" max="2319" width="16.5546875" style="486" customWidth="1"/>
    <col min="2320" max="2321" width="20.5546875" style="486" customWidth="1"/>
    <col min="2322" max="2322" width="11" style="486" bestFit="1" customWidth="1"/>
    <col min="2323" max="2323" width="17.21875" style="486" customWidth="1"/>
    <col min="2324" max="2324" width="11" style="486" bestFit="1" customWidth="1"/>
    <col min="2325" max="2325" width="8.77734375" style="486" customWidth="1"/>
    <col min="2326" max="2329" width="10.21875" style="486" bestFit="1" customWidth="1"/>
    <col min="2330" max="2331" width="11.21875" style="486" bestFit="1" customWidth="1"/>
    <col min="2332" max="2542" width="8.77734375" style="486" customWidth="1"/>
    <col min="2543" max="2543" width="2.5546875" style="486" customWidth="1"/>
    <col min="2544" max="2544" width="5.5546875" style="486" customWidth="1"/>
    <col min="2545" max="2545" width="23.77734375" style="486" customWidth="1"/>
    <col min="2546" max="2546" width="3.77734375" style="486" customWidth="1"/>
    <col min="2547" max="2547" width="35.77734375" style="486" customWidth="1"/>
    <col min="2548" max="2548" width="22.21875" style="486" customWidth="1"/>
    <col min="2549" max="2549" width="17.77734375" style="486" customWidth="1"/>
    <col min="2550" max="2550" width="19" style="486" customWidth="1"/>
    <col min="2551" max="2551" width="20.77734375" style="486" customWidth="1"/>
    <col min="2552" max="2552" width="16.77734375" style="486" customWidth="1"/>
    <col min="2553" max="2553" width="18.77734375" style="486" customWidth="1"/>
    <col min="2554" max="2560" width="18.5546875" style="486"/>
    <col min="2561" max="2561" width="4" style="486" customWidth="1"/>
    <col min="2562" max="2562" width="5.5546875" style="486" customWidth="1"/>
    <col min="2563" max="2563" width="30.21875" style="486" customWidth="1"/>
    <col min="2564" max="2564" width="4.5546875" style="486" bestFit="1" customWidth="1"/>
    <col min="2565" max="2565" width="41" style="486" customWidth="1"/>
    <col min="2566" max="2567" width="14.5546875" style="486" customWidth="1"/>
    <col min="2568" max="2568" width="16.5546875" style="486" customWidth="1"/>
    <col min="2569" max="2572" width="14.5546875" style="486" customWidth="1"/>
    <col min="2573" max="2574" width="12.5546875" style="486" customWidth="1"/>
    <col min="2575" max="2575" width="16.5546875" style="486" customWidth="1"/>
    <col min="2576" max="2577" width="20.5546875" style="486" customWidth="1"/>
    <col min="2578" max="2578" width="11" style="486" bestFit="1" customWidth="1"/>
    <col min="2579" max="2579" width="17.21875" style="486" customWidth="1"/>
    <col min="2580" max="2580" width="11" style="486" bestFit="1" customWidth="1"/>
    <col min="2581" max="2581" width="8.77734375" style="486" customWidth="1"/>
    <col min="2582" max="2585" width="10.21875" style="486" bestFit="1" customWidth="1"/>
    <col min="2586" max="2587" width="11.21875" style="486" bestFit="1" customWidth="1"/>
    <col min="2588" max="2798" width="8.77734375" style="486" customWidth="1"/>
    <col min="2799" max="2799" width="2.5546875" style="486" customWidth="1"/>
    <col min="2800" max="2800" width="5.5546875" style="486" customWidth="1"/>
    <col min="2801" max="2801" width="23.77734375" style="486" customWidth="1"/>
    <col min="2802" max="2802" width="3.77734375" style="486" customWidth="1"/>
    <col min="2803" max="2803" width="35.77734375" style="486" customWidth="1"/>
    <col min="2804" max="2804" width="22.21875" style="486" customWidth="1"/>
    <col min="2805" max="2805" width="17.77734375" style="486" customWidth="1"/>
    <col min="2806" max="2806" width="19" style="486" customWidth="1"/>
    <col min="2807" max="2807" width="20.77734375" style="486" customWidth="1"/>
    <col min="2808" max="2808" width="16.77734375" style="486" customWidth="1"/>
    <col min="2809" max="2809" width="18.77734375" style="486" customWidth="1"/>
    <col min="2810" max="2816" width="18.5546875" style="486"/>
    <col min="2817" max="2817" width="4" style="486" customWidth="1"/>
    <col min="2818" max="2818" width="5.5546875" style="486" customWidth="1"/>
    <col min="2819" max="2819" width="30.21875" style="486" customWidth="1"/>
    <col min="2820" max="2820" width="4.5546875" style="486" bestFit="1" customWidth="1"/>
    <col min="2821" max="2821" width="41" style="486" customWidth="1"/>
    <col min="2822" max="2823" width="14.5546875" style="486" customWidth="1"/>
    <col min="2824" max="2824" width="16.5546875" style="486" customWidth="1"/>
    <col min="2825" max="2828" width="14.5546875" style="486" customWidth="1"/>
    <col min="2829" max="2830" width="12.5546875" style="486" customWidth="1"/>
    <col min="2831" max="2831" width="16.5546875" style="486" customWidth="1"/>
    <col min="2832" max="2833" width="20.5546875" style="486" customWidth="1"/>
    <col min="2834" max="2834" width="11" style="486" bestFit="1" customWidth="1"/>
    <col min="2835" max="2835" width="17.21875" style="486" customWidth="1"/>
    <col min="2836" max="2836" width="11" style="486" bestFit="1" customWidth="1"/>
    <col min="2837" max="2837" width="8.77734375" style="486" customWidth="1"/>
    <col min="2838" max="2841" width="10.21875" style="486" bestFit="1" customWidth="1"/>
    <col min="2842" max="2843" width="11.21875" style="486" bestFit="1" customWidth="1"/>
    <col min="2844" max="3054" width="8.77734375" style="486" customWidth="1"/>
    <col min="3055" max="3055" width="2.5546875" style="486" customWidth="1"/>
    <col min="3056" max="3056" width="5.5546875" style="486" customWidth="1"/>
    <col min="3057" max="3057" width="23.77734375" style="486" customWidth="1"/>
    <col min="3058" max="3058" width="3.77734375" style="486" customWidth="1"/>
    <col min="3059" max="3059" width="35.77734375" style="486" customWidth="1"/>
    <col min="3060" max="3060" width="22.21875" style="486" customWidth="1"/>
    <col min="3061" max="3061" width="17.77734375" style="486" customWidth="1"/>
    <col min="3062" max="3062" width="19" style="486" customWidth="1"/>
    <col min="3063" max="3063" width="20.77734375" style="486" customWidth="1"/>
    <col min="3064" max="3064" width="16.77734375" style="486" customWidth="1"/>
    <col min="3065" max="3065" width="18.77734375" style="486" customWidth="1"/>
    <col min="3066" max="3072" width="18.5546875" style="486"/>
    <col min="3073" max="3073" width="4" style="486" customWidth="1"/>
    <col min="3074" max="3074" width="5.5546875" style="486" customWidth="1"/>
    <col min="3075" max="3075" width="30.21875" style="486" customWidth="1"/>
    <col min="3076" max="3076" width="4.5546875" style="486" bestFit="1" customWidth="1"/>
    <col min="3077" max="3077" width="41" style="486" customWidth="1"/>
    <col min="3078" max="3079" width="14.5546875" style="486" customWidth="1"/>
    <col min="3080" max="3080" width="16.5546875" style="486" customWidth="1"/>
    <col min="3081" max="3084" width="14.5546875" style="486" customWidth="1"/>
    <col min="3085" max="3086" width="12.5546875" style="486" customWidth="1"/>
    <col min="3087" max="3087" width="16.5546875" style="486" customWidth="1"/>
    <col min="3088" max="3089" width="20.5546875" style="486" customWidth="1"/>
    <col min="3090" max="3090" width="11" style="486" bestFit="1" customWidth="1"/>
    <col min="3091" max="3091" width="17.21875" style="486" customWidth="1"/>
    <col min="3092" max="3092" width="11" style="486" bestFit="1" customWidth="1"/>
    <col min="3093" max="3093" width="8.77734375" style="486" customWidth="1"/>
    <col min="3094" max="3097" width="10.21875" style="486" bestFit="1" customWidth="1"/>
    <col min="3098" max="3099" width="11.21875" style="486" bestFit="1" customWidth="1"/>
    <col min="3100" max="3310" width="8.77734375" style="486" customWidth="1"/>
    <col min="3311" max="3311" width="2.5546875" style="486" customWidth="1"/>
    <col min="3312" max="3312" width="5.5546875" style="486" customWidth="1"/>
    <col min="3313" max="3313" width="23.77734375" style="486" customWidth="1"/>
    <col min="3314" max="3314" width="3.77734375" style="486" customWidth="1"/>
    <col min="3315" max="3315" width="35.77734375" style="486" customWidth="1"/>
    <col min="3316" max="3316" width="22.21875" style="486" customWidth="1"/>
    <col min="3317" max="3317" width="17.77734375" style="486" customWidth="1"/>
    <col min="3318" max="3318" width="19" style="486" customWidth="1"/>
    <col min="3319" max="3319" width="20.77734375" style="486" customWidth="1"/>
    <col min="3320" max="3320" width="16.77734375" style="486" customWidth="1"/>
    <col min="3321" max="3321" width="18.77734375" style="486" customWidth="1"/>
    <col min="3322" max="3328" width="18.5546875" style="486"/>
    <col min="3329" max="3329" width="4" style="486" customWidth="1"/>
    <col min="3330" max="3330" width="5.5546875" style="486" customWidth="1"/>
    <col min="3331" max="3331" width="30.21875" style="486" customWidth="1"/>
    <col min="3332" max="3332" width="4.5546875" style="486" bestFit="1" customWidth="1"/>
    <col min="3333" max="3333" width="41" style="486" customWidth="1"/>
    <col min="3334" max="3335" width="14.5546875" style="486" customWidth="1"/>
    <col min="3336" max="3336" width="16.5546875" style="486" customWidth="1"/>
    <col min="3337" max="3340" width="14.5546875" style="486" customWidth="1"/>
    <col min="3341" max="3342" width="12.5546875" style="486" customWidth="1"/>
    <col min="3343" max="3343" width="16.5546875" style="486" customWidth="1"/>
    <col min="3344" max="3345" width="20.5546875" style="486" customWidth="1"/>
    <col min="3346" max="3346" width="11" style="486" bestFit="1" customWidth="1"/>
    <col min="3347" max="3347" width="17.21875" style="486" customWidth="1"/>
    <col min="3348" max="3348" width="11" style="486" bestFit="1" customWidth="1"/>
    <col min="3349" max="3349" width="8.77734375" style="486" customWidth="1"/>
    <col min="3350" max="3353" width="10.21875" style="486" bestFit="1" customWidth="1"/>
    <col min="3354" max="3355" width="11.21875" style="486" bestFit="1" customWidth="1"/>
    <col min="3356" max="3566" width="8.77734375" style="486" customWidth="1"/>
    <col min="3567" max="3567" width="2.5546875" style="486" customWidth="1"/>
    <col min="3568" max="3568" width="5.5546875" style="486" customWidth="1"/>
    <col min="3569" max="3569" width="23.77734375" style="486" customWidth="1"/>
    <col min="3570" max="3570" width="3.77734375" style="486" customWidth="1"/>
    <col min="3571" max="3571" width="35.77734375" style="486" customWidth="1"/>
    <col min="3572" max="3572" width="22.21875" style="486" customWidth="1"/>
    <col min="3573" max="3573" width="17.77734375" style="486" customWidth="1"/>
    <col min="3574" max="3574" width="19" style="486" customWidth="1"/>
    <col min="3575" max="3575" width="20.77734375" style="486" customWidth="1"/>
    <col min="3576" max="3576" width="16.77734375" style="486" customWidth="1"/>
    <col min="3577" max="3577" width="18.77734375" style="486" customWidth="1"/>
    <col min="3578" max="3584" width="18.5546875" style="486"/>
    <col min="3585" max="3585" width="4" style="486" customWidth="1"/>
    <col min="3586" max="3586" width="5.5546875" style="486" customWidth="1"/>
    <col min="3587" max="3587" width="30.21875" style="486" customWidth="1"/>
    <col min="3588" max="3588" width="4.5546875" style="486" bestFit="1" customWidth="1"/>
    <col min="3589" max="3589" width="41" style="486" customWidth="1"/>
    <col min="3590" max="3591" width="14.5546875" style="486" customWidth="1"/>
    <col min="3592" max="3592" width="16.5546875" style="486" customWidth="1"/>
    <col min="3593" max="3596" width="14.5546875" style="486" customWidth="1"/>
    <col min="3597" max="3598" width="12.5546875" style="486" customWidth="1"/>
    <col min="3599" max="3599" width="16.5546875" style="486" customWidth="1"/>
    <col min="3600" max="3601" width="20.5546875" style="486" customWidth="1"/>
    <col min="3602" max="3602" width="11" style="486" bestFit="1" customWidth="1"/>
    <col min="3603" max="3603" width="17.21875" style="486" customWidth="1"/>
    <col min="3604" max="3604" width="11" style="486" bestFit="1" customWidth="1"/>
    <col min="3605" max="3605" width="8.77734375" style="486" customWidth="1"/>
    <col min="3606" max="3609" width="10.21875" style="486" bestFit="1" customWidth="1"/>
    <col min="3610" max="3611" width="11.21875" style="486" bestFit="1" customWidth="1"/>
    <col min="3612" max="3822" width="8.77734375" style="486" customWidth="1"/>
    <col min="3823" max="3823" width="2.5546875" style="486" customWidth="1"/>
    <col min="3824" max="3824" width="5.5546875" style="486" customWidth="1"/>
    <col min="3825" max="3825" width="23.77734375" style="486" customWidth="1"/>
    <col min="3826" max="3826" width="3.77734375" style="486" customWidth="1"/>
    <col min="3827" max="3827" width="35.77734375" style="486" customWidth="1"/>
    <col min="3828" max="3828" width="22.21875" style="486" customWidth="1"/>
    <col min="3829" max="3829" width="17.77734375" style="486" customWidth="1"/>
    <col min="3830" max="3830" width="19" style="486" customWidth="1"/>
    <col min="3831" max="3831" width="20.77734375" style="486" customWidth="1"/>
    <col min="3832" max="3832" width="16.77734375" style="486" customWidth="1"/>
    <col min="3833" max="3833" width="18.77734375" style="486" customWidth="1"/>
    <col min="3834" max="3840" width="18.5546875" style="486"/>
    <col min="3841" max="3841" width="4" style="486" customWidth="1"/>
    <col min="3842" max="3842" width="5.5546875" style="486" customWidth="1"/>
    <col min="3843" max="3843" width="30.21875" style="486" customWidth="1"/>
    <col min="3844" max="3844" width="4.5546875" style="486" bestFit="1" customWidth="1"/>
    <col min="3845" max="3845" width="41" style="486" customWidth="1"/>
    <col min="3846" max="3847" width="14.5546875" style="486" customWidth="1"/>
    <col min="3848" max="3848" width="16.5546875" style="486" customWidth="1"/>
    <col min="3849" max="3852" width="14.5546875" style="486" customWidth="1"/>
    <col min="3853" max="3854" width="12.5546875" style="486" customWidth="1"/>
    <col min="3855" max="3855" width="16.5546875" style="486" customWidth="1"/>
    <col min="3856" max="3857" width="20.5546875" style="486" customWidth="1"/>
    <col min="3858" max="3858" width="11" style="486" bestFit="1" customWidth="1"/>
    <col min="3859" max="3859" width="17.21875" style="486" customWidth="1"/>
    <col min="3860" max="3860" width="11" style="486" bestFit="1" customWidth="1"/>
    <col min="3861" max="3861" width="8.77734375" style="486" customWidth="1"/>
    <col min="3862" max="3865" width="10.21875" style="486" bestFit="1" customWidth="1"/>
    <col min="3866" max="3867" width="11.21875" style="486" bestFit="1" customWidth="1"/>
    <col min="3868" max="4078" width="8.77734375" style="486" customWidth="1"/>
    <col min="4079" max="4079" width="2.5546875" style="486" customWidth="1"/>
    <col min="4080" max="4080" width="5.5546875" style="486" customWidth="1"/>
    <col min="4081" max="4081" width="23.77734375" style="486" customWidth="1"/>
    <col min="4082" max="4082" width="3.77734375" style="486" customWidth="1"/>
    <col min="4083" max="4083" width="35.77734375" style="486" customWidth="1"/>
    <col min="4084" max="4084" width="22.21875" style="486" customWidth="1"/>
    <col min="4085" max="4085" width="17.77734375" style="486" customWidth="1"/>
    <col min="4086" max="4086" width="19" style="486" customWidth="1"/>
    <col min="4087" max="4087" width="20.77734375" style="486" customWidth="1"/>
    <col min="4088" max="4088" width="16.77734375" style="486" customWidth="1"/>
    <col min="4089" max="4089" width="18.77734375" style="486" customWidth="1"/>
    <col min="4090" max="4096" width="18.5546875" style="486"/>
    <col min="4097" max="4097" width="4" style="486" customWidth="1"/>
    <col min="4098" max="4098" width="5.5546875" style="486" customWidth="1"/>
    <col min="4099" max="4099" width="30.21875" style="486" customWidth="1"/>
    <col min="4100" max="4100" width="4.5546875" style="486" bestFit="1" customWidth="1"/>
    <col min="4101" max="4101" width="41" style="486" customWidth="1"/>
    <col min="4102" max="4103" width="14.5546875" style="486" customWidth="1"/>
    <col min="4104" max="4104" width="16.5546875" style="486" customWidth="1"/>
    <col min="4105" max="4108" width="14.5546875" style="486" customWidth="1"/>
    <col min="4109" max="4110" width="12.5546875" style="486" customWidth="1"/>
    <col min="4111" max="4111" width="16.5546875" style="486" customWidth="1"/>
    <col min="4112" max="4113" width="20.5546875" style="486" customWidth="1"/>
    <col min="4114" max="4114" width="11" style="486" bestFit="1" customWidth="1"/>
    <col min="4115" max="4115" width="17.21875" style="486" customWidth="1"/>
    <col min="4116" max="4116" width="11" style="486" bestFit="1" customWidth="1"/>
    <col min="4117" max="4117" width="8.77734375" style="486" customWidth="1"/>
    <col min="4118" max="4121" width="10.21875" style="486" bestFit="1" customWidth="1"/>
    <col min="4122" max="4123" width="11.21875" style="486" bestFit="1" customWidth="1"/>
    <col min="4124" max="4334" width="8.77734375" style="486" customWidth="1"/>
    <col min="4335" max="4335" width="2.5546875" style="486" customWidth="1"/>
    <col min="4336" max="4336" width="5.5546875" style="486" customWidth="1"/>
    <col min="4337" max="4337" width="23.77734375" style="486" customWidth="1"/>
    <col min="4338" max="4338" width="3.77734375" style="486" customWidth="1"/>
    <col min="4339" max="4339" width="35.77734375" style="486" customWidth="1"/>
    <col min="4340" max="4340" width="22.21875" style="486" customWidth="1"/>
    <col min="4341" max="4341" width="17.77734375" style="486" customWidth="1"/>
    <col min="4342" max="4342" width="19" style="486" customWidth="1"/>
    <col min="4343" max="4343" width="20.77734375" style="486" customWidth="1"/>
    <col min="4344" max="4344" width="16.77734375" style="486" customWidth="1"/>
    <col min="4345" max="4345" width="18.77734375" style="486" customWidth="1"/>
    <col min="4346" max="4352" width="18.5546875" style="486"/>
    <col min="4353" max="4353" width="4" style="486" customWidth="1"/>
    <col min="4354" max="4354" width="5.5546875" style="486" customWidth="1"/>
    <col min="4355" max="4355" width="30.21875" style="486" customWidth="1"/>
    <col min="4356" max="4356" width="4.5546875" style="486" bestFit="1" customWidth="1"/>
    <col min="4357" max="4357" width="41" style="486" customWidth="1"/>
    <col min="4358" max="4359" width="14.5546875" style="486" customWidth="1"/>
    <col min="4360" max="4360" width="16.5546875" style="486" customWidth="1"/>
    <col min="4361" max="4364" width="14.5546875" style="486" customWidth="1"/>
    <col min="4365" max="4366" width="12.5546875" style="486" customWidth="1"/>
    <col min="4367" max="4367" width="16.5546875" style="486" customWidth="1"/>
    <col min="4368" max="4369" width="20.5546875" style="486" customWidth="1"/>
    <col min="4370" max="4370" width="11" style="486" bestFit="1" customWidth="1"/>
    <col min="4371" max="4371" width="17.21875" style="486" customWidth="1"/>
    <col min="4372" max="4372" width="11" style="486" bestFit="1" customWidth="1"/>
    <col min="4373" max="4373" width="8.77734375" style="486" customWidth="1"/>
    <col min="4374" max="4377" width="10.21875" style="486" bestFit="1" customWidth="1"/>
    <col min="4378" max="4379" width="11.21875" style="486" bestFit="1" customWidth="1"/>
    <col min="4380" max="4590" width="8.77734375" style="486" customWidth="1"/>
    <col min="4591" max="4591" width="2.5546875" style="486" customWidth="1"/>
    <col min="4592" max="4592" width="5.5546875" style="486" customWidth="1"/>
    <col min="4593" max="4593" width="23.77734375" style="486" customWidth="1"/>
    <col min="4594" max="4594" width="3.77734375" style="486" customWidth="1"/>
    <col min="4595" max="4595" width="35.77734375" style="486" customWidth="1"/>
    <col min="4596" max="4596" width="22.21875" style="486" customWidth="1"/>
    <col min="4597" max="4597" width="17.77734375" style="486" customWidth="1"/>
    <col min="4598" max="4598" width="19" style="486" customWidth="1"/>
    <col min="4599" max="4599" width="20.77734375" style="486" customWidth="1"/>
    <col min="4600" max="4600" width="16.77734375" style="486" customWidth="1"/>
    <col min="4601" max="4601" width="18.77734375" style="486" customWidth="1"/>
    <col min="4602" max="4608" width="18.5546875" style="486"/>
    <col min="4609" max="4609" width="4" style="486" customWidth="1"/>
    <col min="4610" max="4610" width="5.5546875" style="486" customWidth="1"/>
    <col min="4611" max="4611" width="30.21875" style="486" customWidth="1"/>
    <col min="4612" max="4612" width="4.5546875" style="486" bestFit="1" customWidth="1"/>
    <col min="4613" max="4613" width="41" style="486" customWidth="1"/>
    <col min="4614" max="4615" width="14.5546875" style="486" customWidth="1"/>
    <col min="4616" max="4616" width="16.5546875" style="486" customWidth="1"/>
    <col min="4617" max="4620" width="14.5546875" style="486" customWidth="1"/>
    <col min="4621" max="4622" width="12.5546875" style="486" customWidth="1"/>
    <col min="4623" max="4623" width="16.5546875" style="486" customWidth="1"/>
    <col min="4624" max="4625" width="20.5546875" style="486" customWidth="1"/>
    <col min="4626" max="4626" width="11" style="486" bestFit="1" customWidth="1"/>
    <col min="4627" max="4627" width="17.21875" style="486" customWidth="1"/>
    <col min="4628" max="4628" width="11" style="486" bestFit="1" customWidth="1"/>
    <col min="4629" max="4629" width="8.77734375" style="486" customWidth="1"/>
    <col min="4630" max="4633" width="10.21875" style="486" bestFit="1" customWidth="1"/>
    <col min="4634" max="4635" width="11.21875" style="486" bestFit="1" customWidth="1"/>
    <col min="4636" max="4846" width="8.77734375" style="486" customWidth="1"/>
    <col min="4847" max="4847" width="2.5546875" style="486" customWidth="1"/>
    <col min="4848" max="4848" width="5.5546875" style="486" customWidth="1"/>
    <col min="4849" max="4849" width="23.77734375" style="486" customWidth="1"/>
    <col min="4850" max="4850" width="3.77734375" style="486" customWidth="1"/>
    <col min="4851" max="4851" width="35.77734375" style="486" customWidth="1"/>
    <col min="4852" max="4852" width="22.21875" style="486" customWidth="1"/>
    <col min="4853" max="4853" width="17.77734375" style="486" customWidth="1"/>
    <col min="4854" max="4854" width="19" style="486" customWidth="1"/>
    <col min="4855" max="4855" width="20.77734375" style="486" customWidth="1"/>
    <col min="4856" max="4856" width="16.77734375" style="486" customWidth="1"/>
    <col min="4857" max="4857" width="18.77734375" style="486" customWidth="1"/>
    <col min="4858" max="4864" width="18.5546875" style="486"/>
    <col min="4865" max="4865" width="4" style="486" customWidth="1"/>
    <col min="4866" max="4866" width="5.5546875" style="486" customWidth="1"/>
    <col min="4867" max="4867" width="30.21875" style="486" customWidth="1"/>
    <col min="4868" max="4868" width="4.5546875" style="486" bestFit="1" customWidth="1"/>
    <col min="4869" max="4869" width="41" style="486" customWidth="1"/>
    <col min="4870" max="4871" width="14.5546875" style="486" customWidth="1"/>
    <col min="4872" max="4872" width="16.5546875" style="486" customWidth="1"/>
    <col min="4873" max="4876" width="14.5546875" style="486" customWidth="1"/>
    <col min="4877" max="4878" width="12.5546875" style="486" customWidth="1"/>
    <col min="4879" max="4879" width="16.5546875" style="486" customWidth="1"/>
    <col min="4880" max="4881" width="20.5546875" style="486" customWidth="1"/>
    <col min="4882" max="4882" width="11" style="486" bestFit="1" customWidth="1"/>
    <col min="4883" max="4883" width="17.21875" style="486" customWidth="1"/>
    <col min="4884" max="4884" width="11" style="486" bestFit="1" customWidth="1"/>
    <col min="4885" max="4885" width="8.77734375" style="486" customWidth="1"/>
    <col min="4886" max="4889" width="10.21875" style="486" bestFit="1" customWidth="1"/>
    <col min="4890" max="4891" width="11.21875" style="486" bestFit="1" customWidth="1"/>
    <col min="4892" max="5102" width="8.77734375" style="486" customWidth="1"/>
    <col min="5103" max="5103" width="2.5546875" style="486" customWidth="1"/>
    <col min="5104" max="5104" width="5.5546875" style="486" customWidth="1"/>
    <col min="5105" max="5105" width="23.77734375" style="486" customWidth="1"/>
    <col min="5106" max="5106" width="3.77734375" style="486" customWidth="1"/>
    <col min="5107" max="5107" width="35.77734375" style="486" customWidth="1"/>
    <col min="5108" max="5108" width="22.21875" style="486" customWidth="1"/>
    <col min="5109" max="5109" width="17.77734375" style="486" customWidth="1"/>
    <col min="5110" max="5110" width="19" style="486" customWidth="1"/>
    <col min="5111" max="5111" width="20.77734375" style="486" customWidth="1"/>
    <col min="5112" max="5112" width="16.77734375" style="486" customWidth="1"/>
    <col min="5113" max="5113" width="18.77734375" style="486" customWidth="1"/>
    <col min="5114" max="5120" width="18.5546875" style="486"/>
    <col min="5121" max="5121" width="4" style="486" customWidth="1"/>
    <col min="5122" max="5122" width="5.5546875" style="486" customWidth="1"/>
    <col min="5123" max="5123" width="30.21875" style="486" customWidth="1"/>
    <col min="5124" max="5124" width="4.5546875" style="486" bestFit="1" customWidth="1"/>
    <col min="5125" max="5125" width="41" style="486" customWidth="1"/>
    <col min="5126" max="5127" width="14.5546875" style="486" customWidth="1"/>
    <col min="5128" max="5128" width="16.5546875" style="486" customWidth="1"/>
    <col min="5129" max="5132" width="14.5546875" style="486" customWidth="1"/>
    <col min="5133" max="5134" width="12.5546875" style="486" customWidth="1"/>
    <col min="5135" max="5135" width="16.5546875" style="486" customWidth="1"/>
    <col min="5136" max="5137" width="20.5546875" style="486" customWidth="1"/>
    <col min="5138" max="5138" width="11" style="486" bestFit="1" customWidth="1"/>
    <col min="5139" max="5139" width="17.21875" style="486" customWidth="1"/>
    <col min="5140" max="5140" width="11" style="486" bestFit="1" customWidth="1"/>
    <col min="5141" max="5141" width="8.77734375" style="486" customWidth="1"/>
    <col min="5142" max="5145" width="10.21875" style="486" bestFit="1" customWidth="1"/>
    <col min="5146" max="5147" width="11.21875" style="486" bestFit="1" customWidth="1"/>
    <col min="5148" max="5358" width="8.77734375" style="486" customWidth="1"/>
    <col min="5359" max="5359" width="2.5546875" style="486" customWidth="1"/>
    <col min="5360" max="5360" width="5.5546875" style="486" customWidth="1"/>
    <col min="5361" max="5361" width="23.77734375" style="486" customWidth="1"/>
    <col min="5362" max="5362" width="3.77734375" style="486" customWidth="1"/>
    <col min="5363" max="5363" width="35.77734375" style="486" customWidth="1"/>
    <col min="5364" max="5364" width="22.21875" style="486" customWidth="1"/>
    <col min="5365" max="5365" width="17.77734375" style="486" customWidth="1"/>
    <col min="5366" max="5366" width="19" style="486" customWidth="1"/>
    <col min="5367" max="5367" width="20.77734375" style="486" customWidth="1"/>
    <col min="5368" max="5368" width="16.77734375" style="486" customWidth="1"/>
    <col min="5369" max="5369" width="18.77734375" style="486" customWidth="1"/>
    <col min="5370" max="5376" width="18.5546875" style="486"/>
    <col min="5377" max="5377" width="4" style="486" customWidth="1"/>
    <col min="5378" max="5378" width="5.5546875" style="486" customWidth="1"/>
    <col min="5379" max="5379" width="30.21875" style="486" customWidth="1"/>
    <col min="5380" max="5380" width="4.5546875" style="486" bestFit="1" customWidth="1"/>
    <col min="5381" max="5381" width="41" style="486" customWidth="1"/>
    <col min="5382" max="5383" width="14.5546875" style="486" customWidth="1"/>
    <col min="5384" max="5384" width="16.5546875" style="486" customWidth="1"/>
    <col min="5385" max="5388" width="14.5546875" style="486" customWidth="1"/>
    <col min="5389" max="5390" width="12.5546875" style="486" customWidth="1"/>
    <col min="5391" max="5391" width="16.5546875" style="486" customWidth="1"/>
    <col min="5392" max="5393" width="20.5546875" style="486" customWidth="1"/>
    <col min="5394" max="5394" width="11" style="486" bestFit="1" customWidth="1"/>
    <col min="5395" max="5395" width="17.21875" style="486" customWidth="1"/>
    <col min="5396" max="5396" width="11" style="486" bestFit="1" customWidth="1"/>
    <col min="5397" max="5397" width="8.77734375" style="486" customWidth="1"/>
    <col min="5398" max="5401" width="10.21875" style="486" bestFit="1" customWidth="1"/>
    <col min="5402" max="5403" width="11.21875" style="486" bestFit="1" customWidth="1"/>
    <col min="5404" max="5614" width="8.77734375" style="486" customWidth="1"/>
    <col min="5615" max="5615" width="2.5546875" style="486" customWidth="1"/>
    <col min="5616" max="5616" width="5.5546875" style="486" customWidth="1"/>
    <col min="5617" max="5617" width="23.77734375" style="486" customWidth="1"/>
    <col min="5618" max="5618" width="3.77734375" style="486" customWidth="1"/>
    <col min="5619" max="5619" width="35.77734375" style="486" customWidth="1"/>
    <col min="5620" max="5620" width="22.21875" style="486" customWidth="1"/>
    <col min="5621" max="5621" width="17.77734375" style="486" customWidth="1"/>
    <col min="5622" max="5622" width="19" style="486" customWidth="1"/>
    <col min="5623" max="5623" width="20.77734375" style="486" customWidth="1"/>
    <col min="5624" max="5624" width="16.77734375" style="486" customWidth="1"/>
    <col min="5625" max="5625" width="18.77734375" style="486" customWidth="1"/>
    <col min="5626" max="5632" width="18.5546875" style="486"/>
    <col min="5633" max="5633" width="4" style="486" customWidth="1"/>
    <col min="5634" max="5634" width="5.5546875" style="486" customWidth="1"/>
    <col min="5635" max="5635" width="30.21875" style="486" customWidth="1"/>
    <col min="5636" max="5636" width="4.5546875" style="486" bestFit="1" customWidth="1"/>
    <col min="5637" max="5637" width="41" style="486" customWidth="1"/>
    <col min="5638" max="5639" width="14.5546875" style="486" customWidth="1"/>
    <col min="5640" max="5640" width="16.5546875" style="486" customWidth="1"/>
    <col min="5641" max="5644" width="14.5546875" style="486" customWidth="1"/>
    <col min="5645" max="5646" width="12.5546875" style="486" customWidth="1"/>
    <col min="5647" max="5647" width="16.5546875" style="486" customWidth="1"/>
    <col min="5648" max="5649" width="20.5546875" style="486" customWidth="1"/>
    <col min="5650" max="5650" width="11" style="486" bestFit="1" customWidth="1"/>
    <col min="5651" max="5651" width="17.21875" style="486" customWidth="1"/>
    <col min="5652" max="5652" width="11" style="486" bestFit="1" customWidth="1"/>
    <col min="5653" max="5653" width="8.77734375" style="486" customWidth="1"/>
    <col min="5654" max="5657" width="10.21875" style="486" bestFit="1" customWidth="1"/>
    <col min="5658" max="5659" width="11.21875" style="486" bestFit="1" customWidth="1"/>
    <col min="5660" max="5870" width="8.77734375" style="486" customWidth="1"/>
    <col min="5871" max="5871" width="2.5546875" style="486" customWidth="1"/>
    <col min="5872" max="5872" width="5.5546875" style="486" customWidth="1"/>
    <col min="5873" max="5873" width="23.77734375" style="486" customWidth="1"/>
    <col min="5874" max="5874" width="3.77734375" style="486" customWidth="1"/>
    <col min="5875" max="5875" width="35.77734375" style="486" customWidth="1"/>
    <col min="5876" max="5876" width="22.21875" style="486" customWidth="1"/>
    <col min="5877" max="5877" width="17.77734375" style="486" customWidth="1"/>
    <col min="5878" max="5878" width="19" style="486" customWidth="1"/>
    <col min="5879" max="5879" width="20.77734375" style="486" customWidth="1"/>
    <col min="5880" max="5880" width="16.77734375" style="486" customWidth="1"/>
    <col min="5881" max="5881" width="18.77734375" style="486" customWidth="1"/>
    <col min="5882" max="5888" width="18.5546875" style="486"/>
    <col min="5889" max="5889" width="4" style="486" customWidth="1"/>
    <col min="5890" max="5890" width="5.5546875" style="486" customWidth="1"/>
    <col min="5891" max="5891" width="30.21875" style="486" customWidth="1"/>
    <col min="5892" max="5892" width="4.5546875" style="486" bestFit="1" customWidth="1"/>
    <col min="5893" max="5893" width="41" style="486" customWidth="1"/>
    <col min="5894" max="5895" width="14.5546875" style="486" customWidth="1"/>
    <col min="5896" max="5896" width="16.5546875" style="486" customWidth="1"/>
    <col min="5897" max="5900" width="14.5546875" style="486" customWidth="1"/>
    <col min="5901" max="5902" width="12.5546875" style="486" customWidth="1"/>
    <col min="5903" max="5903" width="16.5546875" style="486" customWidth="1"/>
    <col min="5904" max="5905" width="20.5546875" style="486" customWidth="1"/>
    <col min="5906" max="5906" width="11" style="486" bestFit="1" customWidth="1"/>
    <col min="5907" max="5907" width="17.21875" style="486" customWidth="1"/>
    <col min="5908" max="5908" width="11" style="486" bestFit="1" customWidth="1"/>
    <col min="5909" max="5909" width="8.77734375" style="486" customWidth="1"/>
    <col min="5910" max="5913" width="10.21875" style="486" bestFit="1" customWidth="1"/>
    <col min="5914" max="5915" width="11.21875" style="486" bestFit="1" customWidth="1"/>
    <col min="5916" max="6126" width="8.77734375" style="486" customWidth="1"/>
    <col min="6127" max="6127" width="2.5546875" style="486" customWidth="1"/>
    <col min="6128" max="6128" width="5.5546875" style="486" customWidth="1"/>
    <col min="6129" max="6129" width="23.77734375" style="486" customWidth="1"/>
    <col min="6130" max="6130" width="3.77734375" style="486" customWidth="1"/>
    <col min="6131" max="6131" width="35.77734375" style="486" customWidth="1"/>
    <col min="6132" max="6132" width="22.21875" style="486" customWidth="1"/>
    <col min="6133" max="6133" width="17.77734375" style="486" customWidth="1"/>
    <col min="6134" max="6134" width="19" style="486" customWidth="1"/>
    <col min="6135" max="6135" width="20.77734375" style="486" customWidth="1"/>
    <col min="6136" max="6136" width="16.77734375" style="486" customWidth="1"/>
    <col min="6137" max="6137" width="18.77734375" style="486" customWidth="1"/>
    <col min="6138" max="6144" width="18.5546875" style="486"/>
    <col min="6145" max="6145" width="4" style="486" customWidth="1"/>
    <col min="6146" max="6146" width="5.5546875" style="486" customWidth="1"/>
    <col min="6147" max="6147" width="30.21875" style="486" customWidth="1"/>
    <col min="6148" max="6148" width="4.5546875" style="486" bestFit="1" customWidth="1"/>
    <col min="6149" max="6149" width="41" style="486" customWidth="1"/>
    <col min="6150" max="6151" width="14.5546875" style="486" customWidth="1"/>
    <col min="6152" max="6152" width="16.5546875" style="486" customWidth="1"/>
    <col min="6153" max="6156" width="14.5546875" style="486" customWidth="1"/>
    <col min="6157" max="6158" width="12.5546875" style="486" customWidth="1"/>
    <col min="6159" max="6159" width="16.5546875" style="486" customWidth="1"/>
    <col min="6160" max="6161" width="20.5546875" style="486" customWidth="1"/>
    <col min="6162" max="6162" width="11" style="486" bestFit="1" customWidth="1"/>
    <col min="6163" max="6163" width="17.21875" style="486" customWidth="1"/>
    <col min="6164" max="6164" width="11" style="486" bestFit="1" customWidth="1"/>
    <col min="6165" max="6165" width="8.77734375" style="486" customWidth="1"/>
    <col min="6166" max="6169" width="10.21875" style="486" bestFit="1" customWidth="1"/>
    <col min="6170" max="6171" width="11.21875" style="486" bestFit="1" customWidth="1"/>
    <col min="6172" max="6382" width="8.77734375" style="486" customWidth="1"/>
    <col min="6383" max="6383" width="2.5546875" style="486" customWidth="1"/>
    <col min="6384" max="6384" width="5.5546875" style="486" customWidth="1"/>
    <col min="6385" max="6385" width="23.77734375" style="486" customWidth="1"/>
    <col min="6386" max="6386" width="3.77734375" style="486" customWidth="1"/>
    <col min="6387" max="6387" width="35.77734375" style="486" customWidth="1"/>
    <col min="6388" max="6388" width="22.21875" style="486" customWidth="1"/>
    <col min="6389" max="6389" width="17.77734375" style="486" customWidth="1"/>
    <col min="6390" max="6390" width="19" style="486" customWidth="1"/>
    <col min="6391" max="6391" width="20.77734375" style="486" customWidth="1"/>
    <col min="6392" max="6392" width="16.77734375" style="486" customWidth="1"/>
    <col min="6393" max="6393" width="18.77734375" style="486" customWidth="1"/>
    <col min="6394" max="6400" width="18.5546875" style="486"/>
    <col min="6401" max="6401" width="4" style="486" customWidth="1"/>
    <col min="6402" max="6402" width="5.5546875" style="486" customWidth="1"/>
    <col min="6403" max="6403" width="30.21875" style="486" customWidth="1"/>
    <col min="6404" max="6404" width="4.5546875" style="486" bestFit="1" customWidth="1"/>
    <col min="6405" max="6405" width="41" style="486" customWidth="1"/>
    <col min="6406" max="6407" width="14.5546875" style="486" customWidth="1"/>
    <col min="6408" max="6408" width="16.5546875" style="486" customWidth="1"/>
    <col min="6409" max="6412" width="14.5546875" style="486" customWidth="1"/>
    <col min="6413" max="6414" width="12.5546875" style="486" customWidth="1"/>
    <col min="6415" max="6415" width="16.5546875" style="486" customWidth="1"/>
    <col min="6416" max="6417" width="20.5546875" style="486" customWidth="1"/>
    <col min="6418" max="6418" width="11" style="486" bestFit="1" customWidth="1"/>
    <col min="6419" max="6419" width="17.21875" style="486" customWidth="1"/>
    <col min="6420" max="6420" width="11" style="486" bestFit="1" customWidth="1"/>
    <col min="6421" max="6421" width="8.77734375" style="486" customWidth="1"/>
    <col min="6422" max="6425" width="10.21875" style="486" bestFit="1" customWidth="1"/>
    <col min="6426" max="6427" width="11.21875" style="486" bestFit="1" customWidth="1"/>
    <col min="6428" max="6638" width="8.77734375" style="486" customWidth="1"/>
    <col min="6639" max="6639" width="2.5546875" style="486" customWidth="1"/>
    <col min="6640" max="6640" width="5.5546875" style="486" customWidth="1"/>
    <col min="6641" max="6641" width="23.77734375" style="486" customWidth="1"/>
    <col min="6642" max="6642" width="3.77734375" style="486" customWidth="1"/>
    <col min="6643" max="6643" width="35.77734375" style="486" customWidth="1"/>
    <col min="6644" max="6644" width="22.21875" style="486" customWidth="1"/>
    <col min="6645" max="6645" width="17.77734375" style="486" customWidth="1"/>
    <col min="6646" max="6646" width="19" style="486" customWidth="1"/>
    <col min="6647" max="6647" width="20.77734375" style="486" customWidth="1"/>
    <col min="6648" max="6648" width="16.77734375" style="486" customWidth="1"/>
    <col min="6649" max="6649" width="18.77734375" style="486" customWidth="1"/>
    <col min="6650" max="6656" width="18.5546875" style="486"/>
    <col min="6657" max="6657" width="4" style="486" customWidth="1"/>
    <col min="6658" max="6658" width="5.5546875" style="486" customWidth="1"/>
    <col min="6659" max="6659" width="30.21875" style="486" customWidth="1"/>
    <col min="6660" max="6660" width="4.5546875" style="486" bestFit="1" customWidth="1"/>
    <col min="6661" max="6661" width="41" style="486" customWidth="1"/>
    <col min="6662" max="6663" width="14.5546875" style="486" customWidth="1"/>
    <col min="6664" max="6664" width="16.5546875" style="486" customWidth="1"/>
    <col min="6665" max="6668" width="14.5546875" style="486" customWidth="1"/>
    <col min="6669" max="6670" width="12.5546875" style="486" customWidth="1"/>
    <col min="6671" max="6671" width="16.5546875" style="486" customWidth="1"/>
    <col min="6672" max="6673" width="20.5546875" style="486" customWidth="1"/>
    <col min="6674" max="6674" width="11" style="486" bestFit="1" customWidth="1"/>
    <col min="6675" max="6675" width="17.21875" style="486" customWidth="1"/>
    <col min="6676" max="6676" width="11" style="486" bestFit="1" customWidth="1"/>
    <col min="6677" max="6677" width="8.77734375" style="486" customWidth="1"/>
    <col min="6678" max="6681" width="10.21875" style="486" bestFit="1" customWidth="1"/>
    <col min="6682" max="6683" width="11.21875" style="486" bestFit="1" customWidth="1"/>
    <col min="6684" max="6894" width="8.77734375" style="486" customWidth="1"/>
    <col min="6895" max="6895" width="2.5546875" style="486" customWidth="1"/>
    <col min="6896" max="6896" width="5.5546875" style="486" customWidth="1"/>
    <col min="6897" max="6897" width="23.77734375" style="486" customWidth="1"/>
    <col min="6898" max="6898" width="3.77734375" style="486" customWidth="1"/>
    <col min="6899" max="6899" width="35.77734375" style="486" customWidth="1"/>
    <col min="6900" max="6900" width="22.21875" style="486" customWidth="1"/>
    <col min="6901" max="6901" width="17.77734375" style="486" customWidth="1"/>
    <col min="6902" max="6902" width="19" style="486" customWidth="1"/>
    <col min="6903" max="6903" width="20.77734375" style="486" customWidth="1"/>
    <col min="6904" max="6904" width="16.77734375" style="486" customWidth="1"/>
    <col min="6905" max="6905" width="18.77734375" style="486" customWidth="1"/>
    <col min="6906" max="6912" width="18.5546875" style="486"/>
    <col min="6913" max="6913" width="4" style="486" customWidth="1"/>
    <col min="6914" max="6914" width="5.5546875" style="486" customWidth="1"/>
    <col min="6915" max="6915" width="30.21875" style="486" customWidth="1"/>
    <col min="6916" max="6916" width="4.5546875" style="486" bestFit="1" customWidth="1"/>
    <col min="6917" max="6917" width="41" style="486" customWidth="1"/>
    <col min="6918" max="6919" width="14.5546875" style="486" customWidth="1"/>
    <col min="6920" max="6920" width="16.5546875" style="486" customWidth="1"/>
    <col min="6921" max="6924" width="14.5546875" style="486" customWidth="1"/>
    <col min="6925" max="6926" width="12.5546875" style="486" customWidth="1"/>
    <col min="6927" max="6927" width="16.5546875" style="486" customWidth="1"/>
    <col min="6928" max="6929" width="20.5546875" style="486" customWidth="1"/>
    <col min="6930" max="6930" width="11" style="486" bestFit="1" customWidth="1"/>
    <col min="6931" max="6931" width="17.21875" style="486" customWidth="1"/>
    <col min="6932" max="6932" width="11" style="486" bestFit="1" customWidth="1"/>
    <col min="6933" max="6933" width="8.77734375" style="486" customWidth="1"/>
    <col min="6934" max="6937" width="10.21875" style="486" bestFit="1" customWidth="1"/>
    <col min="6938" max="6939" width="11.21875" style="486" bestFit="1" customWidth="1"/>
    <col min="6940" max="7150" width="8.77734375" style="486" customWidth="1"/>
    <col min="7151" max="7151" width="2.5546875" style="486" customWidth="1"/>
    <col min="7152" max="7152" width="5.5546875" style="486" customWidth="1"/>
    <col min="7153" max="7153" width="23.77734375" style="486" customWidth="1"/>
    <col min="7154" max="7154" width="3.77734375" style="486" customWidth="1"/>
    <col min="7155" max="7155" width="35.77734375" style="486" customWidth="1"/>
    <col min="7156" max="7156" width="22.21875" style="486" customWidth="1"/>
    <col min="7157" max="7157" width="17.77734375" style="486" customWidth="1"/>
    <col min="7158" max="7158" width="19" style="486" customWidth="1"/>
    <col min="7159" max="7159" width="20.77734375" style="486" customWidth="1"/>
    <col min="7160" max="7160" width="16.77734375" style="486" customWidth="1"/>
    <col min="7161" max="7161" width="18.77734375" style="486" customWidth="1"/>
    <col min="7162" max="7168" width="18.5546875" style="486"/>
    <col min="7169" max="7169" width="4" style="486" customWidth="1"/>
    <col min="7170" max="7170" width="5.5546875" style="486" customWidth="1"/>
    <col min="7171" max="7171" width="30.21875" style="486" customWidth="1"/>
    <col min="7172" max="7172" width="4.5546875" style="486" bestFit="1" customWidth="1"/>
    <col min="7173" max="7173" width="41" style="486" customWidth="1"/>
    <col min="7174" max="7175" width="14.5546875" style="486" customWidth="1"/>
    <col min="7176" max="7176" width="16.5546875" style="486" customWidth="1"/>
    <col min="7177" max="7180" width="14.5546875" style="486" customWidth="1"/>
    <col min="7181" max="7182" width="12.5546875" style="486" customWidth="1"/>
    <col min="7183" max="7183" width="16.5546875" style="486" customWidth="1"/>
    <col min="7184" max="7185" width="20.5546875" style="486" customWidth="1"/>
    <col min="7186" max="7186" width="11" style="486" bestFit="1" customWidth="1"/>
    <col min="7187" max="7187" width="17.21875" style="486" customWidth="1"/>
    <col min="7188" max="7188" width="11" style="486" bestFit="1" customWidth="1"/>
    <col min="7189" max="7189" width="8.77734375" style="486" customWidth="1"/>
    <col min="7190" max="7193" width="10.21875" style="486" bestFit="1" customWidth="1"/>
    <col min="7194" max="7195" width="11.21875" style="486" bestFit="1" customWidth="1"/>
    <col min="7196" max="7406" width="8.77734375" style="486" customWidth="1"/>
    <col min="7407" max="7407" width="2.5546875" style="486" customWidth="1"/>
    <col min="7408" max="7408" width="5.5546875" style="486" customWidth="1"/>
    <col min="7409" max="7409" width="23.77734375" style="486" customWidth="1"/>
    <col min="7410" max="7410" width="3.77734375" style="486" customWidth="1"/>
    <col min="7411" max="7411" width="35.77734375" style="486" customWidth="1"/>
    <col min="7412" max="7412" width="22.21875" style="486" customWidth="1"/>
    <col min="7413" max="7413" width="17.77734375" style="486" customWidth="1"/>
    <col min="7414" max="7414" width="19" style="486" customWidth="1"/>
    <col min="7415" max="7415" width="20.77734375" style="486" customWidth="1"/>
    <col min="7416" max="7416" width="16.77734375" style="486" customWidth="1"/>
    <col min="7417" max="7417" width="18.77734375" style="486" customWidth="1"/>
    <col min="7418" max="7424" width="18.5546875" style="486"/>
    <col min="7425" max="7425" width="4" style="486" customWidth="1"/>
    <col min="7426" max="7426" width="5.5546875" style="486" customWidth="1"/>
    <col min="7427" max="7427" width="30.21875" style="486" customWidth="1"/>
    <col min="7428" max="7428" width="4.5546875" style="486" bestFit="1" customWidth="1"/>
    <col min="7429" max="7429" width="41" style="486" customWidth="1"/>
    <col min="7430" max="7431" width="14.5546875" style="486" customWidth="1"/>
    <col min="7432" max="7432" width="16.5546875" style="486" customWidth="1"/>
    <col min="7433" max="7436" width="14.5546875" style="486" customWidth="1"/>
    <col min="7437" max="7438" width="12.5546875" style="486" customWidth="1"/>
    <col min="7439" max="7439" width="16.5546875" style="486" customWidth="1"/>
    <col min="7440" max="7441" width="20.5546875" style="486" customWidth="1"/>
    <col min="7442" max="7442" width="11" style="486" bestFit="1" customWidth="1"/>
    <col min="7443" max="7443" width="17.21875" style="486" customWidth="1"/>
    <col min="7444" max="7444" width="11" style="486" bestFit="1" customWidth="1"/>
    <col min="7445" max="7445" width="8.77734375" style="486" customWidth="1"/>
    <col min="7446" max="7449" width="10.21875" style="486" bestFit="1" customWidth="1"/>
    <col min="7450" max="7451" width="11.21875" style="486" bestFit="1" customWidth="1"/>
    <col min="7452" max="7662" width="8.77734375" style="486" customWidth="1"/>
    <col min="7663" max="7663" width="2.5546875" style="486" customWidth="1"/>
    <col min="7664" max="7664" width="5.5546875" style="486" customWidth="1"/>
    <col min="7665" max="7665" width="23.77734375" style="486" customWidth="1"/>
    <col min="7666" max="7666" width="3.77734375" style="486" customWidth="1"/>
    <col min="7667" max="7667" width="35.77734375" style="486" customWidth="1"/>
    <col min="7668" max="7668" width="22.21875" style="486" customWidth="1"/>
    <col min="7669" max="7669" width="17.77734375" style="486" customWidth="1"/>
    <col min="7670" max="7670" width="19" style="486" customWidth="1"/>
    <col min="7671" max="7671" width="20.77734375" style="486" customWidth="1"/>
    <col min="7672" max="7672" width="16.77734375" style="486" customWidth="1"/>
    <col min="7673" max="7673" width="18.77734375" style="486" customWidth="1"/>
    <col min="7674" max="7680" width="18.5546875" style="486"/>
    <col min="7681" max="7681" width="4" style="486" customWidth="1"/>
    <col min="7682" max="7682" width="5.5546875" style="486" customWidth="1"/>
    <col min="7683" max="7683" width="30.21875" style="486" customWidth="1"/>
    <col min="7684" max="7684" width="4.5546875" style="486" bestFit="1" customWidth="1"/>
    <col min="7685" max="7685" width="41" style="486" customWidth="1"/>
    <col min="7686" max="7687" width="14.5546875" style="486" customWidth="1"/>
    <col min="7688" max="7688" width="16.5546875" style="486" customWidth="1"/>
    <col min="7689" max="7692" width="14.5546875" style="486" customWidth="1"/>
    <col min="7693" max="7694" width="12.5546875" style="486" customWidth="1"/>
    <col min="7695" max="7695" width="16.5546875" style="486" customWidth="1"/>
    <col min="7696" max="7697" width="20.5546875" style="486" customWidth="1"/>
    <col min="7698" max="7698" width="11" style="486" bestFit="1" customWidth="1"/>
    <col min="7699" max="7699" width="17.21875" style="486" customWidth="1"/>
    <col min="7700" max="7700" width="11" style="486" bestFit="1" customWidth="1"/>
    <col min="7701" max="7701" width="8.77734375" style="486" customWidth="1"/>
    <col min="7702" max="7705" width="10.21875" style="486" bestFit="1" customWidth="1"/>
    <col min="7706" max="7707" width="11.21875" style="486" bestFit="1" customWidth="1"/>
    <col min="7708" max="7918" width="8.77734375" style="486" customWidth="1"/>
    <col min="7919" max="7919" width="2.5546875" style="486" customWidth="1"/>
    <col min="7920" max="7920" width="5.5546875" style="486" customWidth="1"/>
    <col min="7921" max="7921" width="23.77734375" style="486" customWidth="1"/>
    <col min="7922" max="7922" width="3.77734375" style="486" customWidth="1"/>
    <col min="7923" max="7923" width="35.77734375" style="486" customWidth="1"/>
    <col min="7924" max="7924" width="22.21875" style="486" customWidth="1"/>
    <col min="7925" max="7925" width="17.77734375" style="486" customWidth="1"/>
    <col min="7926" max="7926" width="19" style="486" customWidth="1"/>
    <col min="7927" max="7927" width="20.77734375" style="486" customWidth="1"/>
    <col min="7928" max="7928" width="16.77734375" style="486" customWidth="1"/>
    <col min="7929" max="7929" width="18.77734375" style="486" customWidth="1"/>
    <col min="7930" max="7936" width="18.5546875" style="486"/>
    <col min="7937" max="7937" width="4" style="486" customWidth="1"/>
    <col min="7938" max="7938" width="5.5546875" style="486" customWidth="1"/>
    <col min="7939" max="7939" width="30.21875" style="486" customWidth="1"/>
    <col min="7940" max="7940" width="4.5546875" style="486" bestFit="1" customWidth="1"/>
    <col min="7941" max="7941" width="41" style="486" customWidth="1"/>
    <col min="7942" max="7943" width="14.5546875" style="486" customWidth="1"/>
    <col min="7944" max="7944" width="16.5546875" style="486" customWidth="1"/>
    <col min="7945" max="7948" width="14.5546875" style="486" customWidth="1"/>
    <col min="7949" max="7950" width="12.5546875" style="486" customWidth="1"/>
    <col min="7951" max="7951" width="16.5546875" style="486" customWidth="1"/>
    <col min="7952" max="7953" width="20.5546875" style="486" customWidth="1"/>
    <col min="7954" max="7954" width="11" style="486" bestFit="1" customWidth="1"/>
    <col min="7955" max="7955" width="17.21875" style="486" customWidth="1"/>
    <col min="7956" max="7956" width="11" style="486" bestFit="1" customWidth="1"/>
    <col min="7957" max="7957" width="8.77734375" style="486" customWidth="1"/>
    <col min="7958" max="7961" width="10.21875" style="486" bestFit="1" customWidth="1"/>
    <col min="7962" max="7963" width="11.21875" style="486" bestFit="1" customWidth="1"/>
    <col min="7964" max="8174" width="8.77734375" style="486" customWidth="1"/>
    <col min="8175" max="8175" width="2.5546875" style="486" customWidth="1"/>
    <col min="8176" max="8176" width="5.5546875" style="486" customWidth="1"/>
    <col min="8177" max="8177" width="23.77734375" style="486" customWidth="1"/>
    <col min="8178" max="8178" width="3.77734375" style="486" customWidth="1"/>
    <col min="8179" max="8179" width="35.77734375" style="486" customWidth="1"/>
    <col min="8180" max="8180" width="22.21875" style="486" customWidth="1"/>
    <col min="8181" max="8181" width="17.77734375" style="486" customWidth="1"/>
    <col min="8182" max="8182" width="19" style="486" customWidth="1"/>
    <col min="8183" max="8183" width="20.77734375" style="486" customWidth="1"/>
    <col min="8184" max="8184" width="16.77734375" style="486" customWidth="1"/>
    <col min="8185" max="8185" width="18.77734375" style="486" customWidth="1"/>
    <col min="8186" max="8192" width="18.5546875" style="486"/>
    <col min="8193" max="8193" width="4" style="486" customWidth="1"/>
    <col min="8194" max="8194" width="5.5546875" style="486" customWidth="1"/>
    <col min="8195" max="8195" width="30.21875" style="486" customWidth="1"/>
    <col min="8196" max="8196" width="4.5546875" style="486" bestFit="1" customWidth="1"/>
    <col min="8197" max="8197" width="41" style="486" customWidth="1"/>
    <col min="8198" max="8199" width="14.5546875" style="486" customWidth="1"/>
    <col min="8200" max="8200" width="16.5546875" style="486" customWidth="1"/>
    <col min="8201" max="8204" width="14.5546875" style="486" customWidth="1"/>
    <col min="8205" max="8206" width="12.5546875" style="486" customWidth="1"/>
    <col min="8207" max="8207" width="16.5546875" style="486" customWidth="1"/>
    <col min="8208" max="8209" width="20.5546875" style="486" customWidth="1"/>
    <col min="8210" max="8210" width="11" style="486" bestFit="1" customWidth="1"/>
    <col min="8211" max="8211" width="17.21875" style="486" customWidth="1"/>
    <col min="8212" max="8212" width="11" style="486" bestFit="1" customWidth="1"/>
    <col min="8213" max="8213" width="8.77734375" style="486" customWidth="1"/>
    <col min="8214" max="8217" width="10.21875" style="486" bestFit="1" customWidth="1"/>
    <col min="8218" max="8219" width="11.21875" style="486" bestFit="1" customWidth="1"/>
    <col min="8220" max="8430" width="8.77734375" style="486" customWidth="1"/>
    <col min="8431" max="8431" width="2.5546875" style="486" customWidth="1"/>
    <col min="8432" max="8432" width="5.5546875" style="486" customWidth="1"/>
    <col min="8433" max="8433" width="23.77734375" style="486" customWidth="1"/>
    <col min="8434" max="8434" width="3.77734375" style="486" customWidth="1"/>
    <col min="8435" max="8435" width="35.77734375" style="486" customWidth="1"/>
    <col min="8436" max="8436" width="22.21875" style="486" customWidth="1"/>
    <col min="8437" max="8437" width="17.77734375" style="486" customWidth="1"/>
    <col min="8438" max="8438" width="19" style="486" customWidth="1"/>
    <col min="8439" max="8439" width="20.77734375" style="486" customWidth="1"/>
    <col min="8440" max="8440" width="16.77734375" style="486" customWidth="1"/>
    <col min="8441" max="8441" width="18.77734375" style="486" customWidth="1"/>
    <col min="8442" max="8448" width="18.5546875" style="486"/>
    <col min="8449" max="8449" width="4" style="486" customWidth="1"/>
    <col min="8450" max="8450" width="5.5546875" style="486" customWidth="1"/>
    <col min="8451" max="8451" width="30.21875" style="486" customWidth="1"/>
    <col min="8452" max="8452" width="4.5546875" style="486" bestFit="1" customWidth="1"/>
    <col min="8453" max="8453" width="41" style="486" customWidth="1"/>
    <col min="8454" max="8455" width="14.5546875" style="486" customWidth="1"/>
    <col min="8456" max="8456" width="16.5546875" style="486" customWidth="1"/>
    <col min="8457" max="8460" width="14.5546875" style="486" customWidth="1"/>
    <col min="8461" max="8462" width="12.5546875" style="486" customWidth="1"/>
    <col min="8463" max="8463" width="16.5546875" style="486" customWidth="1"/>
    <col min="8464" max="8465" width="20.5546875" style="486" customWidth="1"/>
    <col min="8466" max="8466" width="11" style="486" bestFit="1" customWidth="1"/>
    <col min="8467" max="8467" width="17.21875" style="486" customWidth="1"/>
    <col min="8468" max="8468" width="11" style="486" bestFit="1" customWidth="1"/>
    <col min="8469" max="8469" width="8.77734375" style="486" customWidth="1"/>
    <col min="8470" max="8473" width="10.21875" style="486" bestFit="1" customWidth="1"/>
    <col min="8474" max="8475" width="11.21875" style="486" bestFit="1" customWidth="1"/>
    <col min="8476" max="8686" width="8.77734375" style="486" customWidth="1"/>
    <col min="8687" max="8687" width="2.5546875" style="486" customWidth="1"/>
    <col min="8688" max="8688" width="5.5546875" style="486" customWidth="1"/>
    <col min="8689" max="8689" width="23.77734375" style="486" customWidth="1"/>
    <col min="8690" max="8690" width="3.77734375" style="486" customWidth="1"/>
    <col min="8691" max="8691" width="35.77734375" style="486" customWidth="1"/>
    <col min="8692" max="8692" width="22.21875" style="486" customWidth="1"/>
    <col min="8693" max="8693" width="17.77734375" style="486" customWidth="1"/>
    <col min="8694" max="8694" width="19" style="486" customWidth="1"/>
    <col min="8695" max="8695" width="20.77734375" style="486" customWidth="1"/>
    <col min="8696" max="8696" width="16.77734375" style="486" customWidth="1"/>
    <col min="8697" max="8697" width="18.77734375" style="486" customWidth="1"/>
    <col min="8698" max="8704" width="18.5546875" style="486"/>
    <col min="8705" max="8705" width="4" style="486" customWidth="1"/>
    <col min="8706" max="8706" width="5.5546875" style="486" customWidth="1"/>
    <col min="8707" max="8707" width="30.21875" style="486" customWidth="1"/>
    <col min="8708" max="8708" width="4.5546875" style="486" bestFit="1" customWidth="1"/>
    <col min="8709" max="8709" width="41" style="486" customWidth="1"/>
    <col min="8710" max="8711" width="14.5546875" style="486" customWidth="1"/>
    <col min="8712" max="8712" width="16.5546875" style="486" customWidth="1"/>
    <col min="8713" max="8716" width="14.5546875" style="486" customWidth="1"/>
    <col min="8717" max="8718" width="12.5546875" style="486" customWidth="1"/>
    <col min="8719" max="8719" width="16.5546875" style="486" customWidth="1"/>
    <col min="8720" max="8721" width="20.5546875" style="486" customWidth="1"/>
    <col min="8722" max="8722" width="11" style="486" bestFit="1" customWidth="1"/>
    <col min="8723" max="8723" width="17.21875" style="486" customWidth="1"/>
    <col min="8724" max="8724" width="11" style="486" bestFit="1" customWidth="1"/>
    <col min="8725" max="8725" width="8.77734375" style="486" customWidth="1"/>
    <col min="8726" max="8729" width="10.21875" style="486" bestFit="1" customWidth="1"/>
    <col min="8730" max="8731" width="11.21875" style="486" bestFit="1" customWidth="1"/>
    <col min="8732" max="8942" width="8.77734375" style="486" customWidth="1"/>
    <col min="8943" max="8943" width="2.5546875" style="486" customWidth="1"/>
    <col min="8944" max="8944" width="5.5546875" style="486" customWidth="1"/>
    <col min="8945" max="8945" width="23.77734375" style="486" customWidth="1"/>
    <col min="8946" max="8946" width="3.77734375" style="486" customWidth="1"/>
    <col min="8947" max="8947" width="35.77734375" style="486" customWidth="1"/>
    <col min="8948" max="8948" width="22.21875" style="486" customWidth="1"/>
    <col min="8949" max="8949" width="17.77734375" style="486" customWidth="1"/>
    <col min="8950" max="8950" width="19" style="486" customWidth="1"/>
    <col min="8951" max="8951" width="20.77734375" style="486" customWidth="1"/>
    <col min="8952" max="8952" width="16.77734375" style="486" customWidth="1"/>
    <col min="8953" max="8953" width="18.77734375" style="486" customWidth="1"/>
    <col min="8954" max="8960" width="18.5546875" style="486"/>
    <col min="8961" max="8961" width="4" style="486" customWidth="1"/>
    <col min="8962" max="8962" width="5.5546875" style="486" customWidth="1"/>
    <col min="8963" max="8963" width="30.21875" style="486" customWidth="1"/>
    <col min="8964" max="8964" width="4.5546875" style="486" bestFit="1" customWidth="1"/>
    <col min="8965" max="8965" width="41" style="486" customWidth="1"/>
    <col min="8966" max="8967" width="14.5546875" style="486" customWidth="1"/>
    <col min="8968" max="8968" width="16.5546875" style="486" customWidth="1"/>
    <col min="8969" max="8972" width="14.5546875" style="486" customWidth="1"/>
    <col min="8973" max="8974" width="12.5546875" style="486" customWidth="1"/>
    <col min="8975" max="8975" width="16.5546875" style="486" customWidth="1"/>
    <col min="8976" max="8977" width="20.5546875" style="486" customWidth="1"/>
    <col min="8978" max="8978" width="11" style="486" bestFit="1" customWidth="1"/>
    <col min="8979" max="8979" width="17.21875" style="486" customWidth="1"/>
    <col min="8980" max="8980" width="11" style="486" bestFit="1" customWidth="1"/>
    <col min="8981" max="8981" width="8.77734375" style="486" customWidth="1"/>
    <col min="8982" max="8985" width="10.21875" style="486" bestFit="1" customWidth="1"/>
    <col min="8986" max="8987" width="11.21875" style="486" bestFit="1" customWidth="1"/>
    <col min="8988" max="9198" width="8.77734375" style="486" customWidth="1"/>
    <col min="9199" max="9199" width="2.5546875" style="486" customWidth="1"/>
    <col min="9200" max="9200" width="5.5546875" style="486" customWidth="1"/>
    <col min="9201" max="9201" width="23.77734375" style="486" customWidth="1"/>
    <col min="9202" max="9202" width="3.77734375" style="486" customWidth="1"/>
    <col min="9203" max="9203" width="35.77734375" style="486" customWidth="1"/>
    <col min="9204" max="9204" width="22.21875" style="486" customWidth="1"/>
    <col min="9205" max="9205" width="17.77734375" style="486" customWidth="1"/>
    <col min="9206" max="9206" width="19" style="486" customWidth="1"/>
    <col min="9207" max="9207" width="20.77734375" style="486" customWidth="1"/>
    <col min="9208" max="9208" width="16.77734375" style="486" customWidth="1"/>
    <col min="9209" max="9209" width="18.77734375" style="486" customWidth="1"/>
    <col min="9210" max="9216" width="18.5546875" style="486"/>
    <col min="9217" max="9217" width="4" style="486" customWidth="1"/>
    <col min="9218" max="9218" width="5.5546875" style="486" customWidth="1"/>
    <col min="9219" max="9219" width="30.21875" style="486" customWidth="1"/>
    <col min="9220" max="9220" width="4.5546875" style="486" bestFit="1" customWidth="1"/>
    <col min="9221" max="9221" width="41" style="486" customWidth="1"/>
    <col min="9222" max="9223" width="14.5546875" style="486" customWidth="1"/>
    <col min="9224" max="9224" width="16.5546875" style="486" customWidth="1"/>
    <col min="9225" max="9228" width="14.5546875" style="486" customWidth="1"/>
    <col min="9229" max="9230" width="12.5546875" style="486" customWidth="1"/>
    <col min="9231" max="9231" width="16.5546875" style="486" customWidth="1"/>
    <col min="9232" max="9233" width="20.5546875" style="486" customWidth="1"/>
    <col min="9234" max="9234" width="11" style="486" bestFit="1" customWidth="1"/>
    <col min="9235" max="9235" width="17.21875" style="486" customWidth="1"/>
    <col min="9236" max="9236" width="11" style="486" bestFit="1" customWidth="1"/>
    <col min="9237" max="9237" width="8.77734375" style="486" customWidth="1"/>
    <col min="9238" max="9241" width="10.21875" style="486" bestFit="1" customWidth="1"/>
    <col min="9242" max="9243" width="11.21875" style="486" bestFit="1" customWidth="1"/>
    <col min="9244" max="9454" width="8.77734375" style="486" customWidth="1"/>
    <col min="9455" max="9455" width="2.5546875" style="486" customWidth="1"/>
    <col min="9456" max="9456" width="5.5546875" style="486" customWidth="1"/>
    <col min="9457" max="9457" width="23.77734375" style="486" customWidth="1"/>
    <col min="9458" max="9458" width="3.77734375" style="486" customWidth="1"/>
    <col min="9459" max="9459" width="35.77734375" style="486" customWidth="1"/>
    <col min="9460" max="9460" width="22.21875" style="486" customWidth="1"/>
    <col min="9461" max="9461" width="17.77734375" style="486" customWidth="1"/>
    <col min="9462" max="9462" width="19" style="486" customWidth="1"/>
    <col min="9463" max="9463" width="20.77734375" style="486" customWidth="1"/>
    <col min="9464" max="9464" width="16.77734375" style="486" customWidth="1"/>
    <col min="9465" max="9465" width="18.77734375" style="486" customWidth="1"/>
    <col min="9466" max="9472" width="18.5546875" style="486"/>
    <col min="9473" max="9473" width="4" style="486" customWidth="1"/>
    <col min="9474" max="9474" width="5.5546875" style="486" customWidth="1"/>
    <col min="9475" max="9475" width="30.21875" style="486" customWidth="1"/>
    <col min="9476" max="9476" width="4.5546875" style="486" bestFit="1" customWidth="1"/>
    <col min="9477" max="9477" width="41" style="486" customWidth="1"/>
    <col min="9478" max="9479" width="14.5546875" style="486" customWidth="1"/>
    <col min="9480" max="9480" width="16.5546875" style="486" customWidth="1"/>
    <col min="9481" max="9484" width="14.5546875" style="486" customWidth="1"/>
    <col min="9485" max="9486" width="12.5546875" style="486" customWidth="1"/>
    <col min="9487" max="9487" width="16.5546875" style="486" customWidth="1"/>
    <col min="9488" max="9489" width="20.5546875" style="486" customWidth="1"/>
    <col min="9490" max="9490" width="11" style="486" bestFit="1" customWidth="1"/>
    <col min="9491" max="9491" width="17.21875" style="486" customWidth="1"/>
    <col min="9492" max="9492" width="11" style="486" bestFit="1" customWidth="1"/>
    <col min="9493" max="9493" width="8.77734375" style="486" customWidth="1"/>
    <col min="9494" max="9497" width="10.21875" style="486" bestFit="1" customWidth="1"/>
    <col min="9498" max="9499" width="11.21875" style="486" bestFit="1" customWidth="1"/>
    <col min="9500" max="9710" width="8.77734375" style="486" customWidth="1"/>
    <col min="9711" max="9711" width="2.5546875" style="486" customWidth="1"/>
    <col min="9712" max="9712" width="5.5546875" style="486" customWidth="1"/>
    <col min="9713" max="9713" width="23.77734375" style="486" customWidth="1"/>
    <col min="9714" max="9714" width="3.77734375" style="486" customWidth="1"/>
    <col min="9715" max="9715" width="35.77734375" style="486" customWidth="1"/>
    <col min="9716" max="9716" width="22.21875" style="486" customWidth="1"/>
    <col min="9717" max="9717" width="17.77734375" style="486" customWidth="1"/>
    <col min="9718" max="9718" width="19" style="486" customWidth="1"/>
    <col min="9719" max="9719" width="20.77734375" style="486" customWidth="1"/>
    <col min="9720" max="9720" width="16.77734375" style="486" customWidth="1"/>
    <col min="9721" max="9721" width="18.77734375" style="486" customWidth="1"/>
    <col min="9722" max="9728" width="18.5546875" style="486"/>
    <col min="9729" max="9729" width="4" style="486" customWidth="1"/>
    <col min="9730" max="9730" width="5.5546875" style="486" customWidth="1"/>
    <col min="9731" max="9731" width="30.21875" style="486" customWidth="1"/>
    <col min="9732" max="9732" width="4.5546875" style="486" bestFit="1" customWidth="1"/>
    <col min="9733" max="9733" width="41" style="486" customWidth="1"/>
    <col min="9734" max="9735" width="14.5546875" style="486" customWidth="1"/>
    <col min="9736" max="9736" width="16.5546875" style="486" customWidth="1"/>
    <col min="9737" max="9740" width="14.5546875" style="486" customWidth="1"/>
    <col min="9741" max="9742" width="12.5546875" style="486" customWidth="1"/>
    <col min="9743" max="9743" width="16.5546875" style="486" customWidth="1"/>
    <col min="9744" max="9745" width="20.5546875" style="486" customWidth="1"/>
    <col min="9746" max="9746" width="11" style="486" bestFit="1" customWidth="1"/>
    <col min="9747" max="9747" width="17.21875" style="486" customWidth="1"/>
    <col min="9748" max="9748" width="11" style="486" bestFit="1" customWidth="1"/>
    <col min="9749" max="9749" width="8.77734375" style="486" customWidth="1"/>
    <col min="9750" max="9753" width="10.21875" style="486" bestFit="1" customWidth="1"/>
    <col min="9754" max="9755" width="11.21875" style="486" bestFit="1" customWidth="1"/>
    <col min="9756" max="9966" width="8.77734375" style="486" customWidth="1"/>
    <col min="9967" max="9967" width="2.5546875" style="486" customWidth="1"/>
    <col min="9968" max="9968" width="5.5546875" style="486" customWidth="1"/>
    <col min="9969" max="9969" width="23.77734375" style="486" customWidth="1"/>
    <col min="9970" max="9970" width="3.77734375" style="486" customWidth="1"/>
    <col min="9971" max="9971" width="35.77734375" style="486" customWidth="1"/>
    <col min="9972" max="9972" width="22.21875" style="486" customWidth="1"/>
    <col min="9973" max="9973" width="17.77734375" style="486" customWidth="1"/>
    <col min="9974" max="9974" width="19" style="486" customWidth="1"/>
    <col min="9975" max="9975" width="20.77734375" style="486" customWidth="1"/>
    <col min="9976" max="9976" width="16.77734375" style="486" customWidth="1"/>
    <col min="9977" max="9977" width="18.77734375" style="486" customWidth="1"/>
    <col min="9978" max="9984" width="18.5546875" style="486"/>
    <col min="9985" max="9985" width="4" style="486" customWidth="1"/>
    <col min="9986" max="9986" width="5.5546875" style="486" customWidth="1"/>
    <col min="9987" max="9987" width="30.21875" style="486" customWidth="1"/>
    <col min="9988" max="9988" width="4.5546875" style="486" bestFit="1" customWidth="1"/>
    <col min="9989" max="9989" width="41" style="486" customWidth="1"/>
    <col min="9990" max="9991" width="14.5546875" style="486" customWidth="1"/>
    <col min="9992" max="9992" width="16.5546875" style="486" customWidth="1"/>
    <col min="9993" max="9996" width="14.5546875" style="486" customWidth="1"/>
    <col min="9997" max="9998" width="12.5546875" style="486" customWidth="1"/>
    <col min="9999" max="9999" width="16.5546875" style="486" customWidth="1"/>
    <col min="10000" max="10001" width="20.5546875" style="486" customWidth="1"/>
    <col min="10002" max="10002" width="11" style="486" bestFit="1" customWidth="1"/>
    <col min="10003" max="10003" width="17.21875" style="486" customWidth="1"/>
    <col min="10004" max="10004" width="11" style="486" bestFit="1" customWidth="1"/>
    <col min="10005" max="10005" width="8.77734375" style="486" customWidth="1"/>
    <col min="10006" max="10009" width="10.21875" style="486" bestFit="1" customWidth="1"/>
    <col min="10010" max="10011" width="11.21875" style="486" bestFit="1" customWidth="1"/>
    <col min="10012" max="10222" width="8.77734375" style="486" customWidth="1"/>
    <col min="10223" max="10223" width="2.5546875" style="486" customWidth="1"/>
    <col min="10224" max="10224" width="5.5546875" style="486" customWidth="1"/>
    <col min="10225" max="10225" width="23.77734375" style="486" customWidth="1"/>
    <col min="10226" max="10226" width="3.77734375" style="486" customWidth="1"/>
    <col min="10227" max="10227" width="35.77734375" style="486" customWidth="1"/>
    <col min="10228" max="10228" width="22.21875" style="486" customWidth="1"/>
    <col min="10229" max="10229" width="17.77734375" style="486" customWidth="1"/>
    <col min="10230" max="10230" width="19" style="486" customWidth="1"/>
    <col min="10231" max="10231" width="20.77734375" style="486" customWidth="1"/>
    <col min="10232" max="10232" width="16.77734375" style="486" customWidth="1"/>
    <col min="10233" max="10233" width="18.77734375" style="486" customWidth="1"/>
    <col min="10234" max="10240" width="18.5546875" style="486"/>
    <col min="10241" max="10241" width="4" style="486" customWidth="1"/>
    <col min="10242" max="10242" width="5.5546875" style="486" customWidth="1"/>
    <col min="10243" max="10243" width="30.21875" style="486" customWidth="1"/>
    <col min="10244" max="10244" width="4.5546875" style="486" bestFit="1" customWidth="1"/>
    <col min="10245" max="10245" width="41" style="486" customWidth="1"/>
    <col min="10246" max="10247" width="14.5546875" style="486" customWidth="1"/>
    <col min="10248" max="10248" width="16.5546875" style="486" customWidth="1"/>
    <col min="10249" max="10252" width="14.5546875" style="486" customWidth="1"/>
    <col min="10253" max="10254" width="12.5546875" style="486" customWidth="1"/>
    <col min="10255" max="10255" width="16.5546875" style="486" customWidth="1"/>
    <col min="10256" max="10257" width="20.5546875" style="486" customWidth="1"/>
    <col min="10258" max="10258" width="11" style="486" bestFit="1" customWidth="1"/>
    <col min="10259" max="10259" width="17.21875" style="486" customWidth="1"/>
    <col min="10260" max="10260" width="11" style="486" bestFit="1" customWidth="1"/>
    <col min="10261" max="10261" width="8.77734375" style="486" customWidth="1"/>
    <col min="10262" max="10265" width="10.21875" style="486" bestFit="1" customWidth="1"/>
    <col min="10266" max="10267" width="11.21875" style="486" bestFit="1" customWidth="1"/>
    <col min="10268" max="10478" width="8.77734375" style="486" customWidth="1"/>
    <col min="10479" max="10479" width="2.5546875" style="486" customWidth="1"/>
    <col min="10480" max="10480" width="5.5546875" style="486" customWidth="1"/>
    <col min="10481" max="10481" width="23.77734375" style="486" customWidth="1"/>
    <col min="10482" max="10482" width="3.77734375" style="486" customWidth="1"/>
    <col min="10483" max="10483" width="35.77734375" style="486" customWidth="1"/>
    <col min="10484" max="10484" width="22.21875" style="486" customWidth="1"/>
    <col min="10485" max="10485" width="17.77734375" style="486" customWidth="1"/>
    <col min="10486" max="10486" width="19" style="486" customWidth="1"/>
    <col min="10487" max="10487" width="20.77734375" style="486" customWidth="1"/>
    <col min="10488" max="10488" width="16.77734375" style="486" customWidth="1"/>
    <col min="10489" max="10489" width="18.77734375" style="486" customWidth="1"/>
    <col min="10490" max="10496" width="18.5546875" style="486"/>
    <col min="10497" max="10497" width="4" style="486" customWidth="1"/>
    <col min="10498" max="10498" width="5.5546875" style="486" customWidth="1"/>
    <col min="10499" max="10499" width="30.21875" style="486" customWidth="1"/>
    <col min="10500" max="10500" width="4.5546875" style="486" bestFit="1" customWidth="1"/>
    <col min="10501" max="10501" width="41" style="486" customWidth="1"/>
    <col min="10502" max="10503" width="14.5546875" style="486" customWidth="1"/>
    <col min="10504" max="10504" width="16.5546875" style="486" customWidth="1"/>
    <col min="10505" max="10508" width="14.5546875" style="486" customWidth="1"/>
    <col min="10509" max="10510" width="12.5546875" style="486" customWidth="1"/>
    <col min="10511" max="10511" width="16.5546875" style="486" customWidth="1"/>
    <col min="10512" max="10513" width="20.5546875" style="486" customWidth="1"/>
    <col min="10514" max="10514" width="11" style="486" bestFit="1" customWidth="1"/>
    <col min="10515" max="10515" width="17.21875" style="486" customWidth="1"/>
    <col min="10516" max="10516" width="11" style="486" bestFit="1" customWidth="1"/>
    <col min="10517" max="10517" width="8.77734375" style="486" customWidth="1"/>
    <col min="10518" max="10521" width="10.21875" style="486" bestFit="1" customWidth="1"/>
    <col min="10522" max="10523" width="11.21875" style="486" bestFit="1" customWidth="1"/>
    <col min="10524" max="10734" width="8.77734375" style="486" customWidth="1"/>
    <col min="10735" max="10735" width="2.5546875" style="486" customWidth="1"/>
    <col min="10736" max="10736" width="5.5546875" style="486" customWidth="1"/>
    <col min="10737" max="10737" width="23.77734375" style="486" customWidth="1"/>
    <col min="10738" max="10738" width="3.77734375" style="486" customWidth="1"/>
    <col min="10739" max="10739" width="35.77734375" style="486" customWidth="1"/>
    <col min="10740" max="10740" width="22.21875" style="486" customWidth="1"/>
    <col min="10741" max="10741" width="17.77734375" style="486" customWidth="1"/>
    <col min="10742" max="10742" width="19" style="486" customWidth="1"/>
    <col min="10743" max="10743" width="20.77734375" style="486" customWidth="1"/>
    <col min="10744" max="10744" width="16.77734375" style="486" customWidth="1"/>
    <col min="10745" max="10745" width="18.77734375" style="486" customWidth="1"/>
    <col min="10746" max="10752" width="18.5546875" style="486"/>
    <col min="10753" max="10753" width="4" style="486" customWidth="1"/>
    <col min="10754" max="10754" width="5.5546875" style="486" customWidth="1"/>
    <col min="10755" max="10755" width="30.21875" style="486" customWidth="1"/>
    <col min="10756" max="10756" width="4.5546875" style="486" bestFit="1" customWidth="1"/>
    <col min="10757" max="10757" width="41" style="486" customWidth="1"/>
    <col min="10758" max="10759" width="14.5546875" style="486" customWidth="1"/>
    <col min="10760" max="10760" width="16.5546875" style="486" customWidth="1"/>
    <col min="10761" max="10764" width="14.5546875" style="486" customWidth="1"/>
    <col min="10765" max="10766" width="12.5546875" style="486" customWidth="1"/>
    <col min="10767" max="10767" width="16.5546875" style="486" customWidth="1"/>
    <col min="10768" max="10769" width="20.5546875" style="486" customWidth="1"/>
    <col min="10770" max="10770" width="11" style="486" bestFit="1" customWidth="1"/>
    <col min="10771" max="10771" width="17.21875" style="486" customWidth="1"/>
    <col min="10772" max="10772" width="11" style="486" bestFit="1" customWidth="1"/>
    <col min="10773" max="10773" width="8.77734375" style="486" customWidth="1"/>
    <col min="10774" max="10777" width="10.21875" style="486" bestFit="1" customWidth="1"/>
    <col min="10778" max="10779" width="11.21875" style="486" bestFit="1" customWidth="1"/>
    <col min="10780" max="10990" width="8.77734375" style="486" customWidth="1"/>
    <col min="10991" max="10991" width="2.5546875" style="486" customWidth="1"/>
    <col min="10992" max="10992" width="5.5546875" style="486" customWidth="1"/>
    <col min="10993" max="10993" width="23.77734375" style="486" customWidth="1"/>
    <col min="10994" max="10994" width="3.77734375" style="486" customWidth="1"/>
    <col min="10995" max="10995" width="35.77734375" style="486" customWidth="1"/>
    <col min="10996" max="10996" width="22.21875" style="486" customWidth="1"/>
    <col min="10997" max="10997" width="17.77734375" style="486" customWidth="1"/>
    <col min="10998" max="10998" width="19" style="486" customWidth="1"/>
    <col min="10999" max="10999" width="20.77734375" style="486" customWidth="1"/>
    <col min="11000" max="11000" width="16.77734375" style="486" customWidth="1"/>
    <col min="11001" max="11001" width="18.77734375" style="486" customWidth="1"/>
    <col min="11002" max="11008" width="18.5546875" style="486"/>
    <col min="11009" max="11009" width="4" style="486" customWidth="1"/>
    <col min="11010" max="11010" width="5.5546875" style="486" customWidth="1"/>
    <col min="11011" max="11011" width="30.21875" style="486" customWidth="1"/>
    <col min="11012" max="11012" width="4.5546875" style="486" bestFit="1" customWidth="1"/>
    <col min="11013" max="11013" width="41" style="486" customWidth="1"/>
    <col min="11014" max="11015" width="14.5546875" style="486" customWidth="1"/>
    <col min="11016" max="11016" width="16.5546875" style="486" customWidth="1"/>
    <col min="11017" max="11020" width="14.5546875" style="486" customWidth="1"/>
    <col min="11021" max="11022" width="12.5546875" style="486" customWidth="1"/>
    <col min="11023" max="11023" width="16.5546875" style="486" customWidth="1"/>
    <col min="11024" max="11025" width="20.5546875" style="486" customWidth="1"/>
    <col min="11026" max="11026" width="11" style="486" bestFit="1" customWidth="1"/>
    <col min="11027" max="11027" width="17.21875" style="486" customWidth="1"/>
    <col min="11028" max="11028" width="11" style="486" bestFit="1" customWidth="1"/>
    <col min="11029" max="11029" width="8.77734375" style="486" customWidth="1"/>
    <col min="11030" max="11033" width="10.21875" style="486" bestFit="1" customWidth="1"/>
    <col min="11034" max="11035" width="11.21875" style="486" bestFit="1" customWidth="1"/>
    <col min="11036" max="11246" width="8.77734375" style="486" customWidth="1"/>
    <col min="11247" max="11247" width="2.5546875" style="486" customWidth="1"/>
    <col min="11248" max="11248" width="5.5546875" style="486" customWidth="1"/>
    <col min="11249" max="11249" width="23.77734375" style="486" customWidth="1"/>
    <col min="11250" max="11250" width="3.77734375" style="486" customWidth="1"/>
    <col min="11251" max="11251" width="35.77734375" style="486" customWidth="1"/>
    <col min="11252" max="11252" width="22.21875" style="486" customWidth="1"/>
    <col min="11253" max="11253" width="17.77734375" style="486" customWidth="1"/>
    <col min="11254" max="11254" width="19" style="486" customWidth="1"/>
    <col min="11255" max="11255" width="20.77734375" style="486" customWidth="1"/>
    <col min="11256" max="11256" width="16.77734375" style="486" customWidth="1"/>
    <col min="11257" max="11257" width="18.77734375" style="486" customWidth="1"/>
    <col min="11258" max="11264" width="18.5546875" style="486"/>
    <col min="11265" max="11265" width="4" style="486" customWidth="1"/>
    <col min="11266" max="11266" width="5.5546875" style="486" customWidth="1"/>
    <col min="11267" max="11267" width="30.21875" style="486" customWidth="1"/>
    <col min="11268" max="11268" width="4.5546875" style="486" bestFit="1" customWidth="1"/>
    <col min="11269" max="11269" width="41" style="486" customWidth="1"/>
    <col min="11270" max="11271" width="14.5546875" style="486" customWidth="1"/>
    <col min="11272" max="11272" width="16.5546875" style="486" customWidth="1"/>
    <col min="11273" max="11276" width="14.5546875" style="486" customWidth="1"/>
    <col min="11277" max="11278" width="12.5546875" style="486" customWidth="1"/>
    <col min="11279" max="11279" width="16.5546875" style="486" customWidth="1"/>
    <col min="11280" max="11281" width="20.5546875" style="486" customWidth="1"/>
    <col min="11282" max="11282" width="11" style="486" bestFit="1" customWidth="1"/>
    <col min="11283" max="11283" width="17.21875" style="486" customWidth="1"/>
    <col min="11284" max="11284" width="11" style="486" bestFit="1" customWidth="1"/>
    <col min="11285" max="11285" width="8.77734375" style="486" customWidth="1"/>
    <col min="11286" max="11289" width="10.21875" style="486" bestFit="1" customWidth="1"/>
    <col min="11290" max="11291" width="11.21875" style="486" bestFit="1" customWidth="1"/>
    <col min="11292" max="11502" width="8.77734375" style="486" customWidth="1"/>
    <col min="11503" max="11503" width="2.5546875" style="486" customWidth="1"/>
    <col min="11504" max="11504" width="5.5546875" style="486" customWidth="1"/>
    <col min="11505" max="11505" width="23.77734375" style="486" customWidth="1"/>
    <col min="11506" max="11506" width="3.77734375" style="486" customWidth="1"/>
    <col min="11507" max="11507" width="35.77734375" style="486" customWidth="1"/>
    <col min="11508" max="11508" width="22.21875" style="486" customWidth="1"/>
    <col min="11509" max="11509" width="17.77734375" style="486" customWidth="1"/>
    <col min="11510" max="11510" width="19" style="486" customWidth="1"/>
    <col min="11511" max="11511" width="20.77734375" style="486" customWidth="1"/>
    <col min="11512" max="11512" width="16.77734375" style="486" customWidth="1"/>
    <col min="11513" max="11513" width="18.77734375" style="486" customWidth="1"/>
    <col min="11514" max="11520" width="18.5546875" style="486"/>
    <col min="11521" max="11521" width="4" style="486" customWidth="1"/>
    <col min="11522" max="11522" width="5.5546875" style="486" customWidth="1"/>
    <col min="11523" max="11523" width="30.21875" style="486" customWidth="1"/>
    <col min="11524" max="11524" width="4.5546875" style="486" bestFit="1" customWidth="1"/>
    <col min="11525" max="11525" width="41" style="486" customWidth="1"/>
    <col min="11526" max="11527" width="14.5546875" style="486" customWidth="1"/>
    <col min="11528" max="11528" width="16.5546875" style="486" customWidth="1"/>
    <col min="11529" max="11532" width="14.5546875" style="486" customWidth="1"/>
    <col min="11533" max="11534" width="12.5546875" style="486" customWidth="1"/>
    <col min="11535" max="11535" width="16.5546875" style="486" customWidth="1"/>
    <col min="11536" max="11537" width="20.5546875" style="486" customWidth="1"/>
    <col min="11538" max="11538" width="11" style="486" bestFit="1" customWidth="1"/>
    <col min="11539" max="11539" width="17.21875" style="486" customWidth="1"/>
    <col min="11540" max="11540" width="11" style="486" bestFit="1" customWidth="1"/>
    <col min="11541" max="11541" width="8.77734375" style="486" customWidth="1"/>
    <col min="11542" max="11545" width="10.21875" style="486" bestFit="1" customWidth="1"/>
    <col min="11546" max="11547" width="11.21875" style="486" bestFit="1" customWidth="1"/>
    <col min="11548" max="11758" width="8.77734375" style="486" customWidth="1"/>
    <col min="11759" max="11759" width="2.5546875" style="486" customWidth="1"/>
    <col min="11760" max="11760" width="5.5546875" style="486" customWidth="1"/>
    <col min="11761" max="11761" width="23.77734375" style="486" customWidth="1"/>
    <col min="11762" max="11762" width="3.77734375" style="486" customWidth="1"/>
    <col min="11763" max="11763" width="35.77734375" style="486" customWidth="1"/>
    <col min="11764" max="11764" width="22.21875" style="486" customWidth="1"/>
    <col min="11765" max="11765" width="17.77734375" style="486" customWidth="1"/>
    <col min="11766" max="11766" width="19" style="486" customWidth="1"/>
    <col min="11767" max="11767" width="20.77734375" style="486" customWidth="1"/>
    <col min="11768" max="11768" width="16.77734375" style="486" customWidth="1"/>
    <col min="11769" max="11769" width="18.77734375" style="486" customWidth="1"/>
    <col min="11770" max="11776" width="18.5546875" style="486"/>
    <col min="11777" max="11777" width="4" style="486" customWidth="1"/>
    <col min="11778" max="11778" width="5.5546875" style="486" customWidth="1"/>
    <col min="11779" max="11779" width="30.21875" style="486" customWidth="1"/>
    <col min="11780" max="11780" width="4.5546875" style="486" bestFit="1" customWidth="1"/>
    <col min="11781" max="11781" width="41" style="486" customWidth="1"/>
    <col min="11782" max="11783" width="14.5546875" style="486" customWidth="1"/>
    <col min="11784" max="11784" width="16.5546875" style="486" customWidth="1"/>
    <col min="11785" max="11788" width="14.5546875" style="486" customWidth="1"/>
    <col min="11789" max="11790" width="12.5546875" style="486" customWidth="1"/>
    <col min="11791" max="11791" width="16.5546875" style="486" customWidth="1"/>
    <col min="11792" max="11793" width="20.5546875" style="486" customWidth="1"/>
    <col min="11794" max="11794" width="11" style="486" bestFit="1" customWidth="1"/>
    <col min="11795" max="11795" width="17.21875" style="486" customWidth="1"/>
    <col min="11796" max="11796" width="11" style="486" bestFit="1" customWidth="1"/>
    <col min="11797" max="11797" width="8.77734375" style="486" customWidth="1"/>
    <col min="11798" max="11801" width="10.21875" style="486" bestFit="1" customWidth="1"/>
    <col min="11802" max="11803" width="11.21875" style="486" bestFit="1" customWidth="1"/>
    <col min="11804" max="12014" width="8.77734375" style="486" customWidth="1"/>
    <col min="12015" max="12015" width="2.5546875" style="486" customWidth="1"/>
    <col min="12016" max="12016" width="5.5546875" style="486" customWidth="1"/>
    <col min="12017" max="12017" width="23.77734375" style="486" customWidth="1"/>
    <col min="12018" max="12018" width="3.77734375" style="486" customWidth="1"/>
    <col min="12019" max="12019" width="35.77734375" style="486" customWidth="1"/>
    <col min="12020" max="12020" width="22.21875" style="486" customWidth="1"/>
    <col min="12021" max="12021" width="17.77734375" style="486" customWidth="1"/>
    <col min="12022" max="12022" width="19" style="486" customWidth="1"/>
    <col min="12023" max="12023" width="20.77734375" style="486" customWidth="1"/>
    <col min="12024" max="12024" width="16.77734375" style="486" customWidth="1"/>
    <col min="12025" max="12025" width="18.77734375" style="486" customWidth="1"/>
    <col min="12026" max="12032" width="18.5546875" style="486"/>
    <col min="12033" max="12033" width="4" style="486" customWidth="1"/>
    <col min="12034" max="12034" width="5.5546875" style="486" customWidth="1"/>
    <col min="12035" max="12035" width="30.21875" style="486" customWidth="1"/>
    <col min="12036" max="12036" width="4.5546875" style="486" bestFit="1" customWidth="1"/>
    <col min="12037" max="12037" width="41" style="486" customWidth="1"/>
    <col min="12038" max="12039" width="14.5546875" style="486" customWidth="1"/>
    <col min="12040" max="12040" width="16.5546875" style="486" customWidth="1"/>
    <col min="12041" max="12044" width="14.5546875" style="486" customWidth="1"/>
    <col min="12045" max="12046" width="12.5546875" style="486" customWidth="1"/>
    <col min="12047" max="12047" width="16.5546875" style="486" customWidth="1"/>
    <col min="12048" max="12049" width="20.5546875" style="486" customWidth="1"/>
    <col min="12050" max="12050" width="11" style="486" bestFit="1" customWidth="1"/>
    <col min="12051" max="12051" width="17.21875" style="486" customWidth="1"/>
    <col min="12052" max="12052" width="11" style="486" bestFit="1" customWidth="1"/>
    <col min="12053" max="12053" width="8.77734375" style="486" customWidth="1"/>
    <col min="12054" max="12057" width="10.21875" style="486" bestFit="1" customWidth="1"/>
    <col min="12058" max="12059" width="11.21875" style="486" bestFit="1" customWidth="1"/>
    <col min="12060" max="12270" width="8.77734375" style="486" customWidth="1"/>
    <col min="12271" max="12271" width="2.5546875" style="486" customWidth="1"/>
    <col min="12272" max="12272" width="5.5546875" style="486" customWidth="1"/>
    <col min="12273" max="12273" width="23.77734375" style="486" customWidth="1"/>
    <col min="12274" max="12274" width="3.77734375" style="486" customWidth="1"/>
    <col min="12275" max="12275" width="35.77734375" style="486" customWidth="1"/>
    <col min="12276" max="12276" width="22.21875" style="486" customWidth="1"/>
    <col min="12277" max="12277" width="17.77734375" style="486" customWidth="1"/>
    <col min="12278" max="12278" width="19" style="486" customWidth="1"/>
    <col min="12279" max="12279" width="20.77734375" style="486" customWidth="1"/>
    <col min="12280" max="12280" width="16.77734375" style="486" customWidth="1"/>
    <col min="12281" max="12281" width="18.77734375" style="486" customWidth="1"/>
    <col min="12282" max="12288" width="18.5546875" style="486"/>
    <col min="12289" max="12289" width="4" style="486" customWidth="1"/>
    <col min="12290" max="12290" width="5.5546875" style="486" customWidth="1"/>
    <col min="12291" max="12291" width="30.21875" style="486" customWidth="1"/>
    <col min="12292" max="12292" width="4.5546875" style="486" bestFit="1" customWidth="1"/>
    <col min="12293" max="12293" width="41" style="486" customWidth="1"/>
    <col min="12294" max="12295" width="14.5546875" style="486" customWidth="1"/>
    <col min="12296" max="12296" width="16.5546875" style="486" customWidth="1"/>
    <col min="12297" max="12300" width="14.5546875" style="486" customWidth="1"/>
    <col min="12301" max="12302" width="12.5546875" style="486" customWidth="1"/>
    <col min="12303" max="12303" width="16.5546875" style="486" customWidth="1"/>
    <col min="12304" max="12305" width="20.5546875" style="486" customWidth="1"/>
    <col min="12306" max="12306" width="11" style="486" bestFit="1" customWidth="1"/>
    <col min="12307" max="12307" width="17.21875" style="486" customWidth="1"/>
    <col min="12308" max="12308" width="11" style="486" bestFit="1" customWidth="1"/>
    <col min="12309" max="12309" width="8.77734375" style="486" customWidth="1"/>
    <col min="12310" max="12313" width="10.21875" style="486" bestFit="1" customWidth="1"/>
    <col min="12314" max="12315" width="11.21875" style="486" bestFit="1" customWidth="1"/>
    <col min="12316" max="12526" width="8.77734375" style="486" customWidth="1"/>
    <col min="12527" max="12527" width="2.5546875" style="486" customWidth="1"/>
    <col min="12528" max="12528" width="5.5546875" style="486" customWidth="1"/>
    <col min="12529" max="12529" width="23.77734375" style="486" customWidth="1"/>
    <col min="12530" max="12530" width="3.77734375" style="486" customWidth="1"/>
    <col min="12531" max="12531" width="35.77734375" style="486" customWidth="1"/>
    <col min="12532" max="12532" width="22.21875" style="486" customWidth="1"/>
    <col min="12533" max="12533" width="17.77734375" style="486" customWidth="1"/>
    <col min="12534" max="12534" width="19" style="486" customWidth="1"/>
    <col min="12535" max="12535" width="20.77734375" style="486" customWidth="1"/>
    <col min="12536" max="12536" width="16.77734375" style="486" customWidth="1"/>
    <col min="12537" max="12537" width="18.77734375" style="486" customWidth="1"/>
    <col min="12538" max="12544" width="18.5546875" style="486"/>
    <col min="12545" max="12545" width="4" style="486" customWidth="1"/>
    <col min="12546" max="12546" width="5.5546875" style="486" customWidth="1"/>
    <col min="12547" max="12547" width="30.21875" style="486" customWidth="1"/>
    <col min="12548" max="12548" width="4.5546875" style="486" bestFit="1" customWidth="1"/>
    <col min="12549" max="12549" width="41" style="486" customWidth="1"/>
    <col min="12550" max="12551" width="14.5546875" style="486" customWidth="1"/>
    <col min="12552" max="12552" width="16.5546875" style="486" customWidth="1"/>
    <col min="12553" max="12556" width="14.5546875" style="486" customWidth="1"/>
    <col min="12557" max="12558" width="12.5546875" style="486" customWidth="1"/>
    <col min="12559" max="12559" width="16.5546875" style="486" customWidth="1"/>
    <col min="12560" max="12561" width="20.5546875" style="486" customWidth="1"/>
    <col min="12562" max="12562" width="11" style="486" bestFit="1" customWidth="1"/>
    <col min="12563" max="12563" width="17.21875" style="486" customWidth="1"/>
    <col min="12564" max="12564" width="11" style="486" bestFit="1" customWidth="1"/>
    <col min="12565" max="12565" width="8.77734375" style="486" customWidth="1"/>
    <col min="12566" max="12569" width="10.21875" style="486" bestFit="1" customWidth="1"/>
    <col min="12570" max="12571" width="11.21875" style="486" bestFit="1" customWidth="1"/>
    <col min="12572" max="12782" width="8.77734375" style="486" customWidth="1"/>
    <col min="12783" max="12783" width="2.5546875" style="486" customWidth="1"/>
    <col min="12784" max="12784" width="5.5546875" style="486" customWidth="1"/>
    <col min="12785" max="12785" width="23.77734375" style="486" customWidth="1"/>
    <col min="12786" max="12786" width="3.77734375" style="486" customWidth="1"/>
    <col min="12787" max="12787" width="35.77734375" style="486" customWidth="1"/>
    <col min="12788" max="12788" width="22.21875" style="486" customWidth="1"/>
    <col min="12789" max="12789" width="17.77734375" style="486" customWidth="1"/>
    <col min="12790" max="12790" width="19" style="486" customWidth="1"/>
    <col min="12791" max="12791" width="20.77734375" style="486" customWidth="1"/>
    <col min="12792" max="12792" width="16.77734375" style="486" customWidth="1"/>
    <col min="12793" max="12793" width="18.77734375" style="486" customWidth="1"/>
    <col min="12794" max="12800" width="18.5546875" style="486"/>
    <col min="12801" max="12801" width="4" style="486" customWidth="1"/>
    <col min="12802" max="12802" width="5.5546875" style="486" customWidth="1"/>
    <col min="12803" max="12803" width="30.21875" style="486" customWidth="1"/>
    <col min="12804" max="12804" width="4.5546875" style="486" bestFit="1" customWidth="1"/>
    <col min="12805" max="12805" width="41" style="486" customWidth="1"/>
    <col min="12806" max="12807" width="14.5546875" style="486" customWidth="1"/>
    <col min="12808" max="12808" width="16.5546875" style="486" customWidth="1"/>
    <col min="12809" max="12812" width="14.5546875" style="486" customWidth="1"/>
    <col min="12813" max="12814" width="12.5546875" style="486" customWidth="1"/>
    <col min="12815" max="12815" width="16.5546875" style="486" customWidth="1"/>
    <col min="12816" max="12817" width="20.5546875" style="486" customWidth="1"/>
    <col min="12818" max="12818" width="11" style="486" bestFit="1" customWidth="1"/>
    <col min="12819" max="12819" width="17.21875" style="486" customWidth="1"/>
    <col min="12820" max="12820" width="11" style="486" bestFit="1" customWidth="1"/>
    <col min="12821" max="12821" width="8.77734375" style="486" customWidth="1"/>
    <col min="12822" max="12825" width="10.21875" style="486" bestFit="1" customWidth="1"/>
    <col min="12826" max="12827" width="11.21875" style="486" bestFit="1" customWidth="1"/>
    <col min="12828" max="13038" width="8.77734375" style="486" customWidth="1"/>
    <col min="13039" max="13039" width="2.5546875" style="486" customWidth="1"/>
    <col min="13040" max="13040" width="5.5546875" style="486" customWidth="1"/>
    <col min="13041" max="13041" width="23.77734375" style="486" customWidth="1"/>
    <col min="13042" max="13042" width="3.77734375" style="486" customWidth="1"/>
    <col min="13043" max="13043" width="35.77734375" style="486" customWidth="1"/>
    <col min="13044" max="13044" width="22.21875" style="486" customWidth="1"/>
    <col min="13045" max="13045" width="17.77734375" style="486" customWidth="1"/>
    <col min="13046" max="13046" width="19" style="486" customWidth="1"/>
    <col min="13047" max="13047" width="20.77734375" style="486" customWidth="1"/>
    <col min="13048" max="13048" width="16.77734375" style="486" customWidth="1"/>
    <col min="13049" max="13049" width="18.77734375" style="486" customWidth="1"/>
    <col min="13050" max="13056" width="18.5546875" style="486"/>
    <col min="13057" max="13057" width="4" style="486" customWidth="1"/>
    <col min="13058" max="13058" width="5.5546875" style="486" customWidth="1"/>
    <col min="13059" max="13059" width="30.21875" style="486" customWidth="1"/>
    <col min="13060" max="13060" width="4.5546875" style="486" bestFit="1" customWidth="1"/>
    <col min="13061" max="13061" width="41" style="486" customWidth="1"/>
    <col min="13062" max="13063" width="14.5546875" style="486" customWidth="1"/>
    <col min="13064" max="13064" width="16.5546875" style="486" customWidth="1"/>
    <col min="13065" max="13068" width="14.5546875" style="486" customWidth="1"/>
    <col min="13069" max="13070" width="12.5546875" style="486" customWidth="1"/>
    <col min="13071" max="13071" width="16.5546875" style="486" customWidth="1"/>
    <col min="13072" max="13073" width="20.5546875" style="486" customWidth="1"/>
    <col min="13074" max="13074" width="11" style="486" bestFit="1" customWidth="1"/>
    <col min="13075" max="13075" width="17.21875" style="486" customWidth="1"/>
    <col min="13076" max="13076" width="11" style="486" bestFit="1" customWidth="1"/>
    <col min="13077" max="13077" width="8.77734375" style="486" customWidth="1"/>
    <col min="13078" max="13081" width="10.21875" style="486" bestFit="1" customWidth="1"/>
    <col min="13082" max="13083" width="11.21875" style="486" bestFit="1" customWidth="1"/>
    <col min="13084" max="13294" width="8.77734375" style="486" customWidth="1"/>
    <col min="13295" max="13295" width="2.5546875" style="486" customWidth="1"/>
    <col min="13296" max="13296" width="5.5546875" style="486" customWidth="1"/>
    <col min="13297" max="13297" width="23.77734375" style="486" customWidth="1"/>
    <col min="13298" max="13298" width="3.77734375" style="486" customWidth="1"/>
    <col min="13299" max="13299" width="35.77734375" style="486" customWidth="1"/>
    <col min="13300" max="13300" width="22.21875" style="486" customWidth="1"/>
    <col min="13301" max="13301" width="17.77734375" style="486" customWidth="1"/>
    <col min="13302" max="13302" width="19" style="486" customWidth="1"/>
    <col min="13303" max="13303" width="20.77734375" style="486" customWidth="1"/>
    <col min="13304" max="13304" width="16.77734375" style="486" customWidth="1"/>
    <col min="13305" max="13305" width="18.77734375" style="486" customWidth="1"/>
    <col min="13306" max="13312" width="18.5546875" style="486"/>
    <col min="13313" max="13313" width="4" style="486" customWidth="1"/>
    <col min="13314" max="13314" width="5.5546875" style="486" customWidth="1"/>
    <col min="13315" max="13315" width="30.21875" style="486" customWidth="1"/>
    <col min="13316" max="13316" width="4.5546875" style="486" bestFit="1" customWidth="1"/>
    <col min="13317" max="13317" width="41" style="486" customWidth="1"/>
    <col min="13318" max="13319" width="14.5546875" style="486" customWidth="1"/>
    <col min="13320" max="13320" width="16.5546875" style="486" customWidth="1"/>
    <col min="13321" max="13324" width="14.5546875" style="486" customWidth="1"/>
    <col min="13325" max="13326" width="12.5546875" style="486" customWidth="1"/>
    <col min="13327" max="13327" width="16.5546875" style="486" customWidth="1"/>
    <col min="13328" max="13329" width="20.5546875" style="486" customWidth="1"/>
    <col min="13330" max="13330" width="11" style="486" bestFit="1" customWidth="1"/>
    <col min="13331" max="13331" width="17.21875" style="486" customWidth="1"/>
    <col min="13332" max="13332" width="11" style="486" bestFit="1" customWidth="1"/>
    <col min="13333" max="13333" width="8.77734375" style="486" customWidth="1"/>
    <col min="13334" max="13337" width="10.21875" style="486" bestFit="1" customWidth="1"/>
    <col min="13338" max="13339" width="11.21875" style="486" bestFit="1" customWidth="1"/>
    <col min="13340" max="13550" width="8.77734375" style="486" customWidth="1"/>
    <col min="13551" max="13551" width="2.5546875" style="486" customWidth="1"/>
    <col min="13552" max="13552" width="5.5546875" style="486" customWidth="1"/>
    <col min="13553" max="13553" width="23.77734375" style="486" customWidth="1"/>
    <col min="13554" max="13554" width="3.77734375" style="486" customWidth="1"/>
    <col min="13555" max="13555" width="35.77734375" style="486" customWidth="1"/>
    <col min="13556" max="13556" width="22.21875" style="486" customWidth="1"/>
    <col min="13557" max="13557" width="17.77734375" style="486" customWidth="1"/>
    <col min="13558" max="13558" width="19" style="486" customWidth="1"/>
    <col min="13559" max="13559" width="20.77734375" style="486" customWidth="1"/>
    <col min="13560" max="13560" width="16.77734375" style="486" customWidth="1"/>
    <col min="13561" max="13561" width="18.77734375" style="486" customWidth="1"/>
    <col min="13562" max="13568" width="18.5546875" style="486"/>
    <col min="13569" max="13569" width="4" style="486" customWidth="1"/>
    <col min="13570" max="13570" width="5.5546875" style="486" customWidth="1"/>
    <col min="13571" max="13571" width="30.21875" style="486" customWidth="1"/>
    <col min="13572" max="13572" width="4.5546875" style="486" bestFit="1" customWidth="1"/>
    <col min="13573" max="13573" width="41" style="486" customWidth="1"/>
    <col min="13574" max="13575" width="14.5546875" style="486" customWidth="1"/>
    <col min="13576" max="13576" width="16.5546875" style="486" customWidth="1"/>
    <col min="13577" max="13580" width="14.5546875" style="486" customWidth="1"/>
    <col min="13581" max="13582" width="12.5546875" style="486" customWidth="1"/>
    <col min="13583" max="13583" width="16.5546875" style="486" customWidth="1"/>
    <col min="13584" max="13585" width="20.5546875" style="486" customWidth="1"/>
    <col min="13586" max="13586" width="11" style="486" bestFit="1" customWidth="1"/>
    <col min="13587" max="13587" width="17.21875" style="486" customWidth="1"/>
    <col min="13588" max="13588" width="11" style="486" bestFit="1" customWidth="1"/>
    <col min="13589" max="13589" width="8.77734375" style="486" customWidth="1"/>
    <col min="13590" max="13593" width="10.21875" style="486" bestFit="1" customWidth="1"/>
    <col min="13594" max="13595" width="11.21875" style="486" bestFit="1" customWidth="1"/>
    <col min="13596" max="13806" width="8.77734375" style="486" customWidth="1"/>
    <col min="13807" max="13807" width="2.5546875" style="486" customWidth="1"/>
    <col min="13808" max="13808" width="5.5546875" style="486" customWidth="1"/>
    <col min="13809" max="13809" width="23.77734375" style="486" customWidth="1"/>
    <col min="13810" max="13810" width="3.77734375" style="486" customWidth="1"/>
    <col min="13811" max="13811" width="35.77734375" style="486" customWidth="1"/>
    <col min="13812" max="13812" width="22.21875" style="486" customWidth="1"/>
    <col min="13813" max="13813" width="17.77734375" style="486" customWidth="1"/>
    <col min="13814" max="13814" width="19" style="486" customWidth="1"/>
    <col min="13815" max="13815" width="20.77734375" style="486" customWidth="1"/>
    <col min="13816" max="13816" width="16.77734375" style="486" customWidth="1"/>
    <col min="13817" max="13817" width="18.77734375" style="486" customWidth="1"/>
    <col min="13818" max="13824" width="18.5546875" style="486"/>
    <col min="13825" max="13825" width="4" style="486" customWidth="1"/>
    <col min="13826" max="13826" width="5.5546875" style="486" customWidth="1"/>
    <col min="13827" max="13827" width="30.21875" style="486" customWidth="1"/>
    <col min="13828" max="13828" width="4.5546875" style="486" bestFit="1" customWidth="1"/>
    <col min="13829" max="13829" width="41" style="486" customWidth="1"/>
    <col min="13830" max="13831" width="14.5546875" style="486" customWidth="1"/>
    <col min="13832" max="13832" width="16.5546875" style="486" customWidth="1"/>
    <col min="13833" max="13836" width="14.5546875" style="486" customWidth="1"/>
    <col min="13837" max="13838" width="12.5546875" style="486" customWidth="1"/>
    <col min="13839" max="13839" width="16.5546875" style="486" customWidth="1"/>
    <col min="13840" max="13841" width="20.5546875" style="486" customWidth="1"/>
    <col min="13842" max="13842" width="11" style="486" bestFit="1" customWidth="1"/>
    <col min="13843" max="13843" width="17.21875" style="486" customWidth="1"/>
    <col min="13844" max="13844" width="11" style="486" bestFit="1" customWidth="1"/>
    <col min="13845" max="13845" width="8.77734375" style="486" customWidth="1"/>
    <col min="13846" max="13849" width="10.21875" style="486" bestFit="1" customWidth="1"/>
    <col min="13850" max="13851" width="11.21875" style="486" bestFit="1" customWidth="1"/>
    <col min="13852" max="14062" width="8.77734375" style="486" customWidth="1"/>
    <col min="14063" max="14063" width="2.5546875" style="486" customWidth="1"/>
    <col min="14064" max="14064" width="5.5546875" style="486" customWidth="1"/>
    <col min="14065" max="14065" width="23.77734375" style="486" customWidth="1"/>
    <col min="14066" max="14066" width="3.77734375" style="486" customWidth="1"/>
    <col min="14067" max="14067" width="35.77734375" style="486" customWidth="1"/>
    <col min="14068" max="14068" width="22.21875" style="486" customWidth="1"/>
    <col min="14069" max="14069" width="17.77734375" style="486" customWidth="1"/>
    <col min="14070" max="14070" width="19" style="486" customWidth="1"/>
    <col min="14071" max="14071" width="20.77734375" style="486" customWidth="1"/>
    <col min="14072" max="14072" width="16.77734375" style="486" customWidth="1"/>
    <col min="14073" max="14073" width="18.77734375" style="486" customWidth="1"/>
    <col min="14074" max="14080" width="18.5546875" style="486"/>
    <col min="14081" max="14081" width="4" style="486" customWidth="1"/>
    <col min="14082" max="14082" width="5.5546875" style="486" customWidth="1"/>
    <col min="14083" max="14083" width="30.21875" style="486" customWidth="1"/>
    <col min="14084" max="14084" width="4.5546875" style="486" bestFit="1" customWidth="1"/>
    <col min="14085" max="14085" width="41" style="486" customWidth="1"/>
    <col min="14086" max="14087" width="14.5546875" style="486" customWidth="1"/>
    <col min="14088" max="14088" width="16.5546875" style="486" customWidth="1"/>
    <col min="14089" max="14092" width="14.5546875" style="486" customWidth="1"/>
    <col min="14093" max="14094" width="12.5546875" style="486" customWidth="1"/>
    <col min="14095" max="14095" width="16.5546875" style="486" customWidth="1"/>
    <col min="14096" max="14097" width="20.5546875" style="486" customWidth="1"/>
    <col min="14098" max="14098" width="11" style="486" bestFit="1" customWidth="1"/>
    <col min="14099" max="14099" width="17.21875" style="486" customWidth="1"/>
    <col min="14100" max="14100" width="11" style="486" bestFit="1" customWidth="1"/>
    <col min="14101" max="14101" width="8.77734375" style="486" customWidth="1"/>
    <col min="14102" max="14105" width="10.21875" style="486" bestFit="1" customWidth="1"/>
    <col min="14106" max="14107" width="11.21875" style="486" bestFit="1" customWidth="1"/>
    <col min="14108" max="14318" width="8.77734375" style="486" customWidth="1"/>
    <col min="14319" max="14319" width="2.5546875" style="486" customWidth="1"/>
    <col min="14320" max="14320" width="5.5546875" style="486" customWidth="1"/>
    <col min="14321" max="14321" width="23.77734375" style="486" customWidth="1"/>
    <col min="14322" max="14322" width="3.77734375" style="486" customWidth="1"/>
    <col min="14323" max="14323" width="35.77734375" style="486" customWidth="1"/>
    <col min="14324" max="14324" width="22.21875" style="486" customWidth="1"/>
    <col min="14325" max="14325" width="17.77734375" style="486" customWidth="1"/>
    <col min="14326" max="14326" width="19" style="486" customWidth="1"/>
    <col min="14327" max="14327" width="20.77734375" style="486" customWidth="1"/>
    <col min="14328" max="14328" width="16.77734375" style="486" customWidth="1"/>
    <col min="14329" max="14329" width="18.77734375" style="486" customWidth="1"/>
    <col min="14330" max="14336" width="18.5546875" style="486"/>
    <col min="14337" max="14337" width="4" style="486" customWidth="1"/>
    <col min="14338" max="14338" width="5.5546875" style="486" customWidth="1"/>
    <col min="14339" max="14339" width="30.21875" style="486" customWidth="1"/>
    <col min="14340" max="14340" width="4.5546875" style="486" bestFit="1" customWidth="1"/>
    <col min="14341" max="14341" width="41" style="486" customWidth="1"/>
    <col min="14342" max="14343" width="14.5546875" style="486" customWidth="1"/>
    <col min="14344" max="14344" width="16.5546875" style="486" customWidth="1"/>
    <col min="14345" max="14348" width="14.5546875" style="486" customWidth="1"/>
    <col min="14349" max="14350" width="12.5546875" style="486" customWidth="1"/>
    <col min="14351" max="14351" width="16.5546875" style="486" customWidth="1"/>
    <col min="14352" max="14353" width="20.5546875" style="486" customWidth="1"/>
    <col min="14354" max="14354" width="11" style="486" bestFit="1" customWidth="1"/>
    <col min="14355" max="14355" width="17.21875" style="486" customWidth="1"/>
    <col min="14356" max="14356" width="11" style="486" bestFit="1" customWidth="1"/>
    <col min="14357" max="14357" width="8.77734375" style="486" customWidth="1"/>
    <col min="14358" max="14361" width="10.21875" style="486" bestFit="1" customWidth="1"/>
    <col min="14362" max="14363" width="11.21875" style="486" bestFit="1" customWidth="1"/>
    <col min="14364" max="14574" width="8.77734375" style="486" customWidth="1"/>
    <col min="14575" max="14575" width="2.5546875" style="486" customWidth="1"/>
    <col min="14576" max="14576" width="5.5546875" style="486" customWidth="1"/>
    <col min="14577" max="14577" width="23.77734375" style="486" customWidth="1"/>
    <col min="14578" max="14578" width="3.77734375" style="486" customWidth="1"/>
    <col min="14579" max="14579" width="35.77734375" style="486" customWidth="1"/>
    <col min="14580" max="14580" width="22.21875" style="486" customWidth="1"/>
    <col min="14581" max="14581" width="17.77734375" style="486" customWidth="1"/>
    <col min="14582" max="14582" width="19" style="486" customWidth="1"/>
    <col min="14583" max="14583" width="20.77734375" style="486" customWidth="1"/>
    <col min="14584" max="14584" width="16.77734375" style="486" customWidth="1"/>
    <col min="14585" max="14585" width="18.77734375" style="486" customWidth="1"/>
    <col min="14586" max="14592" width="18.5546875" style="486"/>
    <col min="14593" max="14593" width="4" style="486" customWidth="1"/>
    <col min="14594" max="14594" width="5.5546875" style="486" customWidth="1"/>
    <col min="14595" max="14595" width="30.21875" style="486" customWidth="1"/>
    <col min="14596" max="14596" width="4.5546875" style="486" bestFit="1" customWidth="1"/>
    <col min="14597" max="14597" width="41" style="486" customWidth="1"/>
    <col min="14598" max="14599" width="14.5546875" style="486" customWidth="1"/>
    <col min="14600" max="14600" width="16.5546875" style="486" customWidth="1"/>
    <col min="14601" max="14604" width="14.5546875" style="486" customWidth="1"/>
    <col min="14605" max="14606" width="12.5546875" style="486" customWidth="1"/>
    <col min="14607" max="14607" width="16.5546875" style="486" customWidth="1"/>
    <col min="14608" max="14609" width="20.5546875" style="486" customWidth="1"/>
    <col min="14610" max="14610" width="11" style="486" bestFit="1" customWidth="1"/>
    <col min="14611" max="14611" width="17.21875" style="486" customWidth="1"/>
    <col min="14612" max="14612" width="11" style="486" bestFit="1" customWidth="1"/>
    <col min="14613" max="14613" width="8.77734375" style="486" customWidth="1"/>
    <col min="14614" max="14617" width="10.21875" style="486" bestFit="1" customWidth="1"/>
    <col min="14618" max="14619" width="11.21875" style="486" bestFit="1" customWidth="1"/>
    <col min="14620" max="14830" width="8.77734375" style="486" customWidth="1"/>
    <col min="14831" max="14831" width="2.5546875" style="486" customWidth="1"/>
    <col min="14832" max="14832" width="5.5546875" style="486" customWidth="1"/>
    <col min="14833" max="14833" width="23.77734375" style="486" customWidth="1"/>
    <col min="14834" max="14834" width="3.77734375" style="486" customWidth="1"/>
    <col min="14835" max="14835" width="35.77734375" style="486" customWidth="1"/>
    <col min="14836" max="14836" width="22.21875" style="486" customWidth="1"/>
    <col min="14837" max="14837" width="17.77734375" style="486" customWidth="1"/>
    <col min="14838" max="14838" width="19" style="486" customWidth="1"/>
    <col min="14839" max="14839" width="20.77734375" style="486" customWidth="1"/>
    <col min="14840" max="14840" width="16.77734375" style="486" customWidth="1"/>
    <col min="14841" max="14841" width="18.77734375" style="486" customWidth="1"/>
    <col min="14842" max="14848" width="18.5546875" style="486"/>
    <col min="14849" max="14849" width="4" style="486" customWidth="1"/>
    <col min="14850" max="14850" width="5.5546875" style="486" customWidth="1"/>
    <col min="14851" max="14851" width="30.21875" style="486" customWidth="1"/>
    <col min="14852" max="14852" width="4.5546875" style="486" bestFit="1" customWidth="1"/>
    <col min="14853" max="14853" width="41" style="486" customWidth="1"/>
    <col min="14854" max="14855" width="14.5546875" style="486" customWidth="1"/>
    <col min="14856" max="14856" width="16.5546875" style="486" customWidth="1"/>
    <col min="14857" max="14860" width="14.5546875" style="486" customWidth="1"/>
    <col min="14861" max="14862" width="12.5546875" style="486" customWidth="1"/>
    <col min="14863" max="14863" width="16.5546875" style="486" customWidth="1"/>
    <col min="14864" max="14865" width="20.5546875" style="486" customWidth="1"/>
    <col min="14866" max="14866" width="11" style="486" bestFit="1" customWidth="1"/>
    <col min="14867" max="14867" width="17.21875" style="486" customWidth="1"/>
    <col min="14868" max="14868" width="11" style="486" bestFit="1" customWidth="1"/>
    <col min="14869" max="14869" width="8.77734375" style="486" customWidth="1"/>
    <col min="14870" max="14873" width="10.21875" style="486" bestFit="1" customWidth="1"/>
    <col min="14874" max="14875" width="11.21875" style="486" bestFit="1" customWidth="1"/>
    <col min="14876" max="15086" width="8.77734375" style="486" customWidth="1"/>
    <col min="15087" max="15087" width="2.5546875" style="486" customWidth="1"/>
    <col min="15088" max="15088" width="5.5546875" style="486" customWidth="1"/>
    <col min="15089" max="15089" width="23.77734375" style="486" customWidth="1"/>
    <col min="15090" max="15090" width="3.77734375" style="486" customWidth="1"/>
    <col min="15091" max="15091" width="35.77734375" style="486" customWidth="1"/>
    <col min="15092" max="15092" width="22.21875" style="486" customWidth="1"/>
    <col min="15093" max="15093" width="17.77734375" style="486" customWidth="1"/>
    <col min="15094" max="15094" width="19" style="486" customWidth="1"/>
    <col min="15095" max="15095" width="20.77734375" style="486" customWidth="1"/>
    <col min="15096" max="15096" width="16.77734375" style="486" customWidth="1"/>
    <col min="15097" max="15097" width="18.77734375" style="486" customWidth="1"/>
    <col min="15098" max="15104" width="18.5546875" style="486"/>
    <col min="15105" max="15105" width="4" style="486" customWidth="1"/>
    <col min="15106" max="15106" width="5.5546875" style="486" customWidth="1"/>
    <col min="15107" max="15107" width="30.21875" style="486" customWidth="1"/>
    <col min="15108" max="15108" width="4.5546875" style="486" bestFit="1" customWidth="1"/>
    <col min="15109" max="15109" width="41" style="486" customWidth="1"/>
    <col min="15110" max="15111" width="14.5546875" style="486" customWidth="1"/>
    <col min="15112" max="15112" width="16.5546875" style="486" customWidth="1"/>
    <col min="15113" max="15116" width="14.5546875" style="486" customWidth="1"/>
    <col min="15117" max="15118" width="12.5546875" style="486" customWidth="1"/>
    <col min="15119" max="15119" width="16.5546875" style="486" customWidth="1"/>
    <col min="15120" max="15121" width="20.5546875" style="486" customWidth="1"/>
    <col min="15122" max="15122" width="11" style="486" bestFit="1" customWidth="1"/>
    <col min="15123" max="15123" width="17.21875" style="486" customWidth="1"/>
    <col min="15124" max="15124" width="11" style="486" bestFit="1" customWidth="1"/>
    <col min="15125" max="15125" width="8.77734375" style="486" customWidth="1"/>
    <col min="15126" max="15129" width="10.21875" style="486" bestFit="1" customWidth="1"/>
    <col min="15130" max="15131" width="11.21875" style="486" bestFit="1" customWidth="1"/>
    <col min="15132" max="15342" width="8.77734375" style="486" customWidth="1"/>
    <col min="15343" max="15343" width="2.5546875" style="486" customWidth="1"/>
    <col min="15344" max="15344" width="5.5546875" style="486" customWidth="1"/>
    <col min="15345" max="15345" width="23.77734375" style="486" customWidth="1"/>
    <col min="15346" max="15346" width="3.77734375" style="486" customWidth="1"/>
    <col min="15347" max="15347" width="35.77734375" style="486" customWidth="1"/>
    <col min="15348" max="15348" width="22.21875" style="486" customWidth="1"/>
    <col min="15349" max="15349" width="17.77734375" style="486" customWidth="1"/>
    <col min="15350" max="15350" width="19" style="486" customWidth="1"/>
    <col min="15351" max="15351" width="20.77734375" style="486" customWidth="1"/>
    <col min="15352" max="15352" width="16.77734375" style="486" customWidth="1"/>
    <col min="15353" max="15353" width="18.77734375" style="486" customWidth="1"/>
    <col min="15354" max="15360" width="18.5546875" style="486"/>
    <col min="15361" max="15361" width="4" style="486" customWidth="1"/>
    <col min="15362" max="15362" width="5.5546875" style="486" customWidth="1"/>
    <col min="15363" max="15363" width="30.21875" style="486" customWidth="1"/>
    <col min="15364" max="15364" width="4.5546875" style="486" bestFit="1" customWidth="1"/>
    <col min="15365" max="15365" width="41" style="486" customWidth="1"/>
    <col min="15366" max="15367" width="14.5546875" style="486" customWidth="1"/>
    <col min="15368" max="15368" width="16.5546875" style="486" customWidth="1"/>
    <col min="15369" max="15372" width="14.5546875" style="486" customWidth="1"/>
    <col min="15373" max="15374" width="12.5546875" style="486" customWidth="1"/>
    <col min="15375" max="15375" width="16.5546875" style="486" customWidth="1"/>
    <col min="15376" max="15377" width="20.5546875" style="486" customWidth="1"/>
    <col min="15378" max="15378" width="11" style="486" bestFit="1" customWidth="1"/>
    <col min="15379" max="15379" width="17.21875" style="486" customWidth="1"/>
    <col min="15380" max="15380" width="11" style="486" bestFit="1" customWidth="1"/>
    <col min="15381" max="15381" width="8.77734375" style="486" customWidth="1"/>
    <col min="15382" max="15385" width="10.21875" style="486" bestFit="1" customWidth="1"/>
    <col min="15386" max="15387" width="11.21875" style="486" bestFit="1" customWidth="1"/>
    <col min="15388" max="15598" width="8.77734375" style="486" customWidth="1"/>
    <col min="15599" max="15599" width="2.5546875" style="486" customWidth="1"/>
    <col min="15600" max="15600" width="5.5546875" style="486" customWidth="1"/>
    <col min="15601" max="15601" width="23.77734375" style="486" customWidth="1"/>
    <col min="15602" max="15602" width="3.77734375" style="486" customWidth="1"/>
    <col min="15603" max="15603" width="35.77734375" style="486" customWidth="1"/>
    <col min="15604" max="15604" width="22.21875" style="486" customWidth="1"/>
    <col min="15605" max="15605" width="17.77734375" style="486" customWidth="1"/>
    <col min="15606" max="15606" width="19" style="486" customWidth="1"/>
    <col min="15607" max="15607" width="20.77734375" style="486" customWidth="1"/>
    <col min="15608" max="15608" width="16.77734375" style="486" customWidth="1"/>
    <col min="15609" max="15609" width="18.77734375" style="486" customWidth="1"/>
    <col min="15610" max="15616" width="18.5546875" style="486"/>
    <col min="15617" max="15617" width="4" style="486" customWidth="1"/>
    <col min="15618" max="15618" width="5.5546875" style="486" customWidth="1"/>
    <col min="15619" max="15619" width="30.21875" style="486" customWidth="1"/>
    <col min="15620" max="15620" width="4.5546875" style="486" bestFit="1" customWidth="1"/>
    <col min="15621" max="15621" width="41" style="486" customWidth="1"/>
    <col min="15622" max="15623" width="14.5546875" style="486" customWidth="1"/>
    <col min="15624" max="15624" width="16.5546875" style="486" customWidth="1"/>
    <col min="15625" max="15628" width="14.5546875" style="486" customWidth="1"/>
    <col min="15629" max="15630" width="12.5546875" style="486" customWidth="1"/>
    <col min="15631" max="15631" width="16.5546875" style="486" customWidth="1"/>
    <col min="15632" max="15633" width="20.5546875" style="486" customWidth="1"/>
    <col min="15634" max="15634" width="11" style="486" bestFit="1" customWidth="1"/>
    <col min="15635" max="15635" width="17.21875" style="486" customWidth="1"/>
    <col min="15636" max="15636" width="11" style="486" bestFit="1" customWidth="1"/>
    <col min="15637" max="15637" width="8.77734375" style="486" customWidth="1"/>
    <col min="15638" max="15641" width="10.21875" style="486" bestFit="1" customWidth="1"/>
    <col min="15642" max="15643" width="11.21875" style="486" bestFit="1" customWidth="1"/>
    <col min="15644" max="15854" width="8.77734375" style="486" customWidth="1"/>
    <col min="15855" max="15855" width="2.5546875" style="486" customWidth="1"/>
    <col min="15856" max="15856" width="5.5546875" style="486" customWidth="1"/>
    <col min="15857" max="15857" width="23.77734375" style="486" customWidth="1"/>
    <col min="15858" max="15858" width="3.77734375" style="486" customWidth="1"/>
    <col min="15859" max="15859" width="35.77734375" style="486" customWidth="1"/>
    <col min="15860" max="15860" width="22.21875" style="486" customWidth="1"/>
    <col min="15861" max="15861" width="17.77734375" style="486" customWidth="1"/>
    <col min="15862" max="15862" width="19" style="486" customWidth="1"/>
    <col min="15863" max="15863" width="20.77734375" style="486" customWidth="1"/>
    <col min="15864" max="15864" width="16.77734375" style="486" customWidth="1"/>
    <col min="15865" max="15865" width="18.77734375" style="486" customWidth="1"/>
    <col min="15866" max="15872" width="18.5546875" style="486"/>
    <col min="15873" max="15873" width="4" style="486" customWidth="1"/>
    <col min="15874" max="15874" width="5.5546875" style="486" customWidth="1"/>
    <col min="15875" max="15875" width="30.21875" style="486" customWidth="1"/>
    <col min="15876" max="15876" width="4.5546875" style="486" bestFit="1" customWidth="1"/>
    <col min="15877" max="15877" width="41" style="486" customWidth="1"/>
    <col min="15878" max="15879" width="14.5546875" style="486" customWidth="1"/>
    <col min="15880" max="15880" width="16.5546875" style="486" customWidth="1"/>
    <col min="15881" max="15884" width="14.5546875" style="486" customWidth="1"/>
    <col min="15885" max="15886" width="12.5546875" style="486" customWidth="1"/>
    <col min="15887" max="15887" width="16.5546875" style="486" customWidth="1"/>
    <col min="15888" max="15889" width="20.5546875" style="486" customWidth="1"/>
    <col min="15890" max="15890" width="11" style="486" bestFit="1" customWidth="1"/>
    <col min="15891" max="15891" width="17.21875" style="486" customWidth="1"/>
    <col min="15892" max="15892" width="11" style="486" bestFit="1" customWidth="1"/>
    <col min="15893" max="15893" width="8.77734375" style="486" customWidth="1"/>
    <col min="15894" max="15897" width="10.21875" style="486" bestFit="1" customWidth="1"/>
    <col min="15898" max="15899" width="11.21875" style="486" bestFit="1" customWidth="1"/>
    <col min="15900" max="16110" width="8.77734375" style="486" customWidth="1"/>
    <col min="16111" max="16111" width="2.5546875" style="486" customWidth="1"/>
    <col min="16112" max="16112" width="5.5546875" style="486" customWidth="1"/>
    <col min="16113" max="16113" width="23.77734375" style="486" customWidth="1"/>
    <col min="16114" max="16114" width="3.77734375" style="486" customWidth="1"/>
    <col min="16115" max="16115" width="35.77734375" style="486" customWidth="1"/>
    <col min="16116" max="16116" width="22.21875" style="486" customWidth="1"/>
    <col min="16117" max="16117" width="17.77734375" style="486" customWidth="1"/>
    <col min="16118" max="16118" width="19" style="486" customWidth="1"/>
    <col min="16119" max="16119" width="20.77734375" style="486" customWidth="1"/>
    <col min="16120" max="16120" width="16.77734375" style="486" customWidth="1"/>
    <col min="16121" max="16121" width="18.77734375" style="486" customWidth="1"/>
    <col min="16122" max="16128" width="18.5546875" style="486"/>
    <col min="16129" max="16129" width="4" style="486" customWidth="1"/>
    <col min="16130" max="16130" width="5.5546875" style="486" customWidth="1"/>
    <col min="16131" max="16131" width="30.21875" style="486" customWidth="1"/>
    <col min="16132" max="16132" width="4.5546875" style="486" bestFit="1" customWidth="1"/>
    <col min="16133" max="16133" width="41" style="486" customWidth="1"/>
    <col min="16134" max="16135" width="14.5546875" style="486" customWidth="1"/>
    <col min="16136" max="16136" width="16.5546875" style="486" customWidth="1"/>
    <col min="16137" max="16140" width="14.5546875" style="486" customWidth="1"/>
    <col min="16141" max="16142" width="12.5546875" style="486" customWidth="1"/>
    <col min="16143" max="16143" width="16.5546875" style="486" customWidth="1"/>
    <col min="16144" max="16145" width="20.5546875" style="486" customWidth="1"/>
    <col min="16146" max="16146" width="11" style="486" bestFit="1" customWidth="1"/>
    <col min="16147" max="16147" width="17.21875" style="486" customWidth="1"/>
    <col min="16148" max="16148" width="11" style="486" bestFit="1" customWidth="1"/>
    <col min="16149" max="16149" width="8.77734375" style="486" customWidth="1"/>
    <col min="16150" max="16153" width="10.21875" style="486" bestFit="1" customWidth="1"/>
    <col min="16154" max="16155" width="11.21875" style="486" bestFit="1" customWidth="1"/>
    <col min="16156" max="16366" width="8.77734375" style="486" customWidth="1"/>
    <col min="16367" max="16367" width="2.5546875" style="486" customWidth="1"/>
    <col min="16368" max="16368" width="5.5546875" style="486" customWidth="1"/>
    <col min="16369" max="16369" width="23.77734375" style="486" customWidth="1"/>
    <col min="16370" max="16370" width="3.77734375" style="486" customWidth="1"/>
    <col min="16371" max="16371" width="35.77734375" style="486" customWidth="1"/>
    <col min="16372" max="16372" width="22.21875" style="486" customWidth="1"/>
    <col min="16373" max="16373" width="17.77734375" style="486" customWidth="1"/>
    <col min="16374" max="16374" width="19" style="486" customWidth="1"/>
    <col min="16375" max="16375" width="20.77734375" style="486" customWidth="1"/>
    <col min="16376" max="16376" width="16.77734375" style="486" customWidth="1"/>
    <col min="16377" max="16377" width="18.77734375" style="486" customWidth="1"/>
    <col min="16378" max="16384" width="18.5546875" style="486"/>
  </cols>
  <sheetData>
    <row r="2" spans="1:18" s="474" customFormat="1" ht="18">
      <c r="B2" s="598" t="s">
        <v>896</v>
      </c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475"/>
      <c r="O2" s="475"/>
      <c r="P2" s="475"/>
      <c r="Q2" s="475"/>
    </row>
    <row r="3" spans="1:18" s="474" customFormat="1" ht="23.25" customHeight="1">
      <c r="B3" s="598" t="s">
        <v>897</v>
      </c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475"/>
      <c r="O3" s="475"/>
      <c r="P3" s="475"/>
      <c r="Q3" s="475"/>
    </row>
    <row r="4" spans="1:18" s="474" customFormat="1" ht="6" customHeight="1" thickBot="1">
      <c r="D4" s="476"/>
    </row>
    <row r="5" spans="1:18" s="476" customFormat="1" ht="40.950000000000003" customHeight="1">
      <c r="B5" s="599" t="s">
        <v>2</v>
      </c>
      <c r="C5" s="587" t="s">
        <v>338</v>
      </c>
      <c r="D5" s="585" t="s">
        <v>898</v>
      </c>
      <c r="E5" s="586"/>
      <c r="F5" s="587" t="s">
        <v>899</v>
      </c>
      <c r="G5" s="604" t="s">
        <v>900</v>
      </c>
      <c r="H5" s="604" t="s">
        <v>928</v>
      </c>
      <c r="I5" s="585" t="s">
        <v>929</v>
      </c>
      <c r="J5" s="586"/>
      <c r="K5" s="585" t="s">
        <v>930</v>
      </c>
      <c r="L5" s="586"/>
      <c r="M5" s="585" t="s">
        <v>931</v>
      </c>
      <c r="N5" s="586"/>
      <c r="O5" s="587" t="s">
        <v>932</v>
      </c>
      <c r="P5" s="587"/>
      <c r="Q5" s="588"/>
    </row>
    <row r="6" spans="1:18" s="474" customFormat="1" ht="44.55" customHeight="1">
      <c r="B6" s="600"/>
      <c r="C6" s="601"/>
      <c r="D6" s="602"/>
      <c r="E6" s="603"/>
      <c r="F6" s="601"/>
      <c r="G6" s="605"/>
      <c r="H6" s="605"/>
      <c r="I6" s="477" t="s">
        <v>933</v>
      </c>
      <c r="J6" s="477" t="s">
        <v>934</v>
      </c>
      <c r="K6" s="477" t="s">
        <v>935</v>
      </c>
      <c r="L6" s="477" t="s">
        <v>936</v>
      </c>
      <c r="M6" s="477" t="s">
        <v>937</v>
      </c>
      <c r="N6" s="477" t="s">
        <v>938</v>
      </c>
      <c r="O6" s="477" t="s">
        <v>939</v>
      </c>
      <c r="P6" s="477" t="s">
        <v>940</v>
      </c>
      <c r="Q6" s="478" t="s">
        <v>941</v>
      </c>
    </row>
    <row r="7" spans="1:18" s="479" customFormat="1" ht="14.4" thickBot="1">
      <c r="B7" s="480">
        <v>1</v>
      </c>
      <c r="C7" s="481">
        <v>2</v>
      </c>
      <c r="D7" s="589">
        <v>3</v>
      </c>
      <c r="E7" s="590"/>
      <c r="F7" s="481">
        <v>4</v>
      </c>
      <c r="G7" s="481">
        <v>5</v>
      </c>
      <c r="H7" s="481">
        <v>6</v>
      </c>
      <c r="I7" s="481">
        <v>7</v>
      </c>
      <c r="J7" s="481">
        <v>8</v>
      </c>
      <c r="K7" s="481" t="s">
        <v>942</v>
      </c>
      <c r="L7" s="481" t="s">
        <v>943</v>
      </c>
      <c r="M7" s="481" t="s">
        <v>944</v>
      </c>
      <c r="N7" s="481" t="s">
        <v>945</v>
      </c>
      <c r="O7" s="481" t="s">
        <v>946</v>
      </c>
      <c r="P7" s="481" t="s">
        <v>947</v>
      </c>
      <c r="Q7" s="482" t="s">
        <v>948</v>
      </c>
    </row>
    <row r="8" spans="1:18">
      <c r="A8" s="404"/>
      <c r="B8" s="405"/>
      <c r="C8" s="406"/>
      <c r="D8" s="407"/>
      <c r="E8" s="408"/>
      <c r="F8" s="483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5"/>
    </row>
    <row r="9" spans="1:18">
      <c r="A9" s="404"/>
      <c r="B9" s="412">
        <v>1</v>
      </c>
      <c r="C9" s="413" t="s">
        <v>901</v>
      </c>
      <c r="D9" s="487">
        <v>1</v>
      </c>
      <c r="E9" s="488" t="s">
        <v>902</v>
      </c>
      <c r="F9" s="489">
        <f>[2]REKAP!$F$11</f>
        <v>260845555.66666672</v>
      </c>
      <c r="G9" s="489">
        <f>'[3]PROGNOSA (2)'!$D$54</f>
        <v>70508220</v>
      </c>
      <c r="H9" s="490">
        <f>'[4]REKAPITULASI  KAPAL'!I9</f>
        <v>223531158.76288658</v>
      </c>
      <c r="I9" s="490"/>
      <c r="J9" s="490">
        <f>(F9/12)*5</f>
        <v>108685648.19444446</v>
      </c>
      <c r="K9" s="490"/>
      <c r="L9" s="490">
        <f>J9+G9</f>
        <v>179193868.19444448</v>
      </c>
      <c r="M9" s="491">
        <f t="shared" ref="M9:M14" si="0">K9/F9</f>
        <v>0</v>
      </c>
      <c r="N9" s="491">
        <f>L9/F9</f>
        <v>0.68697305475058756</v>
      </c>
      <c r="O9" s="492">
        <f t="shared" ref="O9:O14" si="1">H9/F9</f>
        <v>0.8569483125429822</v>
      </c>
      <c r="P9" s="492" t="e">
        <f t="shared" ref="P9:P14" si="2">H9/K9</f>
        <v>#DIV/0!</v>
      </c>
      <c r="Q9" s="493">
        <f t="shared" ref="Q9:Q14" si="3">H9/L9</f>
        <v>1.247426382471589</v>
      </c>
    </row>
    <row r="10" spans="1:18">
      <c r="A10" s="404"/>
      <c r="B10" s="412"/>
      <c r="C10" s="413"/>
      <c r="D10" s="487">
        <v>2</v>
      </c>
      <c r="E10" s="494" t="s">
        <v>903</v>
      </c>
      <c r="F10" s="489">
        <v>994766768</v>
      </c>
      <c r="G10" s="489">
        <f>'[3]PROGNOSA (2)'!$D$55</f>
        <v>801138610</v>
      </c>
      <c r="H10" s="490">
        <f>'[4]REKAPITULASI  KAPAL'!I14</f>
        <v>980730368.20000005</v>
      </c>
      <c r="I10" s="490"/>
      <c r="J10" s="490"/>
      <c r="K10" s="490"/>
      <c r="L10" s="490">
        <f t="shared" ref="L10:L13" si="4">J10+G10</f>
        <v>801138610</v>
      </c>
      <c r="M10" s="491">
        <f t="shared" si="0"/>
        <v>0</v>
      </c>
      <c r="N10" s="491">
        <f>L10/F10</f>
        <v>0.80535321019087358</v>
      </c>
      <c r="O10" s="492">
        <f t="shared" si="1"/>
        <v>0.98588975803019596</v>
      </c>
      <c r="P10" s="492" t="e">
        <f t="shared" si="2"/>
        <v>#DIV/0!</v>
      </c>
      <c r="Q10" s="493">
        <f t="shared" si="3"/>
        <v>1.2241706440786819</v>
      </c>
    </row>
    <row r="11" spans="1:18">
      <c r="A11" s="404"/>
      <c r="B11" s="412"/>
      <c r="C11" s="413"/>
      <c r="D11" s="487">
        <v>3</v>
      </c>
      <c r="E11" s="494" t="s">
        <v>32</v>
      </c>
      <c r="F11" s="489">
        <v>294773975</v>
      </c>
      <c r="G11" s="489">
        <f>'[3]PROGNOSA (2)'!$D$56</f>
        <v>177514920</v>
      </c>
      <c r="H11" s="490">
        <f>'[4]REKAPITULASI  KAPAL'!$I$20</f>
        <v>469166650</v>
      </c>
      <c r="I11" s="490"/>
      <c r="J11" s="490">
        <f t="shared" ref="J11:J12" si="5">(F11/12)*5</f>
        <v>122822489.58333334</v>
      </c>
      <c r="K11" s="490"/>
      <c r="L11" s="490">
        <f t="shared" si="4"/>
        <v>300337409.58333337</v>
      </c>
      <c r="M11" s="491">
        <f t="shared" si="0"/>
        <v>0</v>
      </c>
      <c r="N11" s="491">
        <f>L11/F11</f>
        <v>1.0188735609489725</v>
      </c>
      <c r="O11" s="492">
        <f t="shared" si="1"/>
        <v>1.5916148974820454</v>
      </c>
      <c r="P11" s="492" t="e">
        <f t="shared" si="2"/>
        <v>#DIV/0!</v>
      </c>
      <c r="Q11" s="493">
        <f t="shared" si="3"/>
        <v>1.5621319057485654</v>
      </c>
    </row>
    <row r="12" spans="1:18">
      <c r="A12" s="404"/>
      <c r="B12" s="412"/>
      <c r="C12" s="413"/>
      <c r="D12" s="487">
        <v>4</v>
      </c>
      <c r="E12" s="494" t="s">
        <v>43</v>
      </c>
      <c r="F12" s="489">
        <v>306018000</v>
      </c>
      <c r="G12" s="489">
        <f>'[3]PROGNOSA (2)'!$D$57</f>
        <v>179754078</v>
      </c>
      <c r="H12" s="490">
        <f>'[4]REKAPITULASI  KAPAL'!$I$27</f>
        <v>443685430</v>
      </c>
      <c r="I12" s="490"/>
      <c r="J12" s="490">
        <f t="shared" si="5"/>
        <v>127507500</v>
      </c>
      <c r="K12" s="490"/>
      <c r="L12" s="490">
        <f t="shared" si="4"/>
        <v>307261578</v>
      </c>
      <c r="M12" s="491">
        <f t="shared" si="0"/>
        <v>0</v>
      </c>
      <c r="N12" s="491">
        <f>L12/F12</f>
        <v>1.004063741348548</v>
      </c>
      <c r="O12" s="492">
        <f t="shared" si="1"/>
        <v>1.449867099320955</v>
      </c>
      <c r="P12" s="492" t="e">
        <f t="shared" si="2"/>
        <v>#DIV/0!</v>
      </c>
      <c r="Q12" s="493">
        <f t="shared" si="3"/>
        <v>1.443999060631004</v>
      </c>
    </row>
    <row r="13" spans="1:18">
      <c r="A13" s="404"/>
      <c r="B13" s="412"/>
      <c r="C13" s="413"/>
      <c r="D13" s="487">
        <v>5</v>
      </c>
      <c r="E13" s="494" t="s">
        <v>904</v>
      </c>
      <c r="F13" s="489">
        <v>149477700</v>
      </c>
      <c r="G13" s="489">
        <f>'[3]PROGNOSA (2)'!$D$53</f>
        <v>186036000</v>
      </c>
      <c r="H13" s="490">
        <f>'[4]REKAPITULASI  KAPAL'!$I$33</f>
        <v>218400000</v>
      </c>
      <c r="I13" s="490"/>
      <c r="J13" s="490"/>
      <c r="K13" s="490"/>
      <c r="L13" s="490">
        <f t="shared" si="4"/>
        <v>186036000</v>
      </c>
      <c r="M13" s="491">
        <f t="shared" si="0"/>
        <v>0</v>
      </c>
      <c r="N13" s="491">
        <f>L13/F13</f>
        <v>1.2445736052936325</v>
      </c>
      <c r="O13" s="492">
        <f t="shared" si="1"/>
        <v>1.4610875066983235</v>
      </c>
      <c r="P13" s="492" t="e">
        <f t="shared" si="2"/>
        <v>#DIV/0!</v>
      </c>
      <c r="Q13" s="493">
        <f t="shared" si="3"/>
        <v>1.1739663290975939</v>
      </c>
      <c r="R13" s="495">
        <f>K13/G13</f>
        <v>0</v>
      </c>
    </row>
    <row r="14" spans="1:18">
      <c r="A14" s="419"/>
      <c r="B14" s="496"/>
      <c r="C14" s="497"/>
      <c r="D14" s="498"/>
      <c r="E14" s="499" t="s">
        <v>905</v>
      </c>
      <c r="F14" s="500">
        <f t="shared" ref="F14:L14" si="6">SUM(F9:F13)</f>
        <v>2005881998.6666667</v>
      </c>
      <c r="G14" s="500">
        <f t="shared" si="6"/>
        <v>1414951828</v>
      </c>
      <c r="H14" s="500">
        <f t="shared" si="6"/>
        <v>2335513606.9628868</v>
      </c>
      <c r="I14" s="500">
        <f t="shared" si="6"/>
        <v>0</v>
      </c>
      <c r="J14" s="500">
        <f t="shared" si="6"/>
        <v>359015637.77777779</v>
      </c>
      <c r="K14" s="500">
        <f t="shared" si="6"/>
        <v>0</v>
      </c>
      <c r="L14" s="500">
        <f t="shared" si="6"/>
        <v>1773967465.7777777</v>
      </c>
      <c r="M14" s="501">
        <f t="shared" si="0"/>
        <v>0</v>
      </c>
      <c r="N14" s="501">
        <f>L14/G14</f>
        <v>1.2537299367182255</v>
      </c>
      <c r="O14" s="501">
        <f t="shared" si="1"/>
        <v>1.1643325023682001</v>
      </c>
      <c r="P14" s="501" t="e">
        <f t="shared" si="2"/>
        <v>#DIV/0!</v>
      </c>
      <c r="Q14" s="502">
        <f t="shared" si="3"/>
        <v>1.3165481622510506</v>
      </c>
    </row>
    <row r="15" spans="1:18">
      <c r="A15" s="404"/>
      <c r="B15" s="412"/>
      <c r="C15" s="413"/>
      <c r="D15" s="425"/>
      <c r="E15" s="426"/>
      <c r="F15" s="490"/>
      <c r="G15" s="490"/>
      <c r="H15" s="490"/>
      <c r="I15" s="490"/>
      <c r="J15" s="490"/>
      <c r="K15" s="490"/>
      <c r="L15" s="490"/>
      <c r="M15" s="490"/>
      <c r="N15" s="490"/>
      <c r="O15" s="490"/>
      <c r="P15" s="490"/>
      <c r="Q15" s="503"/>
    </row>
    <row r="16" spans="1:18">
      <c r="A16" s="419"/>
      <c r="B16" s="412">
        <v>2</v>
      </c>
      <c r="C16" s="413" t="s">
        <v>906</v>
      </c>
      <c r="D16" s="487">
        <v>1</v>
      </c>
      <c r="E16" s="488" t="s">
        <v>902</v>
      </c>
      <c r="F16" s="489">
        <f>[2]REKAP!$F$18</f>
        <v>261345555.66666666</v>
      </c>
      <c r="G16" s="489">
        <f>'[3]PROGNOSA (2)'!D5</f>
        <v>94192480</v>
      </c>
      <c r="H16" s="490">
        <f>'[4]REKAPITULASI  KAPAL'!$G$9</f>
        <v>204583548.45360824</v>
      </c>
      <c r="I16" s="490"/>
      <c r="J16" s="490">
        <f>(F16/12)*5</f>
        <v>108893981.52777778</v>
      </c>
      <c r="K16" s="490"/>
      <c r="L16" s="490">
        <f>J16+G16</f>
        <v>203086461.52777779</v>
      </c>
      <c r="M16" s="491">
        <f t="shared" ref="M16:M21" si="7">K16/F16</f>
        <v>0</v>
      </c>
      <c r="N16" s="491">
        <f>L16/F16</f>
        <v>0.77708021860071164</v>
      </c>
      <c r="O16" s="492">
        <f t="shared" ref="O16:O21" si="8">H16/F16</f>
        <v>0.78280859964018079</v>
      </c>
      <c r="P16" s="492" t="e">
        <f t="shared" ref="P16:P21" si="9">H16/K16</f>
        <v>#DIV/0!</v>
      </c>
      <c r="Q16" s="493">
        <f t="shared" ref="Q16:Q21" si="10">H16/L16</f>
        <v>1.0073716727081075</v>
      </c>
    </row>
    <row r="17" spans="1:17">
      <c r="A17" s="404"/>
      <c r="B17" s="412"/>
      <c r="C17" s="413"/>
      <c r="D17" s="487">
        <v>2</v>
      </c>
      <c r="E17" s="494" t="s">
        <v>903</v>
      </c>
      <c r="F17" s="489">
        <f>908852460</f>
        <v>908852460</v>
      </c>
      <c r="G17" s="489">
        <f>'[3]PROGNOSA (2)'!D6</f>
        <v>1661115776</v>
      </c>
      <c r="H17" s="490">
        <f>'[4]REKAPITULASI  KAPAL'!$G$14</f>
        <v>1175203807</v>
      </c>
      <c r="I17" s="490"/>
      <c r="J17" s="490"/>
      <c r="K17" s="490"/>
      <c r="L17" s="490">
        <f t="shared" ref="L17:L20" si="11">J17+G17</f>
        <v>1661115776</v>
      </c>
      <c r="M17" s="491">
        <f t="shared" si="7"/>
        <v>0</v>
      </c>
      <c r="N17" s="491">
        <f>L17/F17</f>
        <v>1.8277067501143145</v>
      </c>
      <c r="O17" s="492">
        <f t="shared" si="8"/>
        <v>1.2930633504584452</v>
      </c>
      <c r="P17" s="492" t="e">
        <f t="shared" si="9"/>
        <v>#DIV/0!</v>
      </c>
      <c r="Q17" s="493">
        <f t="shared" si="10"/>
        <v>0.70747856590099589</v>
      </c>
    </row>
    <row r="18" spans="1:17">
      <c r="A18" s="419"/>
      <c r="B18" s="412"/>
      <c r="C18" s="413"/>
      <c r="D18" s="487">
        <v>3</v>
      </c>
      <c r="E18" s="494" t="s">
        <v>32</v>
      </c>
      <c r="F18" s="489">
        <f>278355450</f>
        <v>278355450</v>
      </c>
      <c r="G18" s="489">
        <f>'[3]PROGNOSA (2)'!D7</f>
        <v>315266188</v>
      </c>
      <c r="H18" s="490">
        <f>'[4]REKAPITULASI  KAPAL'!$G$20</f>
        <v>532726900</v>
      </c>
      <c r="I18" s="490"/>
      <c r="J18" s="490">
        <f t="shared" ref="J18:J19" si="12">(F18/12)*5</f>
        <v>115981437.5</v>
      </c>
      <c r="K18" s="490"/>
      <c r="L18" s="490">
        <f t="shared" si="11"/>
        <v>431247625.5</v>
      </c>
      <c r="M18" s="491">
        <f t="shared" si="7"/>
        <v>0</v>
      </c>
      <c r="N18" s="491">
        <f>L18/F18</f>
        <v>1.5492695598379698</v>
      </c>
      <c r="O18" s="492">
        <f t="shared" si="8"/>
        <v>1.9138367867415564</v>
      </c>
      <c r="P18" s="492" t="e">
        <f t="shared" si="9"/>
        <v>#DIV/0!</v>
      </c>
      <c r="Q18" s="493">
        <f t="shared" si="10"/>
        <v>1.235315555378055</v>
      </c>
    </row>
    <row r="19" spans="1:17">
      <c r="A19" s="419"/>
      <c r="B19" s="412"/>
      <c r="C19" s="413"/>
      <c r="D19" s="487">
        <v>4</v>
      </c>
      <c r="E19" s="494" t="s">
        <v>43</v>
      </c>
      <c r="F19" s="489">
        <f>243024000</f>
        <v>243024000</v>
      </c>
      <c r="G19" s="489">
        <f>'[3]PROGNOSA (2)'!D8</f>
        <v>220917700</v>
      </c>
      <c r="H19" s="490">
        <f>'[4]REKAPITULASI  KAPAL'!$G$27</f>
        <v>478047520</v>
      </c>
      <c r="I19" s="490"/>
      <c r="J19" s="490">
        <f t="shared" si="12"/>
        <v>101260000</v>
      </c>
      <c r="K19" s="490"/>
      <c r="L19" s="490">
        <f t="shared" si="11"/>
        <v>322177700</v>
      </c>
      <c r="M19" s="491">
        <f t="shared" si="7"/>
        <v>0</v>
      </c>
      <c r="N19" s="491">
        <f>L19/F19</f>
        <v>1.3257032227269734</v>
      </c>
      <c r="O19" s="492">
        <f t="shared" si="8"/>
        <v>1.967079465402594</v>
      </c>
      <c r="P19" s="492" t="e">
        <f t="shared" si="9"/>
        <v>#DIV/0!</v>
      </c>
      <c r="Q19" s="493">
        <f t="shared" si="10"/>
        <v>1.4838007720584012</v>
      </c>
    </row>
    <row r="20" spans="1:17">
      <c r="A20" s="419"/>
      <c r="B20" s="412"/>
      <c r="C20" s="413"/>
      <c r="D20" s="487">
        <v>5</v>
      </c>
      <c r="E20" s="494" t="s">
        <v>904</v>
      </c>
      <c r="F20" s="489">
        <f>109477700</f>
        <v>109477700</v>
      </c>
      <c r="G20" s="489">
        <f>'[3]PROGNOSA (2)'!$D$4</f>
        <v>115495500</v>
      </c>
      <c r="H20" s="490">
        <f>'[4]REKAPITULASI  KAPAL'!$G$33</f>
        <v>250000000</v>
      </c>
      <c r="I20" s="490"/>
      <c r="J20" s="490"/>
      <c r="K20" s="490"/>
      <c r="L20" s="490">
        <f t="shared" si="11"/>
        <v>115495500</v>
      </c>
      <c r="M20" s="491">
        <f t="shared" si="7"/>
        <v>0</v>
      </c>
      <c r="N20" s="491">
        <f>L20/F20</f>
        <v>1.0549682720773272</v>
      </c>
      <c r="O20" s="492">
        <f t="shared" si="8"/>
        <v>2.2835700786552877</v>
      </c>
      <c r="P20" s="492" t="e">
        <f t="shared" si="9"/>
        <v>#DIV/0!</v>
      </c>
      <c r="Q20" s="493">
        <f t="shared" si="10"/>
        <v>2.1645864990410884</v>
      </c>
    </row>
    <row r="21" spans="1:17">
      <c r="A21" s="419"/>
      <c r="B21" s="427"/>
      <c r="C21" s="428"/>
      <c r="D21" s="429"/>
      <c r="E21" s="430" t="s">
        <v>905</v>
      </c>
      <c r="F21" s="500">
        <f t="shared" ref="F21:L21" si="13">SUM(F16:F20)</f>
        <v>1801055165.6666667</v>
      </c>
      <c r="G21" s="500">
        <f t="shared" si="13"/>
        <v>2406987644</v>
      </c>
      <c r="H21" s="500">
        <f t="shared" si="13"/>
        <v>2640561775.4536085</v>
      </c>
      <c r="I21" s="500">
        <f t="shared" si="13"/>
        <v>0</v>
      </c>
      <c r="J21" s="500">
        <f t="shared" si="13"/>
        <v>326135419.02777779</v>
      </c>
      <c r="K21" s="500">
        <f t="shared" si="13"/>
        <v>0</v>
      </c>
      <c r="L21" s="500">
        <f t="shared" si="13"/>
        <v>2733123063.0277777</v>
      </c>
      <c r="M21" s="501">
        <f t="shared" si="7"/>
        <v>0</v>
      </c>
      <c r="N21" s="501">
        <f>L21/G21</f>
        <v>1.1354952609917834</v>
      </c>
      <c r="O21" s="501">
        <f t="shared" si="8"/>
        <v>1.466119320379726</v>
      </c>
      <c r="P21" s="501" t="e">
        <f t="shared" si="9"/>
        <v>#DIV/0!</v>
      </c>
      <c r="Q21" s="502">
        <f t="shared" si="10"/>
        <v>0.96613350901527684</v>
      </c>
    </row>
    <row r="22" spans="1:17" s="504" customFormat="1" ht="16.5" customHeight="1">
      <c r="B22" s="505"/>
      <c r="C22" s="506"/>
      <c r="D22" s="507"/>
      <c r="E22" s="508"/>
      <c r="F22" s="489"/>
      <c r="G22" s="489"/>
      <c r="H22" s="489"/>
      <c r="I22" s="489"/>
      <c r="J22" s="489"/>
      <c r="K22" s="489"/>
      <c r="L22" s="489"/>
      <c r="M22" s="489"/>
      <c r="N22" s="489"/>
      <c r="O22" s="489"/>
      <c r="P22" s="489"/>
      <c r="Q22" s="509"/>
    </row>
    <row r="23" spans="1:17">
      <c r="A23" s="510"/>
      <c r="B23" s="412">
        <v>3</v>
      </c>
      <c r="C23" s="413" t="s">
        <v>907</v>
      </c>
      <c r="D23" s="487">
        <v>1</v>
      </c>
      <c r="E23" s="488" t="s">
        <v>902</v>
      </c>
      <c r="F23" s="489">
        <f>[2]REKAP!$F$25</f>
        <v>261345555.66666701</v>
      </c>
      <c r="G23" s="489">
        <f>'[3]PROGNOSA (2)'!D29</f>
        <v>69992480</v>
      </c>
      <c r="H23" s="490">
        <f>'[4]REKAPITULASI  KAPAL'!$E$9</f>
        <v>223941107.21649486</v>
      </c>
      <c r="I23" s="490"/>
      <c r="J23" s="490">
        <f>(F23/12)*5</f>
        <v>108893981.52777793</v>
      </c>
      <c r="K23" s="490"/>
      <c r="L23" s="490">
        <f>J23+G23</f>
        <v>178886461.52777791</v>
      </c>
      <c r="M23" s="491">
        <f t="shared" ref="M23:M28" si="14">K23/F23</f>
        <v>0</v>
      </c>
      <c r="N23" s="491">
        <f>L23/F23</f>
        <v>0.68448250849897174</v>
      </c>
      <c r="O23" s="492">
        <f t="shared" ref="O23:O28" si="15">H23/F23</f>
        <v>0.85687742668989697</v>
      </c>
      <c r="P23" s="492" t="e">
        <f t="shared" ref="P23:P28" si="16">H23/K23</f>
        <v>#DIV/0!</v>
      </c>
      <c r="Q23" s="493">
        <f t="shared" ref="Q23:Q28" si="17">H23/L23</f>
        <v>1.251861685361364</v>
      </c>
    </row>
    <row r="24" spans="1:17">
      <c r="A24" s="404"/>
      <c r="B24" s="412"/>
      <c r="C24" s="413"/>
      <c r="D24" s="487">
        <v>2</v>
      </c>
      <c r="E24" s="494" t="s">
        <v>903</v>
      </c>
      <c r="F24" s="489">
        <v>849098940</v>
      </c>
      <c r="G24" s="489">
        <f>'[3]PROGNOSA (2)'!D30</f>
        <v>1838757695</v>
      </c>
      <c r="H24" s="490">
        <f>'[4]REKAPITULASI  KAPAL'!$E$14</f>
        <v>1068499860</v>
      </c>
      <c r="I24" s="490"/>
      <c r="J24" s="490"/>
      <c r="K24" s="490"/>
      <c r="L24" s="490">
        <f t="shared" ref="L24:L27" si="18">J24+G24</f>
        <v>1838757695</v>
      </c>
      <c r="M24" s="491">
        <f t="shared" si="14"/>
        <v>0</v>
      </c>
      <c r="N24" s="491">
        <f>L24/F24</f>
        <v>2.1655399722910973</v>
      </c>
      <c r="O24" s="492">
        <f t="shared" si="15"/>
        <v>1.2583926438537305</v>
      </c>
      <c r="P24" s="492" t="e">
        <f t="shared" si="16"/>
        <v>#DIV/0!</v>
      </c>
      <c r="Q24" s="493">
        <f t="shared" si="17"/>
        <v>0.58109878365458045</v>
      </c>
    </row>
    <row r="25" spans="1:17">
      <c r="A25" s="404"/>
      <c r="B25" s="412"/>
      <c r="C25" s="413"/>
      <c r="D25" s="487">
        <v>3</v>
      </c>
      <c r="E25" s="494" t="s">
        <v>32</v>
      </c>
      <c r="F25" s="489">
        <v>262104333</v>
      </c>
      <c r="G25" s="489">
        <f>'[3]PROGNOSA (2)'!D31</f>
        <v>249673250</v>
      </c>
      <c r="H25" s="490">
        <f>'[4]REKAPITULASI  KAPAL'!$E$20</f>
        <v>518217900</v>
      </c>
      <c r="I25" s="490"/>
      <c r="J25" s="490">
        <f t="shared" ref="J25:J26" si="19">(F25/12)*5</f>
        <v>109210138.75</v>
      </c>
      <c r="K25" s="490"/>
      <c r="L25" s="490">
        <f t="shared" si="18"/>
        <v>358883388.75</v>
      </c>
      <c r="M25" s="491">
        <f t="shared" si="14"/>
        <v>0</v>
      </c>
      <c r="N25" s="491">
        <f>L25/F25</f>
        <v>1.3692386716475993</v>
      </c>
      <c r="O25" s="492">
        <f t="shared" si="15"/>
        <v>1.9771435827426782</v>
      </c>
      <c r="P25" s="492" t="e">
        <f t="shared" si="16"/>
        <v>#DIV/0!</v>
      </c>
      <c r="Q25" s="493">
        <f t="shared" si="17"/>
        <v>1.4439729345093575</v>
      </c>
    </row>
    <row r="26" spans="1:17">
      <c r="A26" s="404"/>
      <c r="B26" s="412"/>
      <c r="C26" s="413"/>
      <c r="D26" s="487">
        <v>4</v>
      </c>
      <c r="E26" s="494" t="s">
        <v>43</v>
      </c>
      <c r="F26" s="489">
        <v>316778000</v>
      </c>
      <c r="G26" s="489">
        <f>'[3]PROGNOSA (2)'!D32</f>
        <v>297756800</v>
      </c>
      <c r="H26" s="490">
        <f>'[4]REKAPITULASI  KAPAL'!$E$27</f>
        <v>477311186.66666663</v>
      </c>
      <c r="I26" s="490"/>
      <c r="J26" s="490">
        <f t="shared" si="19"/>
        <v>131990833.33333334</v>
      </c>
      <c r="K26" s="490"/>
      <c r="L26" s="490">
        <f t="shared" si="18"/>
        <v>429747633.33333337</v>
      </c>
      <c r="M26" s="491">
        <f t="shared" si="14"/>
        <v>0</v>
      </c>
      <c r="N26" s="491">
        <f>L26/F26</f>
        <v>1.356620830150242</v>
      </c>
      <c r="O26" s="492">
        <f t="shared" si="15"/>
        <v>1.50676873604438</v>
      </c>
      <c r="P26" s="492" t="e">
        <f t="shared" si="16"/>
        <v>#DIV/0!</v>
      </c>
      <c r="Q26" s="493">
        <f t="shared" si="17"/>
        <v>1.1106778714856602</v>
      </c>
    </row>
    <row r="27" spans="1:17">
      <c r="A27" s="404"/>
      <c r="B27" s="412"/>
      <c r="C27" s="413"/>
      <c r="D27" s="487">
        <v>5</v>
      </c>
      <c r="E27" s="494" t="s">
        <v>904</v>
      </c>
      <c r="F27" s="489">
        <v>126554300</v>
      </c>
      <c r="G27" s="489">
        <f>'[3]PROGNOSA (2)'!$D$28</f>
        <v>186800000</v>
      </c>
      <c r="H27" s="490">
        <f>'[4]REKAPITULASI  KAPAL'!$E$33</f>
        <v>217000000</v>
      </c>
      <c r="I27" s="490"/>
      <c r="J27" s="490"/>
      <c r="K27" s="490"/>
      <c r="L27" s="490">
        <f t="shared" si="18"/>
        <v>186800000</v>
      </c>
      <c r="M27" s="491">
        <f t="shared" si="14"/>
        <v>0</v>
      </c>
      <c r="N27" s="491">
        <f>L27/F27</f>
        <v>1.4760462505027485</v>
      </c>
      <c r="O27" s="492">
        <f t="shared" si="15"/>
        <v>1.714678995498375</v>
      </c>
      <c r="P27" s="492" t="e">
        <f t="shared" si="16"/>
        <v>#DIV/0!</v>
      </c>
      <c r="Q27" s="493">
        <f t="shared" si="17"/>
        <v>1.1616702355460387</v>
      </c>
    </row>
    <row r="28" spans="1:17">
      <c r="A28" s="419"/>
      <c r="B28" s="496"/>
      <c r="C28" s="497"/>
      <c r="D28" s="498"/>
      <c r="E28" s="499" t="s">
        <v>905</v>
      </c>
      <c r="F28" s="500">
        <f t="shared" ref="F28:L28" si="20">SUM(F23:F27)</f>
        <v>1815881128.666667</v>
      </c>
      <c r="G28" s="500">
        <f t="shared" si="20"/>
        <v>2642980225</v>
      </c>
      <c r="H28" s="500">
        <f t="shared" si="20"/>
        <v>2504970053.8831615</v>
      </c>
      <c r="I28" s="500">
        <f t="shared" si="20"/>
        <v>0</v>
      </c>
      <c r="J28" s="500">
        <f t="shared" si="20"/>
        <v>350094953.61111128</v>
      </c>
      <c r="K28" s="500">
        <f t="shared" si="20"/>
        <v>0</v>
      </c>
      <c r="L28" s="500">
        <f t="shared" si="20"/>
        <v>2993075178.6111112</v>
      </c>
      <c r="M28" s="501">
        <f t="shared" si="14"/>
        <v>0</v>
      </c>
      <c r="N28" s="501">
        <f>L28/G28</f>
        <v>1.1324621918467479</v>
      </c>
      <c r="O28" s="501">
        <f t="shared" si="15"/>
        <v>1.3794790938338934</v>
      </c>
      <c r="P28" s="501" t="e">
        <f t="shared" si="16"/>
        <v>#DIV/0!</v>
      </c>
      <c r="Q28" s="502">
        <f t="shared" si="17"/>
        <v>0.83692186276642511</v>
      </c>
    </row>
    <row r="29" spans="1:17">
      <c r="A29" s="404"/>
      <c r="B29" s="412"/>
      <c r="C29" s="413"/>
      <c r="D29" s="425"/>
      <c r="E29" s="426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503"/>
    </row>
    <row r="30" spans="1:17">
      <c r="A30" s="404"/>
      <c r="B30" s="412">
        <v>4</v>
      </c>
      <c r="C30" s="413" t="s">
        <v>908</v>
      </c>
      <c r="D30" s="487">
        <v>1</v>
      </c>
      <c r="E30" s="488" t="s">
        <v>902</v>
      </c>
      <c r="F30" s="489">
        <f>[2]REKAP!$F$32</f>
        <v>248255101.12121215</v>
      </c>
      <c r="G30" s="489">
        <f>'[3]PROGNOSA (2)'!D17</f>
        <v>86892480</v>
      </c>
      <c r="H30" s="490">
        <f>'[4]REKAPITULASI  KAPAL'!$H$9</f>
        <v>215980288.65979376</v>
      </c>
      <c r="I30" s="490"/>
      <c r="J30" s="490">
        <f>(F30/12)*5</f>
        <v>103439625.46717173</v>
      </c>
      <c r="K30" s="490"/>
      <c r="L30" s="490">
        <f>J30+G30</f>
        <v>190332105.46717173</v>
      </c>
      <c r="M30" s="491">
        <f t="shared" ref="M30:M35" si="21">K30/F30</f>
        <v>0</v>
      </c>
      <c r="N30" s="491">
        <f>L30/F30</f>
        <v>0.76667953491211793</v>
      </c>
      <c r="O30" s="492">
        <f t="shared" ref="O30:O35" si="22">H30/F30</f>
        <v>0.86999335636748909</v>
      </c>
      <c r="P30" s="492" t="e">
        <f t="shared" ref="P30:P35" si="23">H30/K30</f>
        <v>#DIV/0!</v>
      </c>
      <c r="Q30" s="493">
        <f t="shared" ref="Q30:Q35" si="24">H30/L30</f>
        <v>1.1347548966038512</v>
      </c>
    </row>
    <row r="31" spans="1:17">
      <c r="A31" s="404"/>
      <c r="B31" s="412"/>
      <c r="C31" s="413"/>
      <c r="D31" s="487">
        <v>2</v>
      </c>
      <c r="E31" s="494" t="s">
        <v>903</v>
      </c>
      <c r="F31" s="489">
        <v>790664322</v>
      </c>
      <c r="G31" s="489">
        <f>'[3]PROGNOSA (2)'!D18</f>
        <v>884763187</v>
      </c>
      <c r="H31" s="490">
        <f>'[4]REKAPITULASI  KAPAL'!$H$14</f>
        <v>928884137</v>
      </c>
      <c r="I31" s="490"/>
      <c r="J31" s="490"/>
      <c r="K31" s="490"/>
      <c r="L31" s="490">
        <f t="shared" ref="L31:L34" si="25">J31+G31</f>
        <v>884763187</v>
      </c>
      <c r="M31" s="491">
        <f t="shared" si="21"/>
        <v>0</v>
      </c>
      <c r="N31" s="491">
        <f>L31/F31</f>
        <v>1.1190124081506234</v>
      </c>
      <c r="O31" s="492">
        <f t="shared" si="22"/>
        <v>1.1748147869507637</v>
      </c>
      <c r="P31" s="492" t="e">
        <f t="shared" si="23"/>
        <v>#DIV/0!</v>
      </c>
      <c r="Q31" s="493">
        <f t="shared" si="24"/>
        <v>1.0498675246080282</v>
      </c>
    </row>
    <row r="32" spans="1:17">
      <c r="A32" s="404"/>
      <c r="B32" s="412"/>
      <c r="C32" s="413"/>
      <c r="D32" s="487">
        <v>3</v>
      </c>
      <c r="E32" s="494" t="s">
        <v>32</v>
      </c>
      <c r="F32" s="489">
        <v>224275761</v>
      </c>
      <c r="G32" s="489">
        <f>'[3]PROGNOSA (2)'!D19</f>
        <v>169048600</v>
      </c>
      <c r="H32" s="490">
        <f>'[4]REKAPITULASI  KAPAL'!$H$20</f>
        <v>401360000</v>
      </c>
      <c r="I32" s="490"/>
      <c r="J32" s="490">
        <f t="shared" ref="J32:J33" si="26">(F32/12)*5</f>
        <v>93448233.75</v>
      </c>
      <c r="K32" s="490"/>
      <c r="L32" s="490">
        <f t="shared" si="25"/>
        <v>262496833.75</v>
      </c>
      <c r="M32" s="491">
        <f t="shared" si="21"/>
        <v>0</v>
      </c>
      <c r="N32" s="491">
        <f>L32/F32</f>
        <v>1.1704199891222307</v>
      </c>
      <c r="O32" s="492">
        <f t="shared" si="22"/>
        <v>1.7895826022857637</v>
      </c>
      <c r="P32" s="492" t="e">
        <f t="shared" si="23"/>
        <v>#DIV/0!</v>
      </c>
      <c r="Q32" s="493">
        <f t="shared" si="24"/>
        <v>1.5290089189504368</v>
      </c>
    </row>
    <row r="33" spans="1:27">
      <c r="A33" s="404"/>
      <c r="B33" s="412"/>
      <c r="C33" s="413"/>
      <c r="D33" s="487">
        <v>4</v>
      </c>
      <c r="E33" s="494" t="s">
        <v>43</v>
      </c>
      <c r="F33" s="489">
        <v>322506800</v>
      </c>
      <c r="G33" s="489">
        <f>'[3]PROGNOSA (2)'!D20</f>
        <v>211288362</v>
      </c>
      <c r="H33" s="490">
        <f>'[4]REKAPITULASI  KAPAL'!$H$27</f>
        <v>450467330</v>
      </c>
      <c r="I33" s="490"/>
      <c r="J33" s="490">
        <f t="shared" si="26"/>
        <v>134377833.33333334</v>
      </c>
      <c r="K33" s="490"/>
      <c r="L33" s="490">
        <f t="shared" si="25"/>
        <v>345666195.33333337</v>
      </c>
      <c r="M33" s="491">
        <f t="shared" si="21"/>
        <v>0</v>
      </c>
      <c r="N33" s="491">
        <f>L33/F33</f>
        <v>1.0718105644077376</v>
      </c>
      <c r="O33" s="492">
        <f t="shared" si="22"/>
        <v>1.3967684712384358</v>
      </c>
      <c r="P33" s="492" t="e">
        <f t="shared" si="23"/>
        <v>#DIV/0!</v>
      </c>
      <c r="Q33" s="493">
        <f t="shared" si="24"/>
        <v>1.3031859524637768</v>
      </c>
    </row>
    <row r="34" spans="1:27">
      <c r="A34" s="404"/>
      <c r="B34" s="412"/>
      <c r="C34" s="413"/>
      <c r="D34" s="487">
        <v>5</v>
      </c>
      <c r="E34" s="494" t="s">
        <v>904</v>
      </c>
      <c r="F34" s="489">
        <v>125798050</v>
      </c>
      <c r="G34" s="489">
        <f>'[3]PROGNOSA (2)'!$D$16</f>
        <v>18348000</v>
      </c>
      <c r="H34" s="490">
        <f>'[4]REKAPITULASI  KAPAL'!$H$33</f>
        <v>190705439.54166666</v>
      </c>
      <c r="I34" s="490"/>
      <c r="J34" s="490"/>
      <c r="K34" s="490"/>
      <c r="L34" s="490">
        <f t="shared" si="25"/>
        <v>18348000</v>
      </c>
      <c r="M34" s="491">
        <f t="shared" si="21"/>
        <v>0</v>
      </c>
      <c r="N34" s="491">
        <f>L34/F34</f>
        <v>0.14585281727339972</v>
      </c>
      <c r="O34" s="492">
        <f t="shared" si="22"/>
        <v>1.515964989454659</v>
      </c>
      <c r="P34" s="492" t="e">
        <f t="shared" si="23"/>
        <v>#DIV/0!</v>
      </c>
      <c r="Q34" s="493">
        <f t="shared" si="24"/>
        <v>10.393799844215536</v>
      </c>
    </row>
    <row r="35" spans="1:27">
      <c r="A35" s="419"/>
      <c r="B35" s="496"/>
      <c r="C35" s="497"/>
      <c r="D35" s="498"/>
      <c r="E35" s="499" t="s">
        <v>905</v>
      </c>
      <c r="F35" s="500">
        <f t="shared" ref="F35:L35" si="27">SUM(F30:F34)</f>
        <v>1711500034.121212</v>
      </c>
      <c r="G35" s="500">
        <f t="shared" si="27"/>
        <v>1370340629</v>
      </c>
      <c r="H35" s="500">
        <f t="shared" si="27"/>
        <v>2187397195.2014604</v>
      </c>
      <c r="I35" s="500">
        <f t="shared" si="27"/>
        <v>0</v>
      </c>
      <c r="J35" s="500">
        <f t="shared" si="27"/>
        <v>331265692.55050504</v>
      </c>
      <c r="K35" s="500">
        <f t="shared" si="27"/>
        <v>0</v>
      </c>
      <c r="L35" s="500">
        <f t="shared" si="27"/>
        <v>1701606321.5505052</v>
      </c>
      <c r="M35" s="501">
        <f t="shared" si="21"/>
        <v>0</v>
      </c>
      <c r="N35" s="501">
        <f>L35/G35</f>
        <v>1.2417396708088884</v>
      </c>
      <c r="O35" s="501">
        <f t="shared" si="22"/>
        <v>1.2780585168522085</v>
      </c>
      <c r="P35" s="501" t="e">
        <f t="shared" si="23"/>
        <v>#DIV/0!</v>
      </c>
      <c r="Q35" s="502">
        <f t="shared" si="24"/>
        <v>1.2854895797567925</v>
      </c>
    </row>
    <row r="36" spans="1:27">
      <c r="A36" s="404"/>
      <c r="B36" s="412"/>
      <c r="C36" s="413"/>
      <c r="D36" s="425"/>
      <c r="E36" s="426"/>
      <c r="F36" s="490"/>
      <c r="G36" s="490"/>
      <c r="H36" s="490"/>
      <c r="I36" s="490"/>
      <c r="J36" s="490"/>
      <c r="K36" s="490"/>
      <c r="L36" s="490"/>
      <c r="M36" s="490"/>
      <c r="N36" s="490"/>
      <c r="O36" s="490"/>
      <c r="P36" s="490"/>
      <c r="Q36" s="503"/>
    </row>
    <row r="37" spans="1:27">
      <c r="A37" s="404"/>
      <c r="B37" s="412">
        <v>5</v>
      </c>
      <c r="C37" s="413" t="s">
        <v>909</v>
      </c>
      <c r="D37" s="487">
        <v>1</v>
      </c>
      <c r="E37" s="488" t="s">
        <v>902</v>
      </c>
      <c r="F37" s="489">
        <f>[2]REKAP!$F$46</f>
        <v>261345555.6666666</v>
      </c>
      <c r="G37" s="489">
        <f>'[3]PROGNOSA (2)'!D42</f>
        <v>103192480</v>
      </c>
      <c r="H37" s="490">
        <f>'[4]REKAPITULASI  KAPAL'!$J$9</f>
        <v>227045896.90721652</v>
      </c>
      <c r="I37" s="490"/>
      <c r="J37" s="490">
        <f>(F37/12)*5</f>
        <v>108893981.52777775</v>
      </c>
      <c r="K37" s="490"/>
      <c r="L37" s="490">
        <f>J37+G37</f>
        <v>212086461.52777773</v>
      </c>
      <c r="M37" s="491">
        <f t="shared" ref="M37:M42" si="28">K37/F37</f>
        <v>0</v>
      </c>
      <c r="N37" s="491">
        <f>L37/F37</f>
        <v>0.81151738351458169</v>
      </c>
      <c r="O37" s="492">
        <f t="shared" ref="O37:O42" si="29">H37/F37</f>
        <v>0.86875744386792786</v>
      </c>
      <c r="P37" s="492" t="e">
        <f t="shared" ref="P37:P42" si="30">H37/K37</f>
        <v>#DIV/0!</v>
      </c>
      <c r="Q37" s="493">
        <f t="shared" ref="Q37:Q42" si="31">H37/L37</f>
        <v>1.0705346077806079</v>
      </c>
    </row>
    <row r="38" spans="1:27">
      <c r="A38" s="404"/>
      <c r="B38" s="412"/>
      <c r="C38" s="413"/>
      <c r="D38" s="487">
        <v>2</v>
      </c>
      <c r="E38" s="494" t="s">
        <v>903</v>
      </c>
      <c r="F38" s="489">
        <v>847824785</v>
      </c>
      <c r="G38" s="489">
        <f>'[3]PROGNOSA (2)'!D43</f>
        <v>1252641038</v>
      </c>
      <c r="H38" s="490">
        <f>'[4]REKAPITULASI  KAPAL'!$J$14</f>
        <v>980229950.00000012</v>
      </c>
      <c r="I38" s="490"/>
      <c r="J38" s="490"/>
      <c r="K38" s="490"/>
      <c r="L38" s="490">
        <f t="shared" ref="L38:L41" si="32">J38+G38</f>
        <v>1252641038</v>
      </c>
      <c r="M38" s="491">
        <f t="shared" si="28"/>
        <v>0</v>
      </c>
      <c r="N38" s="491">
        <f>L38/F38</f>
        <v>1.4774763136937545</v>
      </c>
      <c r="O38" s="492">
        <f t="shared" si="29"/>
        <v>1.1561704344371109</v>
      </c>
      <c r="P38" s="492" t="e">
        <f t="shared" si="30"/>
        <v>#DIV/0!</v>
      </c>
      <c r="Q38" s="493">
        <f t="shared" si="31"/>
        <v>0.78253060554766862</v>
      </c>
      <c r="T38" s="511">
        <f>338697163/2</f>
        <v>169348581.5</v>
      </c>
    </row>
    <row r="39" spans="1:27">
      <c r="A39" s="404"/>
      <c r="B39" s="412"/>
      <c r="C39" s="413"/>
      <c r="D39" s="487">
        <v>3</v>
      </c>
      <c r="E39" s="494" t="s">
        <v>32</v>
      </c>
      <c r="F39" s="489">
        <v>315284392</v>
      </c>
      <c r="G39" s="489">
        <f>'[3]PROGNOSA (2)'!D44</f>
        <v>36200500</v>
      </c>
      <c r="H39" s="490">
        <f>'[4]REKAPITULASI  KAPAL'!$J$20</f>
        <v>424380600</v>
      </c>
      <c r="I39" s="490"/>
      <c r="J39" s="490">
        <f t="shared" ref="J39:J40" si="33">(F39/12)*5</f>
        <v>131368496.66666666</v>
      </c>
      <c r="K39" s="490"/>
      <c r="L39" s="490">
        <f t="shared" si="32"/>
        <v>167568996.66666666</v>
      </c>
      <c r="M39" s="491">
        <f t="shared" si="28"/>
        <v>0</v>
      </c>
      <c r="N39" s="491">
        <f>L39/F39</f>
        <v>0.53148522704754331</v>
      </c>
      <c r="O39" s="492">
        <f t="shared" si="29"/>
        <v>1.3460247661102107</v>
      </c>
      <c r="P39" s="492" t="e">
        <f t="shared" si="30"/>
        <v>#DIV/0!</v>
      </c>
      <c r="Q39" s="493">
        <f t="shared" si="31"/>
        <v>2.5325723041965262</v>
      </c>
      <c r="T39" s="511">
        <v>74453308</v>
      </c>
    </row>
    <row r="40" spans="1:27">
      <c r="A40" s="404"/>
      <c r="B40" s="412"/>
      <c r="C40" s="413"/>
      <c r="D40" s="487">
        <v>4</v>
      </c>
      <c r="E40" s="494" t="s">
        <v>43</v>
      </c>
      <c r="F40" s="489">
        <v>319556100</v>
      </c>
      <c r="G40" s="489">
        <f>'[3]PROGNOSA (2)'!D45</f>
        <v>80313000</v>
      </c>
      <c r="H40" s="490">
        <f>'[4]REKAPITULASI  KAPAL'!$J$27</f>
        <v>406756495</v>
      </c>
      <c r="I40" s="490"/>
      <c r="J40" s="490">
        <f t="shared" si="33"/>
        <v>133148375</v>
      </c>
      <c r="K40" s="490"/>
      <c r="L40" s="490">
        <f t="shared" si="32"/>
        <v>213461375</v>
      </c>
      <c r="M40" s="491">
        <f t="shared" si="28"/>
        <v>0</v>
      </c>
      <c r="N40" s="491">
        <f>L40/F40</f>
        <v>0.66799342900980452</v>
      </c>
      <c r="O40" s="492">
        <f t="shared" si="29"/>
        <v>1.2728797697806427</v>
      </c>
      <c r="P40" s="492" t="e">
        <f t="shared" si="30"/>
        <v>#DIV/0!</v>
      </c>
      <c r="Q40" s="493">
        <f t="shared" si="31"/>
        <v>1.9055273817101572</v>
      </c>
      <c r="T40" s="511">
        <v>79000000</v>
      </c>
    </row>
    <row r="41" spans="1:27">
      <c r="A41" s="404"/>
      <c r="B41" s="412"/>
      <c r="C41" s="413"/>
      <c r="D41" s="487">
        <v>5</v>
      </c>
      <c r="E41" s="494" t="s">
        <v>904</v>
      </c>
      <c r="F41" s="489">
        <v>222399646</v>
      </c>
      <c r="G41" s="489">
        <f>'[3]PROGNOSA (2)'!$D$41</f>
        <v>116550000</v>
      </c>
      <c r="H41" s="490">
        <f>'[4]REKAPITULASI  KAPAL'!$J$33</f>
        <v>233000000</v>
      </c>
      <c r="I41" s="490"/>
      <c r="J41" s="490"/>
      <c r="K41" s="490"/>
      <c r="L41" s="490">
        <f t="shared" si="32"/>
        <v>116550000</v>
      </c>
      <c r="M41" s="491">
        <f t="shared" si="28"/>
        <v>0</v>
      </c>
      <c r="N41" s="491">
        <f>L41/F41</f>
        <v>0.52405658955050671</v>
      </c>
      <c r="O41" s="492">
        <f t="shared" si="29"/>
        <v>1.0476635380975381</v>
      </c>
      <c r="P41" s="492" t="e">
        <f t="shared" si="30"/>
        <v>#DIV/0!</v>
      </c>
      <c r="Q41" s="493">
        <f t="shared" si="31"/>
        <v>1.9991419991419992</v>
      </c>
      <c r="T41" s="511">
        <v>16175000</v>
      </c>
    </row>
    <row r="42" spans="1:27">
      <c r="A42" s="419"/>
      <c r="B42" s="496"/>
      <c r="C42" s="497"/>
      <c r="D42" s="498"/>
      <c r="E42" s="499" t="s">
        <v>905</v>
      </c>
      <c r="F42" s="500">
        <f t="shared" ref="F42:L42" si="34">SUM(F37:F41)</f>
        <v>1966410478.6666665</v>
      </c>
      <c r="G42" s="500">
        <f t="shared" si="34"/>
        <v>1588897018</v>
      </c>
      <c r="H42" s="500">
        <f t="shared" si="34"/>
        <v>2271412941.9072165</v>
      </c>
      <c r="I42" s="500">
        <f t="shared" si="34"/>
        <v>0</v>
      </c>
      <c r="J42" s="500">
        <f t="shared" si="34"/>
        <v>373410853.19444442</v>
      </c>
      <c r="K42" s="500">
        <f t="shared" si="34"/>
        <v>0</v>
      </c>
      <c r="L42" s="500">
        <f t="shared" si="34"/>
        <v>1962307871.1944444</v>
      </c>
      <c r="M42" s="501">
        <f t="shared" si="28"/>
        <v>0</v>
      </c>
      <c r="N42" s="501">
        <f>L42/G42</f>
        <v>1.2350126213116503</v>
      </c>
      <c r="O42" s="501">
        <f t="shared" si="29"/>
        <v>1.1551062031806087</v>
      </c>
      <c r="P42" s="501" t="e">
        <f t="shared" si="30"/>
        <v>#DIV/0!</v>
      </c>
      <c r="Q42" s="502">
        <f t="shared" si="31"/>
        <v>1.1575211898450073</v>
      </c>
      <c r="S42" s="486" t="s">
        <v>949</v>
      </c>
      <c r="T42" s="511">
        <f>SUM(T38:T41)</f>
        <v>338976889.5</v>
      </c>
    </row>
    <row r="43" spans="1:27">
      <c r="A43" s="404"/>
      <c r="B43" s="412"/>
      <c r="C43" s="413"/>
      <c r="D43" s="425"/>
      <c r="E43" s="426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503"/>
      <c r="S43" s="486" t="s">
        <v>950</v>
      </c>
      <c r="T43" s="511">
        <v>78642396</v>
      </c>
    </row>
    <row r="44" spans="1:27">
      <c r="A44" s="419"/>
      <c r="B44" s="412">
        <v>6</v>
      </c>
      <c r="C44" s="413" t="s">
        <v>910</v>
      </c>
      <c r="D44" s="487">
        <v>1</v>
      </c>
      <c r="E44" s="488" t="s">
        <v>902</v>
      </c>
      <c r="F44" s="489">
        <f>[2]REKAP!$F$39</f>
        <v>246262676.87878782</v>
      </c>
      <c r="G44" s="489">
        <f>'[3]PROGNOSA (2)'!D67</f>
        <v>70508220</v>
      </c>
      <c r="H44" s="490">
        <f>'[4]REKAPITULASI  KAPAL'!$F$9</f>
        <v>231995896.90721652</v>
      </c>
      <c r="I44" s="490"/>
      <c r="J44" s="490">
        <f>(F44/12)*5</f>
        <v>102609448.69949491</v>
      </c>
      <c r="K44" s="490"/>
      <c r="L44" s="490">
        <f>J44+G44</f>
        <v>173117668.6994949</v>
      </c>
      <c r="M44" s="491">
        <f t="shared" ref="M44:M49" si="35">K44/F44</f>
        <v>0</v>
      </c>
      <c r="N44" s="491">
        <f>L44/F44</f>
        <v>0.70297972430757183</v>
      </c>
      <c r="O44" s="492">
        <f t="shared" ref="O44:O49" si="36">H44/F44</f>
        <v>0.94206682006224796</v>
      </c>
      <c r="P44" s="492" t="e">
        <f t="shared" ref="P44:P49" si="37">H44/K44</f>
        <v>#DIV/0!</v>
      </c>
      <c r="Q44" s="493">
        <f t="shared" ref="Q44:Q49" si="38">H44/L44</f>
        <v>1.3401052512434475</v>
      </c>
      <c r="R44" s="511"/>
      <c r="S44" s="486" t="s">
        <v>951</v>
      </c>
      <c r="T44" s="511">
        <v>134713425</v>
      </c>
      <c r="V44" s="486" t="s">
        <v>821</v>
      </c>
      <c r="W44" s="486" t="s">
        <v>822</v>
      </c>
      <c r="X44" s="486" t="s">
        <v>835</v>
      </c>
      <c r="Y44" s="486" t="s">
        <v>842</v>
      </c>
    </row>
    <row r="45" spans="1:27" ht="14.25" customHeight="1">
      <c r="A45" s="404"/>
      <c r="B45" s="412"/>
      <c r="C45" s="591"/>
      <c r="D45" s="487">
        <v>2</v>
      </c>
      <c r="E45" s="494" t="s">
        <v>903</v>
      </c>
      <c r="F45" s="489">
        <v>876755778</v>
      </c>
      <c r="G45" s="489">
        <f>'[3]PROGNOSA (2)'!D68</f>
        <v>653548850</v>
      </c>
      <c r="H45" s="490">
        <f>'[4]REKAPITULASI  KAPAL'!$F$14</f>
        <v>958060950.5</v>
      </c>
      <c r="I45" s="490"/>
      <c r="J45" s="490"/>
      <c r="K45" s="490"/>
      <c r="L45" s="490">
        <f t="shared" ref="L45:L48" si="39">J45+G45</f>
        <v>653548850</v>
      </c>
      <c r="M45" s="491">
        <f t="shared" si="35"/>
        <v>0</v>
      </c>
      <c r="N45" s="491">
        <f>L45/F45</f>
        <v>0.74541721468985855</v>
      </c>
      <c r="O45" s="492">
        <f t="shared" si="36"/>
        <v>1.0927341165466491</v>
      </c>
      <c r="P45" s="492" t="e">
        <f t="shared" si="37"/>
        <v>#DIV/0!</v>
      </c>
      <c r="Q45" s="493">
        <f t="shared" si="38"/>
        <v>1.4659362502129718</v>
      </c>
      <c r="R45" s="512"/>
      <c r="S45" s="486" t="s">
        <v>952</v>
      </c>
      <c r="T45" s="511">
        <v>99294580</v>
      </c>
      <c r="V45" s="511">
        <v>28744815.000000004</v>
      </c>
      <c r="W45" s="511">
        <v>21600000</v>
      </c>
      <c r="X45" s="511">
        <v>32400000</v>
      </c>
      <c r="Y45" s="511">
        <v>45040000</v>
      </c>
      <c r="Z45" s="511">
        <f>SUM(V45:Y45)</f>
        <v>127784815</v>
      </c>
      <c r="AA45" s="511">
        <f>SUM(W45:Y45)</f>
        <v>99040000</v>
      </c>
    </row>
    <row r="46" spans="1:27">
      <c r="A46" s="419"/>
      <c r="B46" s="412"/>
      <c r="C46" s="591"/>
      <c r="D46" s="487">
        <v>3</v>
      </c>
      <c r="E46" s="494" t="s">
        <v>32</v>
      </c>
      <c r="F46" s="489">
        <v>299803810</v>
      </c>
      <c r="G46" s="489">
        <f>'[3]PROGNOSA (2)'!D69</f>
        <v>213177250</v>
      </c>
      <c r="H46" s="490">
        <f>'[4]REKAPITULASI  KAPAL'!$F$20</f>
        <v>422892400</v>
      </c>
      <c r="I46" s="490"/>
      <c r="J46" s="490">
        <f t="shared" ref="J46:J47" si="40">(F46/12)*5</f>
        <v>124918254.16666666</v>
      </c>
      <c r="K46" s="490"/>
      <c r="L46" s="490">
        <f t="shared" si="39"/>
        <v>338095504.16666663</v>
      </c>
      <c r="M46" s="491">
        <f t="shared" si="35"/>
        <v>0</v>
      </c>
      <c r="N46" s="491">
        <f>L46/F46</f>
        <v>1.1277225068175973</v>
      </c>
      <c r="O46" s="492">
        <f t="shared" si="36"/>
        <v>1.410563795036494</v>
      </c>
      <c r="P46" s="492" t="e">
        <f t="shared" si="37"/>
        <v>#DIV/0!</v>
      </c>
      <c r="Q46" s="493">
        <f t="shared" si="38"/>
        <v>1.2508075226919673</v>
      </c>
      <c r="S46" s="486" t="s">
        <v>758</v>
      </c>
      <c r="T46" s="511">
        <v>11594033</v>
      </c>
      <c r="V46" s="511">
        <v>0</v>
      </c>
      <c r="W46" s="511">
        <v>0</v>
      </c>
      <c r="X46" s="511">
        <v>0</v>
      </c>
      <c r="Y46" s="511">
        <v>0</v>
      </c>
      <c r="Z46" s="511">
        <f>SUM(V46:Y46)</f>
        <v>0</v>
      </c>
    </row>
    <row r="47" spans="1:27">
      <c r="A47" s="419"/>
      <c r="B47" s="412"/>
      <c r="C47" s="591"/>
      <c r="D47" s="487">
        <v>4</v>
      </c>
      <c r="E47" s="494" t="s">
        <v>43</v>
      </c>
      <c r="F47" s="489">
        <v>338927600</v>
      </c>
      <c r="G47" s="489">
        <f>'[3]PROGNOSA (2)'!D70</f>
        <v>232968700</v>
      </c>
      <c r="H47" s="490">
        <f>'[4]REKAPITULASI  KAPAL'!$F$27</f>
        <v>424053070</v>
      </c>
      <c r="I47" s="490"/>
      <c r="J47" s="490">
        <f t="shared" si="40"/>
        <v>141219833.33333334</v>
      </c>
      <c r="K47" s="490"/>
      <c r="L47" s="490">
        <f t="shared" si="39"/>
        <v>374188533.33333337</v>
      </c>
      <c r="M47" s="491">
        <f t="shared" si="35"/>
        <v>0</v>
      </c>
      <c r="N47" s="491">
        <f>L47/F47</f>
        <v>1.1040367716684429</v>
      </c>
      <c r="O47" s="492">
        <f t="shared" si="36"/>
        <v>1.2511612214526051</v>
      </c>
      <c r="P47" s="492" t="e">
        <f t="shared" si="37"/>
        <v>#DIV/0!</v>
      </c>
      <c r="Q47" s="493">
        <f t="shared" si="38"/>
        <v>1.1332604615712434</v>
      </c>
      <c r="V47" s="511">
        <v>15583450</v>
      </c>
      <c r="W47" s="511">
        <v>4572000</v>
      </c>
      <c r="X47" s="511">
        <v>65747000</v>
      </c>
      <c r="Y47" s="511">
        <v>37969018.814999998</v>
      </c>
      <c r="Z47" s="511">
        <f>SUM(V47:Y47)</f>
        <v>123871468.815</v>
      </c>
      <c r="AA47" s="511">
        <f>SUM(W47:Y47)</f>
        <v>108288018.815</v>
      </c>
    </row>
    <row r="48" spans="1:27" ht="14.25" customHeight="1">
      <c r="A48" s="419"/>
      <c r="B48" s="412"/>
      <c r="C48" s="413"/>
      <c r="D48" s="487">
        <v>5</v>
      </c>
      <c r="E48" s="494" t="s">
        <v>904</v>
      </c>
      <c r="F48" s="489">
        <v>189877700</v>
      </c>
      <c r="G48" s="489">
        <f>'[3]PROGNOSA (2)'!$D$66</f>
        <v>20548000</v>
      </c>
      <c r="H48" s="490">
        <f>'[4]REKAPITULASI  KAPAL'!$F$33</f>
        <v>201000000</v>
      </c>
      <c r="I48" s="490"/>
      <c r="J48" s="490"/>
      <c r="K48" s="490"/>
      <c r="L48" s="490">
        <f t="shared" si="39"/>
        <v>20548000</v>
      </c>
      <c r="M48" s="491">
        <f t="shared" si="35"/>
        <v>0</v>
      </c>
      <c r="N48" s="491">
        <f>L48/F48</f>
        <v>0.10821702601200668</v>
      </c>
      <c r="O48" s="492">
        <f t="shared" si="36"/>
        <v>1.058576125579781</v>
      </c>
      <c r="P48" s="492" t="e">
        <f t="shared" si="37"/>
        <v>#DIV/0!</v>
      </c>
      <c r="Q48" s="493">
        <f t="shared" si="38"/>
        <v>9.781973914736227</v>
      </c>
      <c r="S48" s="592" t="s">
        <v>953</v>
      </c>
      <c r="T48" s="511">
        <v>-9658446.1709931567</v>
      </c>
      <c r="V48" s="511">
        <v>68002600</v>
      </c>
      <c r="W48" s="511">
        <v>32028000</v>
      </c>
      <c r="X48" s="511">
        <v>22585500</v>
      </c>
      <c r="Y48" s="511">
        <v>73692000</v>
      </c>
      <c r="Z48" s="511">
        <f>SUM(V48:Y48)</f>
        <v>196308100</v>
      </c>
      <c r="AA48" s="511">
        <f>SUM(W48:Y48)</f>
        <v>128305500</v>
      </c>
    </row>
    <row r="49" spans="1:250">
      <c r="A49" s="419"/>
      <c r="B49" s="427"/>
      <c r="C49" s="428"/>
      <c r="D49" s="429"/>
      <c r="E49" s="430" t="s">
        <v>905</v>
      </c>
      <c r="F49" s="500">
        <f t="shared" ref="F49:L49" si="41">SUM(F44:F48)</f>
        <v>1951627564.8787878</v>
      </c>
      <c r="G49" s="500">
        <f t="shared" si="41"/>
        <v>1190751020</v>
      </c>
      <c r="H49" s="500">
        <f t="shared" si="41"/>
        <v>2238002317.4072165</v>
      </c>
      <c r="I49" s="500">
        <f t="shared" si="41"/>
        <v>0</v>
      </c>
      <c r="J49" s="500">
        <f t="shared" si="41"/>
        <v>368747536.19949496</v>
      </c>
      <c r="K49" s="500">
        <f t="shared" si="41"/>
        <v>0</v>
      </c>
      <c r="L49" s="500">
        <f t="shared" si="41"/>
        <v>1559498556.1994948</v>
      </c>
      <c r="M49" s="501">
        <f t="shared" si="35"/>
        <v>0</v>
      </c>
      <c r="N49" s="501">
        <f>L49/G49</f>
        <v>1.3096764394957183</v>
      </c>
      <c r="O49" s="501">
        <f t="shared" si="36"/>
        <v>1.146736374133051</v>
      </c>
      <c r="P49" s="501" t="e">
        <f t="shared" si="37"/>
        <v>#DIV/0!</v>
      </c>
      <c r="Q49" s="502">
        <f t="shared" si="38"/>
        <v>1.435078159265013</v>
      </c>
      <c r="S49" s="592"/>
      <c r="V49" s="511">
        <v>0</v>
      </c>
      <c r="W49" s="511"/>
      <c r="X49" s="511">
        <v>0</v>
      </c>
      <c r="Y49" s="511"/>
      <c r="Z49" s="511">
        <f>SUM(V49:Y49)</f>
        <v>0</v>
      </c>
    </row>
    <row r="50" spans="1:250" ht="8.25" customHeight="1">
      <c r="A50" s="419"/>
      <c r="B50" s="593"/>
      <c r="C50" s="594"/>
      <c r="D50" s="594"/>
      <c r="E50" s="594"/>
      <c r="F50" s="594"/>
      <c r="G50" s="594"/>
      <c r="H50" s="594"/>
      <c r="I50" s="594"/>
      <c r="J50" s="594"/>
      <c r="K50" s="594"/>
      <c r="L50" s="594"/>
      <c r="M50" s="594"/>
      <c r="N50" s="437"/>
      <c r="O50" s="437"/>
      <c r="P50" s="437"/>
      <c r="Q50" s="513"/>
      <c r="S50" s="592"/>
      <c r="V50" s="511"/>
      <c r="W50" s="511"/>
      <c r="X50" s="511"/>
      <c r="Y50" s="511"/>
      <c r="Z50" s="511"/>
    </row>
    <row r="51" spans="1:250" ht="10.050000000000001" customHeight="1">
      <c r="A51" s="419"/>
      <c r="B51" s="595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7"/>
      <c r="S51" s="592"/>
      <c r="V51" s="511"/>
      <c r="W51" s="511"/>
      <c r="X51" s="511"/>
      <c r="Y51" s="511"/>
      <c r="Z51" s="511"/>
    </row>
    <row r="52" spans="1:250" ht="8.25" customHeight="1">
      <c r="A52" s="419"/>
      <c r="B52" s="412"/>
      <c r="C52" s="413"/>
      <c r="D52" s="439"/>
      <c r="E52" s="440"/>
      <c r="F52" s="489"/>
      <c r="G52" s="489"/>
      <c r="H52" s="489"/>
      <c r="I52" s="489"/>
      <c r="J52" s="489"/>
      <c r="K52" s="489"/>
      <c r="L52" s="489"/>
      <c r="M52" s="489"/>
      <c r="N52" s="489"/>
      <c r="O52" s="514"/>
      <c r="P52" s="514"/>
      <c r="Q52" s="515"/>
      <c r="S52" s="592"/>
    </row>
    <row r="53" spans="1:250" ht="16.5" customHeight="1">
      <c r="A53" s="419"/>
      <c r="B53" s="441"/>
      <c r="C53" s="442" t="s">
        <v>911</v>
      </c>
      <c r="D53" s="516">
        <v>1</v>
      </c>
      <c r="E53" s="517" t="s">
        <v>902</v>
      </c>
      <c r="F53" s="489">
        <f t="shared" ref="F53:L57" si="42">F9+F16+F23+F30+F37+F44</f>
        <v>1539400000.6666667</v>
      </c>
      <c r="G53" s="489">
        <f t="shared" si="42"/>
        <v>495286360</v>
      </c>
      <c r="H53" s="490">
        <f t="shared" si="42"/>
        <v>1327077896.9072163</v>
      </c>
      <c r="I53" s="490">
        <f t="shared" si="42"/>
        <v>0</v>
      </c>
      <c r="J53" s="490">
        <f t="shared" si="42"/>
        <v>641416666.94444466</v>
      </c>
      <c r="K53" s="490">
        <f t="shared" si="42"/>
        <v>0</v>
      </c>
      <c r="L53" s="490">
        <f t="shared" si="42"/>
        <v>1136703026.9444444</v>
      </c>
      <c r="M53" s="491">
        <f t="shared" ref="M53:N58" si="43">K53/F53</f>
        <v>0</v>
      </c>
      <c r="N53" s="491">
        <f t="shared" si="43"/>
        <v>2.2950420579812545</v>
      </c>
      <c r="O53" s="492">
        <f t="shared" ref="O53:O58" si="44">H53/F53</f>
        <v>0.86207476700824981</v>
      </c>
      <c r="P53" s="492">
        <f>K53/H53</f>
        <v>0</v>
      </c>
      <c r="Q53" s="493">
        <f>L53/H53</f>
        <v>0.85654582115605671</v>
      </c>
      <c r="S53" s="511"/>
      <c r="T53" s="511" t="e">
        <f>#REF!+#REF!</f>
        <v>#REF!</v>
      </c>
    </row>
    <row r="54" spans="1:250" ht="16.5" customHeight="1">
      <c r="A54" s="404"/>
      <c r="B54" s="445"/>
      <c r="C54" s="446" t="s">
        <v>912</v>
      </c>
      <c r="D54" s="516">
        <v>2</v>
      </c>
      <c r="E54" s="518" t="s">
        <v>903</v>
      </c>
      <c r="F54" s="489">
        <f t="shared" si="42"/>
        <v>5267963053</v>
      </c>
      <c r="G54" s="489">
        <f t="shared" si="42"/>
        <v>7091965156</v>
      </c>
      <c r="H54" s="490">
        <f t="shared" si="42"/>
        <v>6091609072.6999998</v>
      </c>
      <c r="I54" s="490">
        <f t="shared" si="42"/>
        <v>0</v>
      </c>
      <c r="J54" s="490">
        <f t="shared" si="42"/>
        <v>0</v>
      </c>
      <c r="K54" s="490">
        <f t="shared" si="42"/>
        <v>0</v>
      </c>
      <c r="L54" s="490">
        <f t="shared" si="42"/>
        <v>7091965156</v>
      </c>
      <c r="M54" s="491">
        <f t="shared" si="43"/>
        <v>0</v>
      </c>
      <c r="N54" s="491">
        <f t="shared" si="43"/>
        <v>1</v>
      </c>
      <c r="O54" s="492">
        <f t="shared" si="44"/>
        <v>1.1563499993096857</v>
      </c>
      <c r="P54" s="492">
        <f>K54/H54</f>
        <v>0</v>
      </c>
      <c r="Q54" s="493">
        <f>L54/H54</f>
        <v>1.1642186935112384</v>
      </c>
      <c r="T54" s="511" t="e">
        <f>#REF!+#REF!</f>
        <v>#REF!</v>
      </c>
    </row>
    <row r="55" spans="1:250" ht="16.5" customHeight="1">
      <c r="A55" s="419"/>
      <c r="B55" s="441"/>
      <c r="C55" s="583"/>
      <c r="D55" s="516">
        <v>3</v>
      </c>
      <c r="E55" s="518" t="s">
        <v>32</v>
      </c>
      <c r="F55" s="489">
        <f t="shared" si="42"/>
        <v>1674597721</v>
      </c>
      <c r="G55" s="489">
        <f t="shared" si="42"/>
        <v>1160880708</v>
      </c>
      <c r="H55" s="490">
        <f t="shared" si="42"/>
        <v>2768744450</v>
      </c>
      <c r="I55" s="490">
        <f t="shared" si="42"/>
        <v>0</v>
      </c>
      <c r="J55" s="490">
        <f t="shared" si="42"/>
        <v>697749050.41666663</v>
      </c>
      <c r="K55" s="490">
        <f t="shared" si="42"/>
        <v>0</v>
      </c>
      <c r="L55" s="490">
        <f t="shared" si="42"/>
        <v>1858629758.416667</v>
      </c>
      <c r="M55" s="491">
        <f t="shared" si="43"/>
        <v>0</v>
      </c>
      <c r="N55" s="491">
        <f t="shared" si="43"/>
        <v>1.6010514651576646</v>
      </c>
      <c r="O55" s="492">
        <f t="shared" si="44"/>
        <v>1.6533788475160596</v>
      </c>
      <c r="P55" s="492">
        <f>K55/H55</f>
        <v>0</v>
      </c>
      <c r="Q55" s="493">
        <f>L55/H55</f>
        <v>0.67128974594122148</v>
      </c>
      <c r="T55" s="511" t="e">
        <f>#REF!+#REF!</f>
        <v>#REF!</v>
      </c>
    </row>
    <row r="56" spans="1:250" ht="16.5" customHeight="1">
      <c r="A56" s="419"/>
      <c r="B56" s="441"/>
      <c r="C56" s="583"/>
      <c r="D56" s="516">
        <v>4</v>
      </c>
      <c r="E56" s="518" t="s">
        <v>43</v>
      </c>
      <c r="F56" s="489">
        <f t="shared" si="42"/>
        <v>1846810500</v>
      </c>
      <c r="G56" s="489">
        <f t="shared" si="42"/>
        <v>1222998640</v>
      </c>
      <c r="H56" s="490">
        <f t="shared" si="42"/>
        <v>2680321031.6666665</v>
      </c>
      <c r="I56" s="490">
        <f t="shared" si="42"/>
        <v>0</v>
      </c>
      <c r="J56" s="490">
        <f t="shared" si="42"/>
        <v>769504375.00000012</v>
      </c>
      <c r="K56" s="490">
        <f t="shared" si="42"/>
        <v>0</v>
      </c>
      <c r="L56" s="490">
        <f t="shared" si="42"/>
        <v>1992503015</v>
      </c>
      <c r="M56" s="491">
        <f t="shared" si="43"/>
        <v>0</v>
      </c>
      <c r="N56" s="491">
        <f t="shared" si="43"/>
        <v>1.6291947920727041</v>
      </c>
      <c r="O56" s="492">
        <f t="shared" si="44"/>
        <v>1.451324340892943</v>
      </c>
      <c r="P56" s="492">
        <f>K56/H56</f>
        <v>0</v>
      </c>
      <c r="Q56" s="493">
        <f>L56/H56</f>
        <v>0.743382226031719</v>
      </c>
      <c r="T56" s="511" t="e">
        <f>#REF!+#REF!</f>
        <v>#REF!</v>
      </c>
    </row>
    <row r="57" spans="1:250" ht="16.5" customHeight="1" thickBot="1">
      <c r="A57" s="419"/>
      <c r="B57" s="448"/>
      <c r="C57" s="584"/>
      <c r="D57" s="519">
        <v>5</v>
      </c>
      <c r="E57" s="520" t="s">
        <v>904</v>
      </c>
      <c r="F57" s="521">
        <f t="shared" si="42"/>
        <v>923585096</v>
      </c>
      <c r="G57" s="521">
        <f t="shared" si="42"/>
        <v>643777500</v>
      </c>
      <c r="H57" s="522">
        <f t="shared" si="42"/>
        <v>1310105439.5416665</v>
      </c>
      <c r="I57" s="522">
        <f t="shared" si="42"/>
        <v>0</v>
      </c>
      <c r="J57" s="522">
        <f t="shared" si="42"/>
        <v>0</v>
      </c>
      <c r="K57" s="522">
        <f t="shared" si="42"/>
        <v>0</v>
      </c>
      <c r="L57" s="522">
        <f t="shared" si="42"/>
        <v>643777500</v>
      </c>
      <c r="M57" s="523">
        <f t="shared" si="43"/>
        <v>0</v>
      </c>
      <c r="N57" s="523">
        <f t="shared" si="43"/>
        <v>1</v>
      </c>
      <c r="O57" s="492">
        <f t="shared" si="44"/>
        <v>1.4184999792825441</v>
      </c>
      <c r="P57" s="492">
        <f>K57/H57</f>
        <v>0</v>
      </c>
      <c r="Q57" s="493">
        <f>L57/H57</f>
        <v>0.49139365471623581</v>
      </c>
      <c r="T57" s="511" t="e">
        <f>#REF!+#REF!</f>
        <v>#REF!</v>
      </c>
    </row>
    <row r="58" spans="1:250" ht="16.5" customHeight="1" thickBot="1">
      <c r="A58" s="419"/>
      <c r="B58" s="452"/>
      <c r="C58" s="453"/>
      <c r="D58" s="454"/>
      <c r="E58" s="455" t="s">
        <v>905</v>
      </c>
      <c r="F58" s="524">
        <f t="shared" ref="F58:K58" si="45">SUM(F53:F57)</f>
        <v>11252356370.666668</v>
      </c>
      <c r="G58" s="524">
        <f t="shared" si="45"/>
        <v>10614908364</v>
      </c>
      <c r="H58" s="524">
        <f t="shared" si="45"/>
        <v>14177857890.815548</v>
      </c>
      <c r="I58" s="524">
        <f t="shared" si="45"/>
        <v>0</v>
      </c>
      <c r="J58" s="524">
        <f t="shared" si="45"/>
        <v>2108670092.3611112</v>
      </c>
      <c r="K58" s="524">
        <f t="shared" si="45"/>
        <v>0</v>
      </c>
      <c r="L58" s="524">
        <f>SUM(L53:L57)</f>
        <v>12723578456.361111</v>
      </c>
      <c r="M58" s="525">
        <f t="shared" si="43"/>
        <v>0</v>
      </c>
      <c r="N58" s="525">
        <f t="shared" si="43"/>
        <v>1.1986517471514473</v>
      </c>
      <c r="O58" s="525">
        <f t="shared" si="44"/>
        <v>1.2599901232932202</v>
      </c>
      <c r="P58" s="526" t="e">
        <f>H58/K58</f>
        <v>#DIV/0!</v>
      </c>
      <c r="Q58" s="527">
        <f>H58/L58</f>
        <v>1.114297989315056</v>
      </c>
    </row>
    <row r="59" spans="1:250" s="531" customFormat="1">
      <c r="A59" s="486"/>
      <c r="B59" s="486"/>
      <c r="C59" s="486"/>
      <c r="D59" s="528"/>
      <c r="E59" s="529"/>
      <c r="F59" s="511"/>
      <c r="G59" s="530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  <c r="BH59" s="486"/>
      <c r="BI59" s="486"/>
      <c r="BJ59" s="486"/>
      <c r="BK59" s="486"/>
      <c r="BL59" s="486"/>
      <c r="BM59" s="486"/>
      <c r="BN59" s="486"/>
      <c r="BO59" s="486"/>
      <c r="BP59" s="486"/>
      <c r="BQ59" s="486"/>
      <c r="BR59" s="486"/>
      <c r="BS59" s="486"/>
      <c r="BT59" s="486"/>
      <c r="BU59" s="486"/>
      <c r="BV59" s="486"/>
      <c r="BW59" s="486"/>
      <c r="BX59" s="486"/>
      <c r="BY59" s="486"/>
      <c r="BZ59" s="486"/>
      <c r="CA59" s="486"/>
      <c r="CB59" s="486"/>
      <c r="CC59" s="486"/>
      <c r="CD59" s="486"/>
      <c r="CE59" s="486"/>
      <c r="CF59" s="486"/>
      <c r="CG59" s="486"/>
      <c r="CH59" s="486"/>
      <c r="CI59" s="486"/>
      <c r="CJ59" s="486"/>
      <c r="CK59" s="486"/>
      <c r="CL59" s="486"/>
      <c r="CM59" s="486"/>
      <c r="CN59" s="486"/>
      <c r="CO59" s="486"/>
      <c r="CP59" s="486"/>
      <c r="CQ59" s="486"/>
      <c r="CR59" s="486"/>
      <c r="CS59" s="486"/>
      <c r="CT59" s="486"/>
      <c r="CU59" s="486"/>
      <c r="CV59" s="486"/>
      <c r="CW59" s="486"/>
      <c r="CX59" s="486"/>
      <c r="CY59" s="486"/>
      <c r="CZ59" s="486"/>
      <c r="DA59" s="486"/>
      <c r="DB59" s="486"/>
      <c r="DC59" s="486"/>
      <c r="DD59" s="486"/>
      <c r="DE59" s="486"/>
      <c r="DF59" s="486"/>
      <c r="DG59" s="486"/>
      <c r="DH59" s="486"/>
      <c r="DI59" s="486"/>
      <c r="DJ59" s="486"/>
      <c r="DK59" s="486"/>
      <c r="DL59" s="486"/>
      <c r="DM59" s="486"/>
      <c r="DN59" s="486"/>
      <c r="DO59" s="486"/>
      <c r="DP59" s="486"/>
      <c r="DQ59" s="486"/>
      <c r="DR59" s="486"/>
      <c r="DS59" s="486"/>
      <c r="DT59" s="486"/>
      <c r="DU59" s="486"/>
      <c r="DV59" s="486"/>
      <c r="DW59" s="486"/>
      <c r="DX59" s="486"/>
      <c r="DY59" s="486"/>
      <c r="DZ59" s="486"/>
      <c r="EA59" s="486"/>
      <c r="EB59" s="486"/>
      <c r="EC59" s="486"/>
      <c r="ED59" s="486"/>
      <c r="EE59" s="486"/>
      <c r="EF59" s="486"/>
      <c r="EG59" s="486"/>
      <c r="EH59" s="486"/>
      <c r="EI59" s="486"/>
      <c r="EJ59" s="486"/>
      <c r="EK59" s="486"/>
      <c r="EL59" s="486"/>
      <c r="EM59" s="486"/>
      <c r="EN59" s="486"/>
      <c r="EO59" s="486"/>
      <c r="EP59" s="486"/>
      <c r="EQ59" s="486"/>
      <c r="ER59" s="486"/>
      <c r="ES59" s="486"/>
      <c r="ET59" s="486"/>
      <c r="EU59" s="486"/>
      <c r="EV59" s="486"/>
      <c r="EW59" s="486"/>
      <c r="EX59" s="486"/>
      <c r="EY59" s="486"/>
      <c r="EZ59" s="486"/>
      <c r="FA59" s="486"/>
      <c r="FB59" s="486"/>
      <c r="FC59" s="486"/>
      <c r="FD59" s="486"/>
      <c r="FE59" s="486"/>
      <c r="FF59" s="486"/>
      <c r="FG59" s="486"/>
      <c r="FH59" s="486"/>
      <c r="FI59" s="486"/>
      <c r="FJ59" s="486"/>
      <c r="FK59" s="486"/>
      <c r="FL59" s="486"/>
      <c r="FM59" s="486"/>
      <c r="FN59" s="486"/>
      <c r="FO59" s="486"/>
      <c r="FP59" s="486"/>
      <c r="FQ59" s="486"/>
      <c r="FR59" s="486"/>
      <c r="FS59" s="486"/>
      <c r="FT59" s="486"/>
      <c r="FU59" s="486"/>
      <c r="FV59" s="486"/>
      <c r="FW59" s="486"/>
      <c r="FX59" s="486"/>
      <c r="FY59" s="486"/>
      <c r="FZ59" s="486"/>
      <c r="GA59" s="486"/>
      <c r="GB59" s="486"/>
      <c r="GC59" s="486"/>
      <c r="GD59" s="486"/>
      <c r="GE59" s="486"/>
      <c r="GF59" s="486"/>
      <c r="GG59" s="486"/>
      <c r="GH59" s="486"/>
      <c r="GI59" s="486"/>
      <c r="GJ59" s="486"/>
      <c r="GK59" s="486"/>
      <c r="GL59" s="486"/>
      <c r="GM59" s="486"/>
      <c r="GN59" s="486"/>
      <c r="GO59" s="486"/>
      <c r="GP59" s="486"/>
      <c r="GQ59" s="486"/>
      <c r="GR59" s="486"/>
      <c r="GS59" s="486"/>
      <c r="GT59" s="486"/>
      <c r="GU59" s="486"/>
      <c r="GV59" s="486"/>
      <c r="GW59" s="486"/>
      <c r="GX59" s="486"/>
      <c r="GY59" s="486"/>
      <c r="GZ59" s="486"/>
      <c r="HA59" s="486"/>
      <c r="HB59" s="486"/>
      <c r="HC59" s="486"/>
      <c r="HD59" s="486"/>
      <c r="HE59" s="486"/>
      <c r="HF59" s="486"/>
      <c r="HG59" s="486"/>
      <c r="HH59" s="486"/>
      <c r="HI59" s="486"/>
      <c r="HJ59" s="486"/>
      <c r="HK59" s="486"/>
      <c r="HL59" s="486"/>
      <c r="HM59" s="486"/>
      <c r="HN59" s="486"/>
      <c r="HO59" s="486"/>
      <c r="HP59" s="486"/>
      <c r="HQ59" s="486"/>
      <c r="HR59" s="486"/>
      <c r="HS59" s="486"/>
      <c r="HT59" s="486"/>
      <c r="HU59" s="486"/>
      <c r="HV59" s="486"/>
      <c r="HW59" s="486"/>
      <c r="HX59" s="486"/>
      <c r="HY59" s="486"/>
      <c r="HZ59" s="486"/>
      <c r="IA59" s="486"/>
      <c r="IB59" s="486"/>
      <c r="IC59" s="486"/>
      <c r="ID59" s="486"/>
      <c r="IE59" s="486"/>
      <c r="IF59" s="486"/>
      <c r="IG59" s="486"/>
      <c r="IH59" s="486"/>
      <c r="II59" s="486"/>
      <c r="IJ59" s="486"/>
      <c r="IK59" s="486"/>
      <c r="IL59" s="486"/>
      <c r="IM59" s="486"/>
      <c r="IN59" s="486"/>
      <c r="IO59" s="486"/>
      <c r="IP59" s="486"/>
    </row>
    <row r="60" spans="1:250" s="531" customFormat="1" hidden="1">
      <c r="A60" s="486"/>
      <c r="B60" s="486"/>
      <c r="C60" s="486"/>
      <c r="D60" s="528"/>
      <c r="E60" s="529"/>
      <c r="F60" s="511"/>
      <c r="G60" s="530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  <c r="AO60" s="486"/>
      <c r="AP60" s="486"/>
      <c r="AQ60" s="486"/>
      <c r="AR60" s="486"/>
      <c r="AS60" s="486"/>
      <c r="AT60" s="486"/>
      <c r="AU60" s="486"/>
      <c r="AV60" s="486"/>
      <c r="AW60" s="486"/>
      <c r="AX60" s="486"/>
      <c r="AY60" s="486"/>
      <c r="AZ60" s="486"/>
      <c r="BA60" s="486"/>
      <c r="BB60" s="486"/>
      <c r="BC60" s="486"/>
      <c r="BD60" s="486"/>
      <c r="BE60" s="486"/>
      <c r="BF60" s="486"/>
      <c r="BG60" s="486"/>
      <c r="BH60" s="486"/>
      <c r="BI60" s="486"/>
      <c r="BJ60" s="486"/>
      <c r="BK60" s="486"/>
      <c r="BL60" s="486"/>
      <c r="BM60" s="486"/>
      <c r="BN60" s="486"/>
      <c r="BO60" s="486"/>
      <c r="BP60" s="486"/>
      <c r="BQ60" s="486"/>
      <c r="BR60" s="486"/>
      <c r="BS60" s="486"/>
      <c r="BT60" s="486"/>
      <c r="BU60" s="486"/>
      <c r="BV60" s="486"/>
      <c r="BW60" s="486"/>
      <c r="BX60" s="486"/>
      <c r="BY60" s="486"/>
      <c r="BZ60" s="486"/>
      <c r="CA60" s="486"/>
      <c r="CB60" s="486"/>
      <c r="CC60" s="486"/>
      <c r="CD60" s="486"/>
      <c r="CE60" s="486"/>
      <c r="CF60" s="486"/>
      <c r="CG60" s="486"/>
      <c r="CH60" s="486"/>
      <c r="CI60" s="486"/>
      <c r="CJ60" s="486"/>
      <c r="CK60" s="486"/>
      <c r="CL60" s="486"/>
      <c r="CM60" s="486"/>
      <c r="CN60" s="486"/>
      <c r="CO60" s="486"/>
      <c r="CP60" s="486"/>
      <c r="CQ60" s="486"/>
      <c r="CR60" s="486"/>
      <c r="CS60" s="486"/>
      <c r="CT60" s="486"/>
      <c r="CU60" s="486"/>
      <c r="CV60" s="486"/>
      <c r="CW60" s="486"/>
      <c r="CX60" s="486"/>
      <c r="CY60" s="486"/>
      <c r="CZ60" s="486"/>
      <c r="DA60" s="486"/>
      <c r="DB60" s="486"/>
      <c r="DC60" s="486"/>
      <c r="DD60" s="486"/>
      <c r="DE60" s="486"/>
      <c r="DF60" s="486"/>
      <c r="DG60" s="486"/>
      <c r="DH60" s="486"/>
      <c r="DI60" s="486"/>
      <c r="DJ60" s="486"/>
      <c r="DK60" s="486"/>
      <c r="DL60" s="486"/>
      <c r="DM60" s="486"/>
      <c r="DN60" s="486"/>
      <c r="DO60" s="486"/>
      <c r="DP60" s="486"/>
      <c r="DQ60" s="486"/>
      <c r="DR60" s="486"/>
      <c r="DS60" s="486"/>
      <c r="DT60" s="486"/>
      <c r="DU60" s="486"/>
      <c r="DV60" s="486"/>
      <c r="DW60" s="486"/>
      <c r="DX60" s="486"/>
      <c r="DY60" s="486"/>
      <c r="DZ60" s="486"/>
      <c r="EA60" s="486"/>
      <c r="EB60" s="486"/>
      <c r="EC60" s="486"/>
      <c r="ED60" s="486"/>
      <c r="EE60" s="486"/>
      <c r="EF60" s="486"/>
      <c r="EG60" s="486"/>
      <c r="EH60" s="486"/>
      <c r="EI60" s="486"/>
      <c r="EJ60" s="486"/>
      <c r="EK60" s="486"/>
      <c r="EL60" s="486"/>
      <c r="EM60" s="486"/>
      <c r="EN60" s="486"/>
      <c r="EO60" s="486"/>
      <c r="EP60" s="486"/>
      <c r="EQ60" s="486"/>
      <c r="ER60" s="486"/>
      <c r="ES60" s="486"/>
      <c r="ET60" s="486"/>
      <c r="EU60" s="486"/>
      <c r="EV60" s="486"/>
      <c r="EW60" s="486"/>
      <c r="EX60" s="486"/>
      <c r="EY60" s="486"/>
      <c r="EZ60" s="486"/>
      <c r="FA60" s="486"/>
      <c r="FB60" s="486"/>
      <c r="FC60" s="486"/>
      <c r="FD60" s="486"/>
      <c r="FE60" s="486"/>
      <c r="FF60" s="486"/>
      <c r="FG60" s="486"/>
      <c r="FH60" s="486"/>
      <c r="FI60" s="486"/>
      <c r="FJ60" s="486"/>
      <c r="FK60" s="486"/>
      <c r="FL60" s="486"/>
      <c r="FM60" s="486"/>
      <c r="FN60" s="486"/>
      <c r="FO60" s="486"/>
      <c r="FP60" s="486"/>
      <c r="FQ60" s="486"/>
      <c r="FR60" s="486"/>
      <c r="FS60" s="486"/>
      <c r="FT60" s="486"/>
      <c r="FU60" s="486"/>
      <c r="FV60" s="486"/>
      <c r="FW60" s="486"/>
      <c r="FX60" s="486"/>
      <c r="FY60" s="486"/>
      <c r="FZ60" s="486"/>
      <c r="GA60" s="486"/>
      <c r="GB60" s="486"/>
      <c r="GC60" s="486"/>
      <c r="GD60" s="486"/>
      <c r="GE60" s="486"/>
      <c r="GF60" s="486"/>
      <c r="GG60" s="486"/>
      <c r="GH60" s="486"/>
      <c r="GI60" s="486"/>
      <c r="GJ60" s="486"/>
      <c r="GK60" s="486"/>
      <c r="GL60" s="486"/>
      <c r="GM60" s="486"/>
      <c r="GN60" s="486"/>
      <c r="GO60" s="486"/>
      <c r="GP60" s="486"/>
      <c r="GQ60" s="486"/>
      <c r="GR60" s="486"/>
      <c r="GS60" s="486"/>
      <c r="GT60" s="486"/>
      <c r="GU60" s="486"/>
      <c r="GV60" s="486"/>
      <c r="GW60" s="486"/>
      <c r="GX60" s="486"/>
      <c r="GY60" s="486"/>
      <c r="GZ60" s="486"/>
      <c r="HA60" s="486"/>
      <c r="HB60" s="486"/>
      <c r="HC60" s="486"/>
      <c r="HD60" s="486"/>
      <c r="HE60" s="486"/>
      <c r="HF60" s="486"/>
      <c r="HG60" s="486"/>
      <c r="HH60" s="486"/>
      <c r="HI60" s="486"/>
      <c r="HJ60" s="486"/>
      <c r="HK60" s="486"/>
      <c r="HL60" s="486"/>
      <c r="HM60" s="486"/>
      <c r="HN60" s="486"/>
      <c r="HO60" s="486"/>
      <c r="HP60" s="486"/>
      <c r="HQ60" s="486"/>
      <c r="HR60" s="486"/>
      <c r="HS60" s="486"/>
      <c r="HT60" s="486"/>
      <c r="HU60" s="486"/>
      <c r="HV60" s="486"/>
      <c r="HW60" s="486"/>
      <c r="HX60" s="486"/>
      <c r="HY60" s="486"/>
      <c r="HZ60" s="486"/>
      <c r="IA60" s="486"/>
      <c r="IB60" s="486"/>
      <c r="IC60" s="486"/>
      <c r="ID60" s="486"/>
      <c r="IE60" s="486"/>
      <c r="IF60" s="486"/>
      <c r="IG60" s="486"/>
      <c r="IH60" s="486"/>
      <c r="II60" s="486"/>
      <c r="IJ60" s="486"/>
      <c r="IK60" s="486"/>
      <c r="IL60" s="486"/>
      <c r="IM60" s="486"/>
      <c r="IN60" s="486"/>
      <c r="IO60" s="486"/>
      <c r="IP60" s="486"/>
    </row>
    <row r="61" spans="1:250" s="531" customFormat="1" hidden="1">
      <c r="A61" s="486"/>
      <c r="B61" s="486"/>
      <c r="C61" s="474"/>
      <c r="D61" s="528"/>
      <c r="E61" s="486"/>
      <c r="F61" s="486"/>
      <c r="G61" s="532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  <c r="BH61" s="486"/>
      <c r="BI61" s="486"/>
      <c r="BJ61" s="486"/>
      <c r="BK61" s="486"/>
      <c r="BL61" s="486"/>
      <c r="BM61" s="486"/>
      <c r="BN61" s="486"/>
      <c r="BO61" s="486"/>
      <c r="BP61" s="486"/>
      <c r="BQ61" s="486"/>
      <c r="BR61" s="486"/>
      <c r="BS61" s="486"/>
      <c r="BT61" s="486"/>
      <c r="BU61" s="486"/>
      <c r="BV61" s="486"/>
      <c r="BW61" s="486"/>
      <c r="BX61" s="486"/>
      <c r="BY61" s="486"/>
      <c r="BZ61" s="486"/>
      <c r="CA61" s="486"/>
      <c r="CB61" s="486"/>
      <c r="CC61" s="486"/>
      <c r="CD61" s="486"/>
      <c r="CE61" s="486"/>
      <c r="CF61" s="486"/>
      <c r="CG61" s="486"/>
      <c r="CH61" s="486"/>
      <c r="CI61" s="486"/>
      <c r="CJ61" s="486"/>
      <c r="CK61" s="486"/>
      <c r="CL61" s="486"/>
      <c r="CM61" s="486"/>
      <c r="CN61" s="486"/>
      <c r="CO61" s="486"/>
      <c r="CP61" s="486"/>
      <c r="CQ61" s="486"/>
      <c r="CR61" s="486"/>
      <c r="CS61" s="486"/>
      <c r="CT61" s="486"/>
      <c r="CU61" s="486"/>
      <c r="CV61" s="486"/>
      <c r="CW61" s="486"/>
      <c r="CX61" s="486"/>
      <c r="CY61" s="486"/>
      <c r="CZ61" s="486"/>
      <c r="DA61" s="486"/>
      <c r="DB61" s="486"/>
      <c r="DC61" s="486"/>
      <c r="DD61" s="486"/>
      <c r="DE61" s="486"/>
      <c r="DF61" s="486"/>
      <c r="DG61" s="486"/>
      <c r="DH61" s="486"/>
      <c r="DI61" s="486"/>
      <c r="DJ61" s="486"/>
      <c r="DK61" s="486"/>
      <c r="DL61" s="486"/>
      <c r="DM61" s="486"/>
      <c r="DN61" s="486"/>
      <c r="DO61" s="486"/>
      <c r="DP61" s="486"/>
      <c r="DQ61" s="486"/>
      <c r="DR61" s="486"/>
      <c r="DS61" s="486"/>
      <c r="DT61" s="486"/>
      <c r="DU61" s="486"/>
      <c r="DV61" s="486"/>
      <c r="DW61" s="486"/>
      <c r="DX61" s="486"/>
      <c r="DY61" s="486"/>
      <c r="DZ61" s="486"/>
      <c r="EA61" s="486"/>
      <c r="EB61" s="486"/>
      <c r="EC61" s="486"/>
      <c r="ED61" s="486"/>
      <c r="EE61" s="486"/>
      <c r="EF61" s="486"/>
      <c r="EG61" s="486"/>
      <c r="EH61" s="486"/>
      <c r="EI61" s="486"/>
      <c r="EJ61" s="486"/>
      <c r="EK61" s="486"/>
      <c r="EL61" s="486"/>
      <c r="EM61" s="486"/>
      <c r="EN61" s="486"/>
      <c r="EO61" s="486"/>
      <c r="EP61" s="486"/>
      <c r="EQ61" s="486"/>
      <c r="ER61" s="486"/>
      <c r="ES61" s="486"/>
      <c r="ET61" s="486"/>
      <c r="EU61" s="486"/>
      <c r="EV61" s="486"/>
      <c r="EW61" s="486"/>
      <c r="EX61" s="486"/>
      <c r="EY61" s="486"/>
      <c r="EZ61" s="486"/>
      <c r="FA61" s="486"/>
      <c r="FB61" s="486"/>
      <c r="FC61" s="486"/>
      <c r="FD61" s="486"/>
      <c r="FE61" s="486"/>
      <c r="FF61" s="486"/>
      <c r="FG61" s="486"/>
      <c r="FH61" s="486"/>
      <c r="FI61" s="486"/>
      <c r="FJ61" s="486"/>
      <c r="FK61" s="486"/>
      <c r="FL61" s="486"/>
      <c r="FM61" s="486"/>
      <c r="FN61" s="486"/>
      <c r="FO61" s="486"/>
      <c r="FP61" s="486"/>
      <c r="FQ61" s="486"/>
      <c r="FR61" s="486"/>
      <c r="FS61" s="486"/>
      <c r="FT61" s="486"/>
      <c r="FU61" s="486"/>
      <c r="FV61" s="486"/>
      <c r="FW61" s="486"/>
      <c r="FX61" s="486"/>
      <c r="FY61" s="486"/>
      <c r="FZ61" s="486"/>
      <c r="GA61" s="486"/>
      <c r="GB61" s="486"/>
      <c r="GC61" s="486"/>
      <c r="GD61" s="486"/>
      <c r="GE61" s="486"/>
      <c r="GF61" s="486"/>
      <c r="GG61" s="486"/>
      <c r="GH61" s="486"/>
      <c r="GI61" s="486"/>
      <c r="GJ61" s="486"/>
      <c r="GK61" s="486"/>
      <c r="GL61" s="486"/>
      <c r="GM61" s="486"/>
      <c r="GN61" s="486"/>
      <c r="GO61" s="486"/>
      <c r="GP61" s="486"/>
      <c r="GQ61" s="486"/>
      <c r="GR61" s="486"/>
      <c r="GS61" s="486"/>
      <c r="GT61" s="486"/>
      <c r="GU61" s="486"/>
      <c r="GV61" s="486"/>
      <c r="GW61" s="486"/>
      <c r="GX61" s="486"/>
      <c r="GY61" s="486"/>
      <c r="GZ61" s="486"/>
      <c r="HA61" s="486"/>
      <c r="HB61" s="486"/>
      <c r="HC61" s="486"/>
      <c r="HD61" s="486"/>
      <c r="HE61" s="486"/>
      <c r="HF61" s="486"/>
      <c r="HG61" s="486"/>
      <c r="HH61" s="486"/>
      <c r="HI61" s="486"/>
      <c r="HJ61" s="486"/>
      <c r="HK61" s="486"/>
      <c r="HL61" s="486"/>
      <c r="HM61" s="486"/>
      <c r="HN61" s="486"/>
      <c r="HO61" s="486"/>
      <c r="HP61" s="486"/>
      <c r="HQ61" s="486"/>
      <c r="HR61" s="486"/>
      <c r="HS61" s="486"/>
      <c r="HT61" s="486"/>
      <c r="HU61" s="486"/>
      <c r="HV61" s="486"/>
      <c r="HW61" s="486"/>
      <c r="HX61" s="486"/>
      <c r="HY61" s="486"/>
      <c r="HZ61" s="486"/>
      <c r="IA61" s="486"/>
      <c r="IB61" s="486"/>
      <c r="IC61" s="486"/>
      <c r="ID61" s="486"/>
      <c r="IE61" s="486"/>
      <c r="IF61" s="486"/>
      <c r="IG61" s="486"/>
      <c r="IH61" s="486"/>
      <c r="II61" s="486"/>
      <c r="IJ61" s="486"/>
      <c r="IK61" s="486"/>
      <c r="IL61" s="486"/>
      <c r="IM61" s="486"/>
      <c r="IN61" s="486"/>
      <c r="IO61" s="486"/>
      <c r="IP61" s="486"/>
    </row>
    <row r="62" spans="1:250" s="531" customFormat="1" hidden="1">
      <c r="A62" s="486"/>
      <c r="B62" s="486"/>
      <c r="C62" s="474"/>
      <c r="D62" s="528"/>
      <c r="E62" s="486"/>
      <c r="G62" s="533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6"/>
      <c r="AQ62" s="486"/>
      <c r="AR62" s="486"/>
      <c r="AS62" s="486"/>
      <c r="AT62" s="486"/>
      <c r="AU62" s="486"/>
      <c r="AV62" s="486"/>
      <c r="AW62" s="486"/>
      <c r="AX62" s="486"/>
      <c r="AY62" s="486"/>
      <c r="AZ62" s="486"/>
      <c r="BA62" s="486"/>
      <c r="BB62" s="486"/>
      <c r="BC62" s="486"/>
      <c r="BD62" s="486"/>
      <c r="BE62" s="486"/>
      <c r="BF62" s="486"/>
      <c r="BG62" s="486"/>
      <c r="BH62" s="486"/>
      <c r="BI62" s="486"/>
      <c r="BJ62" s="486"/>
      <c r="BK62" s="486"/>
      <c r="BL62" s="486"/>
      <c r="BM62" s="486"/>
      <c r="BN62" s="486"/>
      <c r="BO62" s="486"/>
      <c r="BP62" s="486"/>
      <c r="BQ62" s="486"/>
      <c r="BR62" s="486"/>
      <c r="BS62" s="486"/>
      <c r="BT62" s="486"/>
      <c r="BU62" s="486"/>
      <c r="BV62" s="486"/>
      <c r="BW62" s="486"/>
      <c r="BX62" s="486"/>
      <c r="BY62" s="486"/>
      <c r="BZ62" s="486"/>
      <c r="CA62" s="486"/>
      <c r="CB62" s="486"/>
      <c r="CC62" s="486"/>
      <c r="CD62" s="486"/>
      <c r="CE62" s="486"/>
      <c r="CF62" s="486"/>
      <c r="CG62" s="486"/>
      <c r="CH62" s="486"/>
      <c r="CI62" s="486"/>
      <c r="CJ62" s="486"/>
      <c r="CK62" s="486"/>
      <c r="CL62" s="486"/>
      <c r="CM62" s="486"/>
      <c r="CN62" s="486"/>
      <c r="CO62" s="486"/>
      <c r="CP62" s="486"/>
      <c r="CQ62" s="486"/>
      <c r="CR62" s="486"/>
      <c r="CS62" s="486"/>
      <c r="CT62" s="486"/>
      <c r="CU62" s="486"/>
      <c r="CV62" s="486"/>
      <c r="CW62" s="486"/>
      <c r="CX62" s="486"/>
      <c r="CY62" s="486"/>
      <c r="CZ62" s="486"/>
      <c r="DA62" s="486"/>
      <c r="DB62" s="486"/>
      <c r="DC62" s="486"/>
      <c r="DD62" s="486"/>
      <c r="DE62" s="486"/>
      <c r="DF62" s="486"/>
      <c r="DG62" s="486"/>
      <c r="DH62" s="486"/>
      <c r="DI62" s="486"/>
      <c r="DJ62" s="486"/>
      <c r="DK62" s="486"/>
      <c r="DL62" s="486"/>
      <c r="DM62" s="486"/>
      <c r="DN62" s="486"/>
      <c r="DO62" s="486"/>
      <c r="DP62" s="486"/>
      <c r="DQ62" s="486"/>
      <c r="DR62" s="486"/>
      <c r="DS62" s="486"/>
      <c r="DT62" s="486"/>
      <c r="DU62" s="486"/>
      <c r="DV62" s="486"/>
      <c r="DW62" s="486"/>
      <c r="DX62" s="486"/>
      <c r="DY62" s="486"/>
      <c r="DZ62" s="486"/>
      <c r="EA62" s="486"/>
      <c r="EB62" s="486"/>
      <c r="EC62" s="486"/>
      <c r="ED62" s="486"/>
      <c r="EE62" s="486"/>
      <c r="EF62" s="486"/>
      <c r="EG62" s="486"/>
      <c r="EH62" s="486"/>
      <c r="EI62" s="486"/>
      <c r="EJ62" s="486"/>
      <c r="EK62" s="486"/>
      <c r="EL62" s="486"/>
      <c r="EM62" s="486"/>
      <c r="EN62" s="486"/>
      <c r="EO62" s="486"/>
      <c r="EP62" s="486"/>
      <c r="EQ62" s="486"/>
      <c r="ER62" s="486"/>
      <c r="ES62" s="486"/>
      <c r="ET62" s="486"/>
      <c r="EU62" s="486"/>
      <c r="EV62" s="486"/>
      <c r="EW62" s="486"/>
      <c r="EX62" s="486"/>
      <c r="EY62" s="486"/>
      <c r="EZ62" s="486"/>
      <c r="FA62" s="486"/>
      <c r="FB62" s="486"/>
      <c r="FC62" s="486"/>
      <c r="FD62" s="486"/>
      <c r="FE62" s="486"/>
      <c r="FF62" s="486"/>
      <c r="FG62" s="486"/>
      <c r="FH62" s="486"/>
      <c r="FI62" s="486"/>
      <c r="FJ62" s="486"/>
      <c r="FK62" s="486"/>
      <c r="FL62" s="486"/>
      <c r="FM62" s="486"/>
      <c r="FN62" s="486"/>
      <c r="FO62" s="486"/>
      <c r="FP62" s="486"/>
      <c r="FQ62" s="486"/>
      <c r="FR62" s="486"/>
      <c r="FS62" s="486"/>
      <c r="FT62" s="486"/>
      <c r="FU62" s="486"/>
      <c r="FV62" s="486"/>
      <c r="FW62" s="486"/>
      <c r="FX62" s="486"/>
      <c r="FY62" s="486"/>
      <c r="FZ62" s="486"/>
      <c r="GA62" s="486"/>
      <c r="GB62" s="486"/>
      <c r="GC62" s="486"/>
      <c r="GD62" s="486"/>
      <c r="GE62" s="486"/>
      <c r="GF62" s="486"/>
      <c r="GG62" s="486"/>
      <c r="GH62" s="486"/>
      <c r="GI62" s="486"/>
      <c r="GJ62" s="486"/>
      <c r="GK62" s="486"/>
      <c r="GL62" s="486"/>
      <c r="GM62" s="486"/>
      <c r="GN62" s="486"/>
      <c r="GO62" s="486"/>
      <c r="GP62" s="486"/>
      <c r="GQ62" s="486"/>
      <c r="GR62" s="486"/>
      <c r="GS62" s="486"/>
      <c r="GT62" s="486"/>
      <c r="GU62" s="486"/>
      <c r="GV62" s="486"/>
      <c r="GW62" s="486"/>
      <c r="GX62" s="486"/>
      <c r="GY62" s="486"/>
      <c r="GZ62" s="486"/>
      <c r="HA62" s="486"/>
      <c r="HB62" s="486"/>
      <c r="HC62" s="486"/>
      <c r="HD62" s="486"/>
      <c r="HE62" s="486"/>
      <c r="HF62" s="486"/>
      <c r="HG62" s="486"/>
      <c r="HH62" s="486"/>
      <c r="HI62" s="486"/>
      <c r="HJ62" s="486"/>
      <c r="HK62" s="486"/>
      <c r="HL62" s="486"/>
      <c r="HM62" s="486"/>
      <c r="HN62" s="486"/>
      <c r="HO62" s="486"/>
      <c r="HP62" s="486"/>
      <c r="HQ62" s="486"/>
      <c r="HR62" s="486"/>
      <c r="HS62" s="486"/>
      <c r="HT62" s="486"/>
      <c r="HU62" s="486"/>
      <c r="HV62" s="486"/>
      <c r="HW62" s="486"/>
      <c r="HX62" s="486"/>
      <c r="HY62" s="486"/>
      <c r="HZ62" s="486"/>
      <c r="IA62" s="486"/>
      <c r="IB62" s="486"/>
      <c r="IC62" s="486"/>
      <c r="ID62" s="486"/>
      <c r="IE62" s="486"/>
      <c r="IF62" s="486"/>
      <c r="IG62" s="486"/>
      <c r="IH62" s="486"/>
      <c r="II62" s="486"/>
      <c r="IJ62" s="486"/>
      <c r="IK62" s="486"/>
      <c r="IL62" s="486"/>
      <c r="IM62" s="486"/>
      <c r="IN62" s="486"/>
      <c r="IO62" s="486"/>
      <c r="IP62" s="486"/>
    </row>
    <row r="63" spans="1:250" s="531" customFormat="1" hidden="1">
      <c r="A63" s="486"/>
      <c r="B63" s="486"/>
      <c r="C63" s="474"/>
      <c r="D63" s="528"/>
      <c r="E63" s="474"/>
      <c r="G63" s="533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W63" s="486"/>
      <c r="AX63" s="486"/>
      <c r="AY63" s="486"/>
      <c r="AZ63" s="486"/>
      <c r="BA63" s="486"/>
      <c r="BB63" s="486"/>
      <c r="BC63" s="486"/>
      <c r="BD63" s="486"/>
      <c r="BE63" s="486"/>
      <c r="BF63" s="486"/>
      <c r="BG63" s="486"/>
      <c r="BH63" s="486"/>
      <c r="BI63" s="486"/>
      <c r="BJ63" s="486"/>
      <c r="BK63" s="486"/>
      <c r="BL63" s="486"/>
      <c r="BM63" s="486"/>
      <c r="BN63" s="486"/>
      <c r="BO63" s="486"/>
      <c r="BP63" s="486"/>
      <c r="BQ63" s="486"/>
      <c r="BR63" s="486"/>
      <c r="BS63" s="486"/>
      <c r="BT63" s="486"/>
      <c r="BU63" s="486"/>
      <c r="BV63" s="486"/>
      <c r="BW63" s="486"/>
      <c r="BX63" s="486"/>
      <c r="BY63" s="486"/>
      <c r="BZ63" s="486"/>
      <c r="CA63" s="486"/>
      <c r="CB63" s="486"/>
      <c r="CC63" s="486"/>
      <c r="CD63" s="486"/>
      <c r="CE63" s="486"/>
      <c r="CF63" s="486"/>
      <c r="CG63" s="486"/>
      <c r="CH63" s="486"/>
      <c r="CI63" s="486"/>
      <c r="CJ63" s="486"/>
      <c r="CK63" s="486"/>
      <c r="CL63" s="486"/>
      <c r="CM63" s="486"/>
      <c r="CN63" s="486"/>
      <c r="CO63" s="486"/>
      <c r="CP63" s="486"/>
      <c r="CQ63" s="486"/>
      <c r="CR63" s="486"/>
      <c r="CS63" s="486"/>
      <c r="CT63" s="486"/>
      <c r="CU63" s="486"/>
      <c r="CV63" s="486"/>
      <c r="CW63" s="486"/>
      <c r="CX63" s="486"/>
      <c r="CY63" s="486"/>
      <c r="CZ63" s="486"/>
      <c r="DA63" s="486"/>
      <c r="DB63" s="486"/>
      <c r="DC63" s="486"/>
      <c r="DD63" s="486"/>
      <c r="DE63" s="486"/>
      <c r="DF63" s="486"/>
      <c r="DG63" s="486"/>
      <c r="DH63" s="486"/>
      <c r="DI63" s="486"/>
      <c r="DJ63" s="486"/>
      <c r="DK63" s="486"/>
      <c r="DL63" s="486"/>
      <c r="DM63" s="486"/>
      <c r="DN63" s="486"/>
      <c r="DO63" s="486"/>
      <c r="DP63" s="486"/>
      <c r="DQ63" s="486"/>
      <c r="DR63" s="486"/>
      <c r="DS63" s="486"/>
      <c r="DT63" s="486"/>
      <c r="DU63" s="486"/>
      <c r="DV63" s="486"/>
      <c r="DW63" s="486"/>
      <c r="DX63" s="486"/>
      <c r="DY63" s="486"/>
      <c r="DZ63" s="486"/>
      <c r="EA63" s="486"/>
      <c r="EB63" s="486"/>
      <c r="EC63" s="486"/>
      <c r="ED63" s="486"/>
      <c r="EE63" s="486"/>
      <c r="EF63" s="486"/>
      <c r="EG63" s="486"/>
      <c r="EH63" s="486"/>
      <c r="EI63" s="486"/>
      <c r="EJ63" s="486"/>
      <c r="EK63" s="486"/>
      <c r="EL63" s="486"/>
      <c r="EM63" s="486"/>
      <c r="EN63" s="486"/>
      <c r="EO63" s="486"/>
      <c r="EP63" s="486"/>
      <c r="EQ63" s="486"/>
      <c r="ER63" s="486"/>
      <c r="ES63" s="486"/>
      <c r="ET63" s="486"/>
      <c r="EU63" s="486"/>
      <c r="EV63" s="486"/>
      <c r="EW63" s="486"/>
      <c r="EX63" s="486"/>
      <c r="EY63" s="486"/>
      <c r="EZ63" s="486"/>
      <c r="FA63" s="486"/>
      <c r="FB63" s="486"/>
      <c r="FC63" s="486"/>
      <c r="FD63" s="486"/>
      <c r="FE63" s="486"/>
      <c r="FF63" s="486"/>
      <c r="FG63" s="486"/>
      <c r="FH63" s="486"/>
      <c r="FI63" s="486"/>
      <c r="FJ63" s="486"/>
      <c r="FK63" s="486"/>
      <c r="FL63" s="486"/>
      <c r="FM63" s="486"/>
      <c r="FN63" s="486"/>
      <c r="FO63" s="486"/>
      <c r="FP63" s="486"/>
      <c r="FQ63" s="486"/>
      <c r="FR63" s="486"/>
      <c r="FS63" s="486"/>
      <c r="FT63" s="486"/>
      <c r="FU63" s="486"/>
      <c r="FV63" s="486"/>
      <c r="FW63" s="486"/>
      <c r="FX63" s="486"/>
      <c r="FY63" s="486"/>
      <c r="FZ63" s="486"/>
      <c r="GA63" s="486"/>
      <c r="GB63" s="486"/>
      <c r="GC63" s="486"/>
      <c r="GD63" s="486"/>
      <c r="GE63" s="486"/>
      <c r="GF63" s="486"/>
      <c r="GG63" s="486"/>
      <c r="GH63" s="486"/>
      <c r="GI63" s="486"/>
      <c r="GJ63" s="486"/>
      <c r="GK63" s="486"/>
      <c r="GL63" s="486"/>
      <c r="GM63" s="486"/>
      <c r="GN63" s="486"/>
      <c r="GO63" s="486"/>
      <c r="GP63" s="486"/>
      <c r="GQ63" s="486"/>
      <c r="GR63" s="486"/>
      <c r="GS63" s="486"/>
      <c r="GT63" s="486"/>
      <c r="GU63" s="486"/>
      <c r="GV63" s="486"/>
      <c r="GW63" s="486"/>
      <c r="GX63" s="486"/>
      <c r="GY63" s="486"/>
      <c r="GZ63" s="486"/>
      <c r="HA63" s="486"/>
      <c r="HB63" s="486"/>
      <c r="HC63" s="486"/>
      <c r="HD63" s="486"/>
      <c r="HE63" s="486"/>
      <c r="HF63" s="486"/>
      <c r="HG63" s="486"/>
      <c r="HH63" s="486"/>
      <c r="HI63" s="486"/>
      <c r="HJ63" s="486"/>
      <c r="HK63" s="486"/>
      <c r="HL63" s="486"/>
      <c r="HM63" s="486"/>
      <c r="HN63" s="486"/>
      <c r="HO63" s="486"/>
      <c r="HP63" s="486"/>
      <c r="HQ63" s="486"/>
      <c r="HR63" s="486"/>
      <c r="HS63" s="486"/>
      <c r="HT63" s="486"/>
      <c r="HU63" s="486"/>
      <c r="HV63" s="486"/>
      <c r="HW63" s="486"/>
      <c r="HX63" s="486"/>
      <c r="HY63" s="486"/>
      <c r="HZ63" s="486"/>
      <c r="IA63" s="486"/>
      <c r="IB63" s="486"/>
      <c r="IC63" s="486"/>
      <c r="ID63" s="486"/>
      <c r="IE63" s="486"/>
      <c r="IF63" s="486"/>
      <c r="IG63" s="486"/>
      <c r="IH63" s="486"/>
      <c r="II63" s="486"/>
      <c r="IJ63" s="486"/>
      <c r="IK63" s="486"/>
      <c r="IL63" s="486"/>
      <c r="IM63" s="486"/>
      <c r="IN63" s="486"/>
      <c r="IO63" s="486"/>
      <c r="IP63" s="486"/>
    </row>
    <row r="64" spans="1:250" s="531" customFormat="1" ht="15" hidden="1" customHeight="1">
      <c r="A64" s="486"/>
      <c r="B64" s="486"/>
      <c r="C64" s="474"/>
      <c r="D64" s="528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  <c r="BG64" s="486"/>
      <c r="BH64" s="486"/>
      <c r="BI64" s="486"/>
      <c r="BJ64" s="486"/>
      <c r="BK64" s="486"/>
      <c r="BL64" s="486"/>
      <c r="BM64" s="486"/>
      <c r="BN64" s="486"/>
      <c r="BO64" s="486"/>
      <c r="BP64" s="486"/>
      <c r="BQ64" s="486"/>
      <c r="BR64" s="486"/>
      <c r="BS64" s="486"/>
      <c r="BT64" s="486"/>
      <c r="BU64" s="486"/>
      <c r="BV64" s="486"/>
      <c r="BW64" s="486"/>
      <c r="BX64" s="486"/>
      <c r="BY64" s="486"/>
      <c r="BZ64" s="486"/>
      <c r="CA64" s="486"/>
      <c r="CB64" s="486"/>
      <c r="CC64" s="486"/>
      <c r="CD64" s="486"/>
      <c r="CE64" s="486"/>
      <c r="CF64" s="486"/>
      <c r="CG64" s="486"/>
      <c r="CH64" s="486"/>
      <c r="CI64" s="486"/>
      <c r="CJ64" s="486"/>
      <c r="CK64" s="486"/>
      <c r="CL64" s="486"/>
      <c r="CM64" s="486"/>
      <c r="CN64" s="486"/>
      <c r="CO64" s="486"/>
      <c r="CP64" s="486"/>
      <c r="CQ64" s="486"/>
      <c r="CR64" s="486"/>
      <c r="CS64" s="486"/>
      <c r="CT64" s="486"/>
      <c r="CU64" s="486"/>
      <c r="CV64" s="486"/>
      <c r="CW64" s="486"/>
      <c r="CX64" s="486"/>
      <c r="CY64" s="486"/>
      <c r="CZ64" s="486"/>
      <c r="DA64" s="486"/>
      <c r="DB64" s="486"/>
      <c r="DC64" s="486"/>
      <c r="DD64" s="486"/>
      <c r="DE64" s="486"/>
      <c r="DF64" s="486"/>
      <c r="DG64" s="486"/>
      <c r="DH64" s="486"/>
      <c r="DI64" s="486"/>
      <c r="DJ64" s="486"/>
      <c r="DK64" s="486"/>
      <c r="DL64" s="486"/>
      <c r="DM64" s="486"/>
      <c r="DN64" s="486"/>
      <c r="DO64" s="486"/>
      <c r="DP64" s="486"/>
      <c r="DQ64" s="486"/>
      <c r="DR64" s="486"/>
      <c r="DS64" s="486"/>
      <c r="DT64" s="486"/>
      <c r="DU64" s="486"/>
      <c r="DV64" s="486"/>
      <c r="DW64" s="486"/>
      <c r="DX64" s="486"/>
      <c r="DY64" s="486"/>
      <c r="DZ64" s="486"/>
      <c r="EA64" s="486"/>
      <c r="EB64" s="486"/>
      <c r="EC64" s="486"/>
      <c r="ED64" s="486"/>
      <c r="EE64" s="486"/>
      <c r="EF64" s="486"/>
      <c r="EG64" s="486"/>
      <c r="EH64" s="486"/>
      <c r="EI64" s="486"/>
      <c r="EJ64" s="486"/>
      <c r="EK64" s="486"/>
      <c r="EL64" s="486"/>
      <c r="EM64" s="486"/>
      <c r="EN64" s="486"/>
      <c r="EO64" s="486"/>
      <c r="EP64" s="486"/>
      <c r="EQ64" s="486"/>
      <c r="ER64" s="486"/>
      <c r="ES64" s="486"/>
      <c r="ET64" s="486"/>
      <c r="EU64" s="486"/>
      <c r="EV64" s="486"/>
      <c r="EW64" s="486"/>
      <c r="EX64" s="486"/>
      <c r="EY64" s="486"/>
      <c r="EZ64" s="486"/>
      <c r="FA64" s="486"/>
      <c r="FB64" s="486"/>
      <c r="FC64" s="486"/>
      <c r="FD64" s="486"/>
      <c r="FE64" s="486"/>
      <c r="FF64" s="486"/>
      <c r="FG64" s="486"/>
      <c r="FH64" s="486"/>
      <c r="FI64" s="486"/>
      <c r="FJ64" s="486"/>
      <c r="FK64" s="486"/>
      <c r="FL64" s="486"/>
      <c r="FM64" s="486"/>
      <c r="FN64" s="486"/>
      <c r="FO64" s="486"/>
      <c r="FP64" s="486"/>
      <c r="FQ64" s="486"/>
      <c r="FR64" s="486"/>
      <c r="FS64" s="486"/>
      <c r="FT64" s="486"/>
      <c r="FU64" s="486"/>
      <c r="FV64" s="486"/>
      <c r="FW64" s="486"/>
      <c r="FX64" s="486"/>
      <c r="FY64" s="486"/>
      <c r="FZ64" s="486"/>
      <c r="GA64" s="486"/>
      <c r="GB64" s="486"/>
      <c r="GC64" s="486"/>
      <c r="GD64" s="486"/>
      <c r="GE64" s="486"/>
      <c r="GF64" s="486"/>
      <c r="GG64" s="486"/>
      <c r="GH64" s="486"/>
      <c r="GI64" s="486"/>
      <c r="GJ64" s="486"/>
      <c r="GK64" s="486"/>
      <c r="GL64" s="486"/>
      <c r="GM64" s="486"/>
      <c r="GN64" s="486"/>
      <c r="GO64" s="486"/>
      <c r="GP64" s="486"/>
      <c r="GQ64" s="486"/>
      <c r="GR64" s="486"/>
      <c r="GS64" s="486"/>
      <c r="GT64" s="486"/>
      <c r="GU64" s="486"/>
      <c r="GV64" s="486"/>
      <c r="GW64" s="486"/>
      <c r="GX64" s="486"/>
      <c r="GY64" s="486"/>
      <c r="GZ64" s="486"/>
      <c r="HA64" s="486"/>
      <c r="HB64" s="486"/>
      <c r="HC64" s="486"/>
      <c r="HD64" s="486"/>
      <c r="HE64" s="486"/>
      <c r="HF64" s="486"/>
      <c r="HG64" s="486"/>
      <c r="HH64" s="486"/>
      <c r="HI64" s="486"/>
      <c r="HJ64" s="486"/>
      <c r="HK64" s="486"/>
      <c r="HL64" s="486"/>
      <c r="HM64" s="486"/>
      <c r="HN64" s="486"/>
      <c r="HO64" s="486"/>
      <c r="HP64" s="486"/>
      <c r="HQ64" s="486"/>
      <c r="HR64" s="486"/>
      <c r="HS64" s="486"/>
      <c r="HT64" s="486"/>
      <c r="HU64" s="486"/>
      <c r="HV64" s="486"/>
      <c r="HW64" s="486"/>
      <c r="HX64" s="486"/>
      <c r="HY64" s="486"/>
      <c r="HZ64" s="486"/>
      <c r="IA64" s="486"/>
      <c r="IB64" s="486"/>
      <c r="IC64" s="486"/>
      <c r="ID64" s="486"/>
      <c r="IE64" s="486"/>
      <c r="IF64" s="486"/>
      <c r="IG64" s="486"/>
      <c r="IH64" s="486"/>
      <c r="II64" s="486"/>
      <c r="IJ64" s="486"/>
      <c r="IK64" s="486"/>
      <c r="IL64" s="486"/>
      <c r="IM64" s="486"/>
      <c r="IN64" s="486"/>
      <c r="IO64" s="486"/>
      <c r="IP64" s="486"/>
    </row>
    <row r="65" spans="1:250" hidden="1">
      <c r="E65" s="534"/>
      <c r="F65" s="535"/>
    </row>
    <row r="66" spans="1:250" s="531" customFormat="1" hidden="1">
      <c r="A66" s="486"/>
      <c r="B66" s="486"/>
      <c r="C66" s="474"/>
      <c r="D66" s="528"/>
      <c r="E66" s="536" t="s">
        <v>954</v>
      </c>
      <c r="F66" s="490">
        <v>3802500</v>
      </c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  <c r="BG66" s="486"/>
      <c r="BH66" s="486"/>
      <c r="BI66" s="486"/>
      <c r="BJ66" s="486"/>
      <c r="BK66" s="486"/>
      <c r="BL66" s="486"/>
      <c r="BM66" s="486"/>
      <c r="BN66" s="486"/>
      <c r="BO66" s="486"/>
      <c r="BP66" s="486"/>
      <c r="BQ66" s="486"/>
      <c r="BR66" s="486"/>
      <c r="BS66" s="486"/>
      <c r="BT66" s="486"/>
      <c r="BU66" s="486"/>
      <c r="BV66" s="486"/>
      <c r="BW66" s="486"/>
      <c r="BX66" s="486"/>
      <c r="BY66" s="486"/>
      <c r="BZ66" s="486"/>
      <c r="CA66" s="486"/>
      <c r="CB66" s="486"/>
      <c r="CC66" s="486"/>
      <c r="CD66" s="486"/>
      <c r="CE66" s="486"/>
      <c r="CF66" s="486"/>
      <c r="CG66" s="486"/>
      <c r="CH66" s="486"/>
      <c r="CI66" s="486"/>
      <c r="CJ66" s="486"/>
      <c r="CK66" s="486"/>
      <c r="CL66" s="486"/>
      <c r="CM66" s="486"/>
      <c r="CN66" s="486"/>
      <c r="CO66" s="486"/>
      <c r="CP66" s="486"/>
      <c r="CQ66" s="486"/>
      <c r="CR66" s="486"/>
      <c r="CS66" s="486"/>
      <c r="CT66" s="486"/>
      <c r="CU66" s="486"/>
      <c r="CV66" s="486"/>
      <c r="CW66" s="486"/>
      <c r="CX66" s="486"/>
      <c r="CY66" s="486"/>
      <c r="CZ66" s="486"/>
      <c r="DA66" s="486"/>
      <c r="DB66" s="486"/>
      <c r="DC66" s="486"/>
      <c r="DD66" s="486"/>
      <c r="DE66" s="486"/>
      <c r="DF66" s="486"/>
      <c r="DG66" s="486"/>
      <c r="DH66" s="486"/>
      <c r="DI66" s="486"/>
      <c r="DJ66" s="486"/>
      <c r="DK66" s="486"/>
      <c r="DL66" s="486"/>
      <c r="DM66" s="486"/>
      <c r="DN66" s="486"/>
      <c r="DO66" s="486"/>
      <c r="DP66" s="486"/>
      <c r="DQ66" s="486"/>
      <c r="DR66" s="486"/>
      <c r="DS66" s="486"/>
      <c r="DT66" s="486"/>
      <c r="DU66" s="486"/>
      <c r="DV66" s="486"/>
      <c r="DW66" s="486"/>
      <c r="DX66" s="486"/>
      <c r="DY66" s="486"/>
      <c r="DZ66" s="486"/>
      <c r="EA66" s="486"/>
      <c r="EB66" s="486"/>
      <c r="EC66" s="486"/>
      <c r="ED66" s="486"/>
      <c r="EE66" s="486"/>
      <c r="EF66" s="486"/>
      <c r="EG66" s="486"/>
      <c r="EH66" s="486"/>
      <c r="EI66" s="486"/>
      <c r="EJ66" s="486"/>
      <c r="EK66" s="486"/>
      <c r="EL66" s="486"/>
      <c r="EM66" s="486"/>
      <c r="EN66" s="486"/>
      <c r="EO66" s="486"/>
      <c r="EP66" s="486"/>
      <c r="EQ66" s="486"/>
      <c r="ER66" s="486"/>
      <c r="ES66" s="486"/>
      <c r="ET66" s="486"/>
      <c r="EU66" s="486"/>
      <c r="EV66" s="486"/>
      <c r="EW66" s="486"/>
      <c r="EX66" s="486"/>
      <c r="EY66" s="486"/>
      <c r="EZ66" s="486"/>
      <c r="FA66" s="486"/>
      <c r="FB66" s="486"/>
      <c r="FC66" s="486"/>
      <c r="FD66" s="486"/>
      <c r="FE66" s="486"/>
      <c r="FF66" s="486"/>
      <c r="FG66" s="486"/>
      <c r="FH66" s="486"/>
      <c r="FI66" s="486"/>
      <c r="FJ66" s="486"/>
      <c r="FK66" s="486"/>
      <c r="FL66" s="486"/>
      <c r="FM66" s="486"/>
      <c r="FN66" s="486"/>
      <c r="FO66" s="486"/>
      <c r="FP66" s="486"/>
      <c r="FQ66" s="486"/>
      <c r="FR66" s="486"/>
      <c r="FS66" s="486"/>
      <c r="FT66" s="486"/>
      <c r="FU66" s="486"/>
      <c r="FV66" s="486"/>
      <c r="FW66" s="486"/>
      <c r="FX66" s="486"/>
      <c r="FY66" s="486"/>
      <c r="FZ66" s="486"/>
      <c r="GA66" s="486"/>
      <c r="GB66" s="486"/>
      <c r="GC66" s="486"/>
      <c r="GD66" s="486"/>
      <c r="GE66" s="486"/>
      <c r="GF66" s="486"/>
      <c r="GG66" s="486"/>
      <c r="GH66" s="486"/>
      <c r="GI66" s="486"/>
      <c r="GJ66" s="486"/>
      <c r="GK66" s="486"/>
      <c r="GL66" s="486"/>
      <c r="GM66" s="486"/>
      <c r="GN66" s="486"/>
      <c r="GO66" s="486"/>
      <c r="GP66" s="486"/>
      <c r="GQ66" s="486"/>
      <c r="GR66" s="486"/>
      <c r="GS66" s="486"/>
      <c r="GT66" s="486"/>
      <c r="GU66" s="486"/>
      <c r="GV66" s="486"/>
      <c r="GW66" s="486"/>
      <c r="GX66" s="486"/>
      <c r="GY66" s="486"/>
      <c r="GZ66" s="486"/>
      <c r="HA66" s="486"/>
      <c r="HB66" s="486"/>
      <c r="HC66" s="486"/>
      <c r="HD66" s="486"/>
      <c r="HE66" s="486"/>
      <c r="HF66" s="486"/>
      <c r="HG66" s="486"/>
      <c r="HH66" s="486"/>
      <c r="HI66" s="486"/>
      <c r="HJ66" s="486"/>
      <c r="HK66" s="486"/>
      <c r="HL66" s="486"/>
      <c r="HM66" s="486"/>
      <c r="HN66" s="486"/>
      <c r="HO66" s="486"/>
      <c r="HP66" s="486"/>
      <c r="HQ66" s="486"/>
      <c r="HR66" s="486"/>
      <c r="HS66" s="486"/>
      <c r="HT66" s="486"/>
      <c r="HU66" s="486"/>
      <c r="HV66" s="486"/>
      <c r="HW66" s="486"/>
      <c r="HX66" s="486"/>
      <c r="HY66" s="486"/>
      <c r="HZ66" s="486"/>
      <c r="IA66" s="486"/>
      <c r="IB66" s="486"/>
      <c r="IC66" s="486"/>
      <c r="ID66" s="486"/>
      <c r="IE66" s="486"/>
      <c r="IF66" s="486"/>
      <c r="IG66" s="486"/>
      <c r="IH66" s="486"/>
      <c r="II66" s="486"/>
      <c r="IJ66" s="486"/>
      <c r="IK66" s="486"/>
      <c r="IL66" s="486"/>
      <c r="IM66" s="486"/>
      <c r="IN66" s="486"/>
      <c r="IO66" s="486"/>
      <c r="IP66" s="486"/>
    </row>
    <row r="67" spans="1:250" hidden="1">
      <c r="E67" s="536" t="s">
        <v>877</v>
      </c>
      <c r="F67" s="490">
        <v>3802500</v>
      </c>
    </row>
    <row r="68" spans="1:250" hidden="1">
      <c r="E68" s="537" t="s">
        <v>913</v>
      </c>
      <c r="F68" s="490">
        <v>4387500</v>
      </c>
    </row>
    <row r="69" spans="1:250" hidden="1">
      <c r="E69" s="536" t="s">
        <v>914</v>
      </c>
      <c r="F69" s="490">
        <v>3802500</v>
      </c>
    </row>
    <row r="70" spans="1:250" hidden="1">
      <c r="E70" s="536" t="s">
        <v>915</v>
      </c>
      <c r="F70" s="490">
        <v>3802500</v>
      </c>
    </row>
    <row r="71" spans="1:250" hidden="1">
      <c r="E71" s="538" t="s">
        <v>866</v>
      </c>
      <c r="F71" s="539">
        <v>3802500</v>
      </c>
    </row>
    <row r="72" spans="1:250" hidden="1"/>
  </sheetData>
  <mergeCells count="18">
    <mergeCell ref="S48:S52"/>
    <mergeCell ref="B50:M50"/>
    <mergeCell ref="B51:Q51"/>
    <mergeCell ref="B2:M2"/>
    <mergeCell ref="B3:M3"/>
    <mergeCell ref="B5:B6"/>
    <mergeCell ref="C5:C6"/>
    <mergeCell ref="D5:E6"/>
    <mergeCell ref="F5:F6"/>
    <mergeCell ref="G5:G6"/>
    <mergeCell ref="H5:H6"/>
    <mergeCell ref="I5:J5"/>
    <mergeCell ref="K5:L5"/>
    <mergeCell ref="C55:C57"/>
    <mergeCell ref="M5:N5"/>
    <mergeCell ref="O5:Q5"/>
    <mergeCell ref="D7:E7"/>
    <mergeCell ref="C45:C47"/>
  </mergeCells>
  <printOptions horizontalCentered="1"/>
  <pageMargins left="0.5" right="0" top="0.25" bottom="0" header="0.3" footer="0.3"/>
  <pageSetup paperSize="9" scale="5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DA9F-F430-4104-A9F5-D950FF53ADD4}">
  <sheetPr>
    <tabColor rgb="FFFF0000"/>
    <pageSetUpPr fitToPage="1"/>
  </sheetPr>
  <dimension ref="A2:JC65"/>
  <sheetViews>
    <sheetView showGridLines="0" view="pageBreakPreview" topLeftCell="A4" zoomScale="70" zoomScaleNormal="100" zoomScaleSheetLayoutView="70" workbookViewId="0">
      <pane xSplit="5" ySplit="3" topLeftCell="F43" activePane="bottomRight" state="frozen"/>
      <selection activeCell="A4" sqref="A4"/>
      <selection pane="topRight" activeCell="F4" sqref="F4"/>
      <selection pane="bottomLeft" activeCell="A7" sqref="A7"/>
      <selection pane="bottomRight" activeCell="T54" sqref="T54"/>
    </sheetView>
  </sheetViews>
  <sheetFormatPr defaultColWidth="18.5546875" defaultRowHeight="13.8"/>
  <cols>
    <col min="1" max="1" width="4" style="411" customWidth="1"/>
    <col min="2" max="2" width="5.5546875" style="411" customWidth="1"/>
    <col min="3" max="3" width="30.21875" style="411" customWidth="1"/>
    <col min="4" max="4" width="4.5546875" style="457" bestFit="1" customWidth="1"/>
    <col min="5" max="5" width="41" style="411" customWidth="1"/>
    <col min="6" max="22" width="14.5546875" style="411" customWidth="1"/>
    <col min="23" max="31" width="14.5546875" style="411" hidden="1" customWidth="1"/>
    <col min="32" max="32" width="17.21875" style="411" hidden="1" customWidth="1"/>
    <col min="33" max="33" width="17.88671875" style="411" hidden="1" customWidth="1"/>
    <col min="34" max="34" width="8.77734375" style="411" hidden="1" customWidth="1"/>
    <col min="35" max="38" width="10.21875" style="411" hidden="1" customWidth="1"/>
    <col min="39" max="40" width="11.21875" style="411" hidden="1" customWidth="1"/>
    <col min="41" max="41" width="4.21875" style="411" customWidth="1"/>
    <col min="42" max="42" width="13.21875" style="556" hidden="1" customWidth="1"/>
    <col min="43" max="43" width="8.77734375" style="562" hidden="1" customWidth="1"/>
    <col min="44" max="44" width="8.77734375" style="411" hidden="1" customWidth="1"/>
    <col min="45" max="251" width="8.77734375" style="411" customWidth="1"/>
    <col min="252" max="252" width="2.5546875" style="411" customWidth="1"/>
    <col min="253" max="253" width="5.5546875" style="411" customWidth="1"/>
    <col min="254" max="254" width="23.77734375" style="411" customWidth="1"/>
    <col min="255" max="255" width="3.77734375" style="411" customWidth="1"/>
    <col min="256" max="256" width="35.77734375" style="411" customWidth="1"/>
    <col min="257" max="257" width="22.21875" style="411" customWidth="1"/>
    <col min="258" max="258" width="17.77734375" style="411" customWidth="1"/>
    <col min="259" max="259" width="19" style="411" customWidth="1"/>
    <col min="260" max="260" width="20.77734375" style="411" customWidth="1"/>
    <col min="261" max="261" width="16.77734375" style="411" customWidth="1"/>
    <col min="262" max="262" width="18.77734375" style="411" customWidth="1"/>
    <col min="263" max="270" width="18.5546875" style="411"/>
    <col min="271" max="271" width="4" style="411" customWidth="1"/>
    <col min="272" max="272" width="5.5546875" style="411" customWidth="1"/>
    <col min="273" max="273" width="30.21875" style="411" customWidth="1"/>
    <col min="274" max="274" width="4.5546875" style="411" bestFit="1" customWidth="1"/>
    <col min="275" max="275" width="41" style="411" customWidth="1"/>
    <col min="276" max="277" width="14.5546875" style="411" customWidth="1"/>
    <col min="278" max="278" width="16.5546875" style="411" customWidth="1"/>
    <col min="279" max="281" width="14.5546875" style="411" customWidth="1"/>
    <col min="282" max="283" width="12.5546875" style="411" customWidth="1"/>
    <col min="284" max="284" width="16.5546875" style="411" customWidth="1"/>
    <col min="285" max="286" width="20.5546875" style="411" customWidth="1"/>
    <col min="287" max="287" width="11" style="411" bestFit="1" customWidth="1"/>
    <col min="288" max="288" width="17.21875" style="411" customWidth="1"/>
    <col min="289" max="289" width="11" style="411" bestFit="1" customWidth="1"/>
    <col min="290" max="290" width="8.77734375" style="411" customWidth="1"/>
    <col min="291" max="294" width="10.21875" style="411" bestFit="1" customWidth="1"/>
    <col min="295" max="296" width="11.21875" style="411" bestFit="1" customWidth="1"/>
    <col min="297" max="507" width="8.77734375" style="411" customWidth="1"/>
    <col min="508" max="508" width="2.5546875" style="411" customWidth="1"/>
    <col min="509" max="509" width="5.5546875" style="411" customWidth="1"/>
    <col min="510" max="510" width="23.77734375" style="411" customWidth="1"/>
    <col min="511" max="511" width="3.77734375" style="411" customWidth="1"/>
    <col min="512" max="512" width="35.77734375" style="411" customWidth="1"/>
    <col min="513" max="513" width="22.21875" style="411" customWidth="1"/>
    <col min="514" max="514" width="17.77734375" style="411" customWidth="1"/>
    <col min="515" max="515" width="19" style="411" customWidth="1"/>
    <col min="516" max="516" width="20.77734375" style="411" customWidth="1"/>
    <col min="517" max="517" width="16.77734375" style="411" customWidth="1"/>
    <col min="518" max="518" width="18.77734375" style="411" customWidth="1"/>
    <col min="519" max="526" width="18.5546875" style="411"/>
    <col min="527" max="527" width="4" style="411" customWidth="1"/>
    <col min="528" max="528" width="5.5546875" style="411" customWidth="1"/>
    <col min="529" max="529" width="30.21875" style="411" customWidth="1"/>
    <col min="530" max="530" width="4.5546875" style="411" bestFit="1" customWidth="1"/>
    <col min="531" max="531" width="41" style="411" customWidth="1"/>
    <col min="532" max="533" width="14.5546875" style="411" customWidth="1"/>
    <col min="534" max="534" width="16.5546875" style="411" customWidth="1"/>
    <col min="535" max="537" width="14.5546875" style="411" customWidth="1"/>
    <col min="538" max="539" width="12.5546875" style="411" customWidth="1"/>
    <col min="540" max="540" width="16.5546875" style="411" customWidth="1"/>
    <col min="541" max="542" width="20.5546875" style="411" customWidth="1"/>
    <col min="543" max="543" width="11" style="411" bestFit="1" customWidth="1"/>
    <col min="544" max="544" width="17.21875" style="411" customWidth="1"/>
    <col min="545" max="545" width="11" style="411" bestFit="1" customWidth="1"/>
    <col min="546" max="546" width="8.77734375" style="411" customWidth="1"/>
    <col min="547" max="550" width="10.21875" style="411" bestFit="1" customWidth="1"/>
    <col min="551" max="552" width="11.21875" style="411" bestFit="1" customWidth="1"/>
    <col min="553" max="763" width="8.77734375" style="411" customWidth="1"/>
    <col min="764" max="764" width="2.5546875" style="411" customWidth="1"/>
    <col min="765" max="765" width="5.5546875" style="411" customWidth="1"/>
    <col min="766" max="766" width="23.77734375" style="411" customWidth="1"/>
    <col min="767" max="767" width="3.77734375" style="411" customWidth="1"/>
    <col min="768" max="768" width="35.77734375" style="411" customWidth="1"/>
    <col min="769" max="769" width="22.21875" style="411" customWidth="1"/>
    <col min="770" max="770" width="17.77734375" style="411" customWidth="1"/>
    <col min="771" max="771" width="19" style="411" customWidth="1"/>
    <col min="772" max="772" width="20.77734375" style="411" customWidth="1"/>
    <col min="773" max="773" width="16.77734375" style="411" customWidth="1"/>
    <col min="774" max="774" width="18.77734375" style="411" customWidth="1"/>
    <col min="775" max="782" width="18.5546875" style="411"/>
    <col min="783" max="783" width="4" style="411" customWidth="1"/>
    <col min="784" max="784" width="5.5546875" style="411" customWidth="1"/>
    <col min="785" max="785" width="30.21875" style="411" customWidth="1"/>
    <col min="786" max="786" width="4.5546875" style="411" bestFit="1" customWidth="1"/>
    <col min="787" max="787" width="41" style="411" customWidth="1"/>
    <col min="788" max="789" width="14.5546875" style="411" customWidth="1"/>
    <col min="790" max="790" width="16.5546875" style="411" customWidth="1"/>
    <col min="791" max="793" width="14.5546875" style="411" customWidth="1"/>
    <col min="794" max="795" width="12.5546875" style="411" customWidth="1"/>
    <col min="796" max="796" width="16.5546875" style="411" customWidth="1"/>
    <col min="797" max="798" width="20.5546875" style="411" customWidth="1"/>
    <col min="799" max="799" width="11" style="411" bestFit="1" customWidth="1"/>
    <col min="800" max="800" width="17.21875" style="411" customWidth="1"/>
    <col min="801" max="801" width="11" style="411" bestFit="1" customWidth="1"/>
    <col min="802" max="802" width="8.77734375" style="411" customWidth="1"/>
    <col min="803" max="806" width="10.21875" style="411" bestFit="1" customWidth="1"/>
    <col min="807" max="808" width="11.21875" style="411" bestFit="1" customWidth="1"/>
    <col min="809" max="1019" width="8.77734375" style="411" customWidth="1"/>
    <col min="1020" max="1020" width="2.5546875" style="411" customWidth="1"/>
    <col min="1021" max="1021" width="5.5546875" style="411" customWidth="1"/>
    <col min="1022" max="1022" width="23.77734375" style="411" customWidth="1"/>
    <col min="1023" max="1023" width="3.77734375" style="411" customWidth="1"/>
    <col min="1024" max="1024" width="35.77734375" style="411" customWidth="1"/>
    <col min="1025" max="1025" width="22.21875" style="411" customWidth="1"/>
    <col min="1026" max="1026" width="17.77734375" style="411" customWidth="1"/>
    <col min="1027" max="1027" width="19" style="411" customWidth="1"/>
    <col min="1028" max="1028" width="20.77734375" style="411" customWidth="1"/>
    <col min="1029" max="1029" width="16.77734375" style="411" customWidth="1"/>
    <col min="1030" max="1030" width="18.77734375" style="411" customWidth="1"/>
    <col min="1031" max="1038" width="18.5546875" style="411"/>
    <col min="1039" max="1039" width="4" style="411" customWidth="1"/>
    <col min="1040" max="1040" width="5.5546875" style="411" customWidth="1"/>
    <col min="1041" max="1041" width="30.21875" style="411" customWidth="1"/>
    <col min="1042" max="1042" width="4.5546875" style="411" bestFit="1" customWidth="1"/>
    <col min="1043" max="1043" width="41" style="411" customWidth="1"/>
    <col min="1044" max="1045" width="14.5546875" style="411" customWidth="1"/>
    <col min="1046" max="1046" width="16.5546875" style="411" customWidth="1"/>
    <col min="1047" max="1049" width="14.5546875" style="411" customWidth="1"/>
    <col min="1050" max="1051" width="12.5546875" style="411" customWidth="1"/>
    <col min="1052" max="1052" width="16.5546875" style="411" customWidth="1"/>
    <col min="1053" max="1054" width="20.5546875" style="411" customWidth="1"/>
    <col min="1055" max="1055" width="11" style="411" bestFit="1" customWidth="1"/>
    <col min="1056" max="1056" width="17.21875" style="411" customWidth="1"/>
    <col min="1057" max="1057" width="11" style="411" bestFit="1" customWidth="1"/>
    <col min="1058" max="1058" width="8.77734375" style="411" customWidth="1"/>
    <col min="1059" max="1062" width="10.21875" style="411" bestFit="1" customWidth="1"/>
    <col min="1063" max="1064" width="11.21875" style="411" bestFit="1" customWidth="1"/>
    <col min="1065" max="1275" width="8.77734375" style="411" customWidth="1"/>
    <col min="1276" max="1276" width="2.5546875" style="411" customWidth="1"/>
    <col min="1277" max="1277" width="5.5546875" style="411" customWidth="1"/>
    <col min="1278" max="1278" width="23.77734375" style="411" customWidth="1"/>
    <col min="1279" max="1279" width="3.77734375" style="411" customWidth="1"/>
    <col min="1280" max="1280" width="35.77734375" style="411" customWidth="1"/>
    <col min="1281" max="1281" width="22.21875" style="411" customWidth="1"/>
    <col min="1282" max="1282" width="17.77734375" style="411" customWidth="1"/>
    <col min="1283" max="1283" width="19" style="411" customWidth="1"/>
    <col min="1284" max="1284" width="20.77734375" style="411" customWidth="1"/>
    <col min="1285" max="1285" width="16.77734375" style="411" customWidth="1"/>
    <col min="1286" max="1286" width="18.77734375" style="411" customWidth="1"/>
    <col min="1287" max="1294" width="18.5546875" style="411"/>
    <col min="1295" max="1295" width="4" style="411" customWidth="1"/>
    <col min="1296" max="1296" width="5.5546875" style="411" customWidth="1"/>
    <col min="1297" max="1297" width="30.21875" style="411" customWidth="1"/>
    <col min="1298" max="1298" width="4.5546875" style="411" bestFit="1" customWidth="1"/>
    <col min="1299" max="1299" width="41" style="411" customWidth="1"/>
    <col min="1300" max="1301" width="14.5546875" style="411" customWidth="1"/>
    <col min="1302" max="1302" width="16.5546875" style="411" customWidth="1"/>
    <col min="1303" max="1305" width="14.5546875" style="411" customWidth="1"/>
    <col min="1306" max="1307" width="12.5546875" style="411" customWidth="1"/>
    <col min="1308" max="1308" width="16.5546875" style="411" customWidth="1"/>
    <col min="1309" max="1310" width="20.5546875" style="411" customWidth="1"/>
    <col min="1311" max="1311" width="11" style="411" bestFit="1" customWidth="1"/>
    <col min="1312" max="1312" width="17.21875" style="411" customWidth="1"/>
    <col min="1313" max="1313" width="11" style="411" bestFit="1" customWidth="1"/>
    <col min="1314" max="1314" width="8.77734375" style="411" customWidth="1"/>
    <col min="1315" max="1318" width="10.21875" style="411" bestFit="1" customWidth="1"/>
    <col min="1319" max="1320" width="11.21875" style="411" bestFit="1" customWidth="1"/>
    <col min="1321" max="1531" width="8.77734375" style="411" customWidth="1"/>
    <col min="1532" max="1532" width="2.5546875" style="411" customWidth="1"/>
    <col min="1533" max="1533" width="5.5546875" style="411" customWidth="1"/>
    <col min="1534" max="1534" width="23.77734375" style="411" customWidth="1"/>
    <col min="1535" max="1535" width="3.77734375" style="411" customWidth="1"/>
    <col min="1536" max="1536" width="35.77734375" style="411" customWidth="1"/>
    <col min="1537" max="1537" width="22.21875" style="411" customWidth="1"/>
    <col min="1538" max="1538" width="17.77734375" style="411" customWidth="1"/>
    <col min="1539" max="1539" width="19" style="411" customWidth="1"/>
    <col min="1540" max="1540" width="20.77734375" style="411" customWidth="1"/>
    <col min="1541" max="1541" width="16.77734375" style="411" customWidth="1"/>
    <col min="1542" max="1542" width="18.77734375" style="411" customWidth="1"/>
    <col min="1543" max="1550" width="18.5546875" style="411"/>
    <col min="1551" max="1551" width="4" style="411" customWidth="1"/>
    <col min="1552" max="1552" width="5.5546875" style="411" customWidth="1"/>
    <col min="1553" max="1553" width="30.21875" style="411" customWidth="1"/>
    <col min="1554" max="1554" width="4.5546875" style="411" bestFit="1" customWidth="1"/>
    <col min="1555" max="1555" width="41" style="411" customWidth="1"/>
    <col min="1556" max="1557" width="14.5546875" style="411" customWidth="1"/>
    <col min="1558" max="1558" width="16.5546875" style="411" customWidth="1"/>
    <col min="1559" max="1561" width="14.5546875" style="411" customWidth="1"/>
    <col min="1562" max="1563" width="12.5546875" style="411" customWidth="1"/>
    <col min="1564" max="1564" width="16.5546875" style="411" customWidth="1"/>
    <col min="1565" max="1566" width="20.5546875" style="411" customWidth="1"/>
    <col min="1567" max="1567" width="11" style="411" bestFit="1" customWidth="1"/>
    <col min="1568" max="1568" width="17.21875" style="411" customWidth="1"/>
    <col min="1569" max="1569" width="11" style="411" bestFit="1" customWidth="1"/>
    <col min="1570" max="1570" width="8.77734375" style="411" customWidth="1"/>
    <col min="1571" max="1574" width="10.21875" style="411" bestFit="1" customWidth="1"/>
    <col min="1575" max="1576" width="11.21875" style="411" bestFit="1" customWidth="1"/>
    <col min="1577" max="1787" width="8.77734375" style="411" customWidth="1"/>
    <col min="1788" max="1788" width="2.5546875" style="411" customWidth="1"/>
    <col min="1789" max="1789" width="5.5546875" style="411" customWidth="1"/>
    <col min="1790" max="1790" width="23.77734375" style="411" customWidth="1"/>
    <col min="1791" max="1791" width="3.77734375" style="411" customWidth="1"/>
    <col min="1792" max="1792" width="35.77734375" style="411" customWidth="1"/>
    <col min="1793" max="1793" width="22.21875" style="411" customWidth="1"/>
    <col min="1794" max="1794" width="17.77734375" style="411" customWidth="1"/>
    <col min="1795" max="1795" width="19" style="411" customWidth="1"/>
    <col min="1796" max="1796" width="20.77734375" style="411" customWidth="1"/>
    <col min="1797" max="1797" width="16.77734375" style="411" customWidth="1"/>
    <col min="1798" max="1798" width="18.77734375" style="411" customWidth="1"/>
    <col min="1799" max="1806" width="18.5546875" style="411"/>
    <col min="1807" max="1807" width="4" style="411" customWidth="1"/>
    <col min="1808" max="1808" width="5.5546875" style="411" customWidth="1"/>
    <col min="1809" max="1809" width="30.21875" style="411" customWidth="1"/>
    <col min="1810" max="1810" width="4.5546875" style="411" bestFit="1" customWidth="1"/>
    <col min="1811" max="1811" width="41" style="411" customWidth="1"/>
    <col min="1812" max="1813" width="14.5546875" style="411" customWidth="1"/>
    <col min="1814" max="1814" width="16.5546875" style="411" customWidth="1"/>
    <col min="1815" max="1817" width="14.5546875" style="411" customWidth="1"/>
    <col min="1818" max="1819" width="12.5546875" style="411" customWidth="1"/>
    <col min="1820" max="1820" width="16.5546875" style="411" customWidth="1"/>
    <col min="1821" max="1822" width="20.5546875" style="411" customWidth="1"/>
    <col min="1823" max="1823" width="11" style="411" bestFit="1" customWidth="1"/>
    <col min="1824" max="1824" width="17.21875" style="411" customWidth="1"/>
    <col min="1825" max="1825" width="11" style="411" bestFit="1" customWidth="1"/>
    <col min="1826" max="1826" width="8.77734375" style="411" customWidth="1"/>
    <col min="1827" max="1830" width="10.21875" style="411" bestFit="1" customWidth="1"/>
    <col min="1831" max="1832" width="11.21875" style="411" bestFit="1" customWidth="1"/>
    <col min="1833" max="2043" width="8.77734375" style="411" customWidth="1"/>
    <col min="2044" max="2044" width="2.5546875" style="411" customWidth="1"/>
    <col min="2045" max="2045" width="5.5546875" style="411" customWidth="1"/>
    <col min="2046" max="2046" width="23.77734375" style="411" customWidth="1"/>
    <col min="2047" max="2047" width="3.77734375" style="411" customWidth="1"/>
    <col min="2048" max="2048" width="35.77734375" style="411" customWidth="1"/>
    <col min="2049" max="2049" width="22.21875" style="411" customWidth="1"/>
    <col min="2050" max="2050" width="17.77734375" style="411" customWidth="1"/>
    <col min="2051" max="2051" width="19" style="411" customWidth="1"/>
    <col min="2052" max="2052" width="20.77734375" style="411" customWidth="1"/>
    <col min="2053" max="2053" width="16.77734375" style="411" customWidth="1"/>
    <col min="2054" max="2054" width="18.77734375" style="411" customWidth="1"/>
    <col min="2055" max="2062" width="18.5546875" style="411"/>
    <col min="2063" max="2063" width="4" style="411" customWidth="1"/>
    <col min="2064" max="2064" width="5.5546875" style="411" customWidth="1"/>
    <col min="2065" max="2065" width="30.21875" style="411" customWidth="1"/>
    <col min="2066" max="2066" width="4.5546875" style="411" bestFit="1" customWidth="1"/>
    <col min="2067" max="2067" width="41" style="411" customWidth="1"/>
    <col min="2068" max="2069" width="14.5546875" style="411" customWidth="1"/>
    <col min="2070" max="2070" width="16.5546875" style="411" customWidth="1"/>
    <col min="2071" max="2073" width="14.5546875" style="411" customWidth="1"/>
    <col min="2074" max="2075" width="12.5546875" style="411" customWidth="1"/>
    <col min="2076" max="2076" width="16.5546875" style="411" customWidth="1"/>
    <col min="2077" max="2078" width="20.5546875" style="411" customWidth="1"/>
    <col min="2079" max="2079" width="11" style="411" bestFit="1" customWidth="1"/>
    <col min="2080" max="2080" width="17.21875" style="411" customWidth="1"/>
    <col min="2081" max="2081" width="11" style="411" bestFit="1" customWidth="1"/>
    <col min="2082" max="2082" width="8.77734375" style="411" customWidth="1"/>
    <col min="2083" max="2086" width="10.21875" style="411" bestFit="1" customWidth="1"/>
    <col min="2087" max="2088" width="11.21875" style="411" bestFit="1" customWidth="1"/>
    <col min="2089" max="2299" width="8.77734375" style="411" customWidth="1"/>
    <col min="2300" max="2300" width="2.5546875" style="411" customWidth="1"/>
    <col min="2301" max="2301" width="5.5546875" style="411" customWidth="1"/>
    <col min="2302" max="2302" width="23.77734375" style="411" customWidth="1"/>
    <col min="2303" max="2303" width="3.77734375" style="411" customWidth="1"/>
    <col min="2304" max="2304" width="35.77734375" style="411" customWidth="1"/>
    <col min="2305" max="2305" width="22.21875" style="411" customWidth="1"/>
    <col min="2306" max="2306" width="17.77734375" style="411" customWidth="1"/>
    <col min="2307" max="2307" width="19" style="411" customWidth="1"/>
    <col min="2308" max="2308" width="20.77734375" style="411" customWidth="1"/>
    <col min="2309" max="2309" width="16.77734375" style="411" customWidth="1"/>
    <col min="2310" max="2310" width="18.77734375" style="411" customWidth="1"/>
    <col min="2311" max="2318" width="18.5546875" style="411"/>
    <col min="2319" max="2319" width="4" style="411" customWidth="1"/>
    <col min="2320" max="2320" width="5.5546875" style="411" customWidth="1"/>
    <col min="2321" max="2321" width="30.21875" style="411" customWidth="1"/>
    <col min="2322" max="2322" width="4.5546875" style="411" bestFit="1" customWidth="1"/>
    <col min="2323" max="2323" width="41" style="411" customWidth="1"/>
    <col min="2324" max="2325" width="14.5546875" style="411" customWidth="1"/>
    <col min="2326" max="2326" width="16.5546875" style="411" customWidth="1"/>
    <col min="2327" max="2329" width="14.5546875" style="411" customWidth="1"/>
    <col min="2330" max="2331" width="12.5546875" style="411" customWidth="1"/>
    <col min="2332" max="2332" width="16.5546875" style="411" customWidth="1"/>
    <col min="2333" max="2334" width="20.5546875" style="411" customWidth="1"/>
    <col min="2335" max="2335" width="11" style="411" bestFit="1" customWidth="1"/>
    <col min="2336" max="2336" width="17.21875" style="411" customWidth="1"/>
    <col min="2337" max="2337" width="11" style="411" bestFit="1" customWidth="1"/>
    <col min="2338" max="2338" width="8.77734375" style="411" customWidth="1"/>
    <col min="2339" max="2342" width="10.21875" style="411" bestFit="1" customWidth="1"/>
    <col min="2343" max="2344" width="11.21875" style="411" bestFit="1" customWidth="1"/>
    <col min="2345" max="2555" width="8.77734375" style="411" customWidth="1"/>
    <col min="2556" max="2556" width="2.5546875" style="411" customWidth="1"/>
    <col min="2557" max="2557" width="5.5546875" style="411" customWidth="1"/>
    <col min="2558" max="2558" width="23.77734375" style="411" customWidth="1"/>
    <col min="2559" max="2559" width="3.77734375" style="411" customWidth="1"/>
    <col min="2560" max="2560" width="35.77734375" style="411" customWidth="1"/>
    <col min="2561" max="2561" width="22.21875" style="411" customWidth="1"/>
    <col min="2562" max="2562" width="17.77734375" style="411" customWidth="1"/>
    <col min="2563" max="2563" width="19" style="411" customWidth="1"/>
    <col min="2564" max="2564" width="20.77734375" style="411" customWidth="1"/>
    <col min="2565" max="2565" width="16.77734375" style="411" customWidth="1"/>
    <col min="2566" max="2566" width="18.77734375" style="411" customWidth="1"/>
    <col min="2567" max="2574" width="18.5546875" style="411"/>
    <col min="2575" max="2575" width="4" style="411" customWidth="1"/>
    <col min="2576" max="2576" width="5.5546875" style="411" customWidth="1"/>
    <col min="2577" max="2577" width="30.21875" style="411" customWidth="1"/>
    <col min="2578" max="2578" width="4.5546875" style="411" bestFit="1" customWidth="1"/>
    <col min="2579" max="2579" width="41" style="411" customWidth="1"/>
    <col min="2580" max="2581" width="14.5546875" style="411" customWidth="1"/>
    <col min="2582" max="2582" width="16.5546875" style="411" customWidth="1"/>
    <col min="2583" max="2585" width="14.5546875" style="411" customWidth="1"/>
    <col min="2586" max="2587" width="12.5546875" style="411" customWidth="1"/>
    <col min="2588" max="2588" width="16.5546875" style="411" customWidth="1"/>
    <col min="2589" max="2590" width="20.5546875" style="411" customWidth="1"/>
    <col min="2591" max="2591" width="11" style="411" bestFit="1" customWidth="1"/>
    <col min="2592" max="2592" width="17.21875" style="411" customWidth="1"/>
    <col min="2593" max="2593" width="11" style="411" bestFit="1" customWidth="1"/>
    <col min="2594" max="2594" width="8.77734375" style="411" customWidth="1"/>
    <col min="2595" max="2598" width="10.21875" style="411" bestFit="1" customWidth="1"/>
    <col min="2599" max="2600" width="11.21875" style="411" bestFit="1" customWidth="1"/>
    <col min="2601" max="2811" width="8.77734375" style="411" customWidth="1"/>
    <col min="2812" max="2812" width="2.5546875" style="411" customWidth="1"/>
    <col min="2813" max="2813" width="5.5546875" style="411" customWidth="1"/>
    <col min="2814" max="2814" width="23.77734375" style="411" customWidth="1"/>
    <col min="2815" max="2815" width="3.77734375" style="411" customWidth="1"/>
    <col min="2816" max="2816" width="35.77734375" style="411" customWidth="1"/>
    <col min="2817" max="2817" width="22.21875" style="411" customWidth="1"/>
    <col min="2818" max="2818" width="17.77734375" style="411" customWidth="1"/>
    <col min="2819" max="2819" width="19" style="411" customWidth="1"/>
    <col min="2820" max="2820" width="20.77734375" style="411" customWidth="1"/>
    <col min="2821" max="2821" width="16.77734375" style="411" customWidth="1"/>
    <col min="2822" max="2822" width="18.77734375" style="411" customWidth="1"/>
    <col min="2823" max="2830" width="18.5546875" style="411"/>
    <col min="2831" max="2831" width="4" style="411" customWidth="1"/>
    <col min="2832" max="2832" width="5.5546875" style="411" customWidth="1"/>
    <col min="2833" max="2833" width="30.21875" style="411" customWidth="1"/>
    <col min="2834" max="2834" width="4.5546875" style="411" bestFit="1" customWidth="1"/>
    <col min="2835" max="2835" width="41" style="411" customWidth="1"/>
    <col min="2836" max="2837" width="14.5546875" style="411" customWidth="1"/>
    <col min="2838" max="2838" width="16.5546875" style="411" customWidth="1"/>
    <col min="2839" max="2841" width="14.5546875" style="411" customWidth="1"/>
    <col min="2842" max="2843" width="12.5546875" style="411" customWidth="1"/>
    <col min="2844" max="2844" width="16.5546875" style="411" customWidth="1"/>
    <col min="2845" max="2846" width="20.5546875" style="411" customWidth="1"/>
    <col min="2847" max="2847" width="11" style="411" bestFit="1" customWidth="1"/>
    <col min="2848" max="2848" width="17.21875" style="411" customWidth="1"/>
    <col min="2849" max="2849" width="11" style="411" bestFit="1" customWidth="1"/>
    <col min="2850" max="2850" width="8.77734375" style="411" customWidth="1"/>
    <col min="2851" max="2854" width="10.21875" style="411" bestFit="1" customWidth="1"/>
    <col min="2855" max="2856" width="11.21875" style="411" bestFit="1" customWidth="1"/>
    <col min="2857" max="3067" width="8.77734375" style="411" customWidth="1"/>
    <col min="3068" max="3068" width="2.5546875" style="411" customWidth="1"/>
    <col min="3069" max="3069" width="5.5546875" style="411" customWidth="1"/>
    <col min="3070" max="3070" width="23.77734375" style="411" customWidth="1"/>
    <col min="3071" max="3071" width="3.77734375" style="411" customWidth="1"/>
    <col min="3072" max="3072" width="35.77734375" style="411" customWidth="1"/>
    <col min="3073" max="3073" width="22.21875" style="411" customWidth="1"/>
    <col min="3074" max="3074" width="17.77734375" style="411" customWidth="1"/>
    <col min="3075" max="3075" width="19" style="411" customWidth="1"/>
    <col min="3076" max="3076" width="20.77734375" style="411" customWidth="1"/>
    <col min="3077" max="3077" width="16.77734375" style="411" customWidth="1"/>
    <col min="3078" max="3078" width="18.77734375" style="411" customWidth="1"/>
    <col min="3079" max="3086" width="18.5546875" style="411"/>
    <col min="3087" max="3087" width="4" style="411" customWidth="1"/>
    <col min="3088" max="3088" width="5.5546875" style="411" customWidth="1"/>
    <col min="3089" max="3089" width="30.21875" style="411" customWidth="1"/>
    <col min="3090" max="3090" width="4.5546875" style="411" bestFit="1" customWidth="1"/>
    <col min="3091" max="3091" width="41" style="411" customWidth="1"/>
    <col min="3092" max="3093" width="14.5546875" style="411" customWidth="1"/>
    <col min="3094" max="3094" width="16.5546875" style="411" customWidth="1"/>
    <col min="3095" max="3097" width="14.5546875" style="411" customWidth="1"/>
    <col min="3098" max="3099" width="12.5546875" style="411" customWidth="1"/>
    <col min="3100" max="3100" width="16.5546875" style="411" customWidth="1"/>
    <col min="3101" max="3102" width="20.5546875" style="411" customWidth="1"/>
    <col min="3103" max="3103" width="11" style="411" bestFit="1" customWidth="1"/>
    <col min="3104" max="3104" width="17.21875" style="411" customWidth="1"/>
    <col min="3105" max="3105" width="11" style="411" bestFit="1" customWidth="1"/>
    <col min="3106" max="3106" width="8.77734375" style="411" customWidth="1"/>
    <col min="3107" max="3110" width="10.21875" style="411" bestFit="1" customWidth="1"/>
    <col min="3111" max="3112" width="11.21875" style="411" bestFit="1" customWidth="1"/>
    <col min="3113" max="3323" width="8.77734375" style="411" customWidth="1"/>
    <col min="3324" max="3324" width="2.5546875" style="411" customWidth="1"/>
    <col min="3325" max="3325" width="5.5546875" style="411" customWidth="1"/>
    <col min="3326" max="3326" width="23.77734375" style="411" customWidth="1"/>
    <col min="3327" max="3327" width="3.77734375" style="411" customWidth="1"/>
    <col min="3328" max="3328" width="35.77734375" style="411" customWidth="1"/>
    <col min="3329" max="3329" width="22.21875" style="411" customWidth="1"/>
    <col min="3330" max="3330" width="17.77734375" style="411" customWidth="1"/>
    <col min="3331" max="3331" width="19" style="411" customWidth="1"/>
    <col min="3332" max="3332" width="20.77734375" style="411" customWidth="1"/>
    <col min="3333" max="3333" width="16.77734375" style="411" customWidth="1"/>
    <col min="3334" max="3334" width="18.77734375" style="411" customWidth="1"/>
    <col min="3335" max="3342" width="18.5546875" style="411"/>
    <col min="3343" max="3343" width="4" style="411" customWidth="1"/>
    <col min="3344" max="3344" width="5.5546875" style="411" customWidth="1"/>
    <col min="3345" max="3345" width="30.21875" style="411" customWidth="1"/>
    <col min="3346" max="3346" width="4.5546875" style="411" bestFit="1" customWidth="1"/>
    <col min="3347" max="3347" width="41" style="411" customWidth="1"/>
    <col min="3348" max="3349" width="14.5546875" style="411" customWidth="1"/>
    <col min="3350" max="3350" width="16.5546875" style="411" customWidth="1"/>
    <col min="3351" max="3353" width="14.5546875" style="411" customWidth="1"/>
    <col min="3354" max="3355" width="12.5546875" style="411" customWidth="1"/>
    <col min="3356" max="3356" width="16.5546875" style="411" customWidth="1"/>
    <col min="3357" max="3358" width="20.5546875" style="411" customWidth="1"/>
    <col min="3359" max="3359" width="11" style="411" bestFit="1" customWidth="1"/>
    <col min="3360" max="3360" width="17.21875" style="411" customWidth="1"/>
    <col min="3361" max="3361" width="11" style="411" bestFit="1" customWidth="1"/>
    <col min="3362" max="3362" width="8.77734375" style="411" customWidth="1"/>
    <col min="3363" max="3366" width="10.21875" style="411" bestFit="1" customWidth="1"/>
    <col min="3367" max="3368" width="11.21875" style="411" bestFit="1" customWidth="1"/>
    <col min="3369" max="3579" width="8.77734375" style="411" customWidth="1"/>
    <col min="3580" max="3580" width="2.5546875" style="411" customWidth="1"/>
    <col min="3581" max="3581" width="5.5546875" style="411" customWidth="1"/>
    <col min="3582" max="3582" width="23.77734375" style="411" customWidth="1"/>
    <col min="3583" max="3583" width="3.77734375" style="411" customWidth="1"/>
    <col min="3584" max="3584" width="35.77734375" style="411" customWidth="1"/>
    <col min="3585" max="3585" width="22.21875" style="411" customWidth="1"/>
    <col min="3586" max="3586" width="17.77734375" style="411" customWidth="1"/>
    <col min="3587" max="3587" width="19" style="411" customWidth="1"/>
    <col min="3588" max="3588" width="20.77734375" style="411" customWidth="1"/>
    <col min="3589" max="3589" width="16.77734375" style="411" customWidth="1"/>
    <col min="3590" max="3590" width="18.77734375" style="411" customWidth="1"/>
    <col min="3591" max="3598" width="18.5546875" style="411"/>
    <col min="3599" max="3599" width="4" style="411" customWidth="1"/>
    <col min="3600" max="3600" width="5.5546875" style="411" customWidth="1"/>
    <col min="3601" max="3601" width="30.21875" style="411" customWidth="1"/>
    <col min="3602" max="3602" width="4.5546875" style="411" bestFit="1" customWidth="1"/>
    <col min="3603" max="3603" width="41" style="411" customWidth="1"/>
    <col min="3604" max="3605" width="14.5546875" style="411" customWidth="1"/>
    <col min="3606" max="3606" width="16.5546875" style="411" customWidth="1"/>
    <col min="3607" max="3609" width="14.5546875" style="411" customWidth="1"/>
    <col min="3610" max="3611" width="12.5546875" style="411" customWidth="1"/>
    <col min="3612" max="3612" width="16.5546875" style="411" customWidth="1"/>
    <col min="3613" max="3614" width="20.5546875" style="411" customWidth="1"/>
    <col min="3615" max="3615" width="11" style="411" bestFit="1" customWidth="1"/>
    <col min="3616" max="3616" width="17.21875" style="411" customWidth="1"/>
    <col min="3617" max="3617" width="11" style="411" bestFit="1" customWidth="1"/>
    <col min="3618" max="3618" width="8.77734375" style="411" customWidth="1"/>
    <col min="3619" max="3622" width="10.21875" style="411" bestFit="1" customWidth="1"/>
    <col min="3623" max="3624" width="11.21875" style="411" bestFit="1" customWidth="1"/>
    <col min="3625" max="3835" width="8.77734375" style="411" customWidth="1"/>
    <col min="3836" max="3836" width="2.5546875" style="411" customWidth="1"/>
    <col min="3837" max="3837" width="5.5546875" style="411" customWidth="1"/>
    <col min="3838" max="3838" width="23.77734375" style="411" customWidth="1"/>
    <col min="3839" max="3839" width="3.77734375" style="411" customWidth="1"/>
    <col min="3840" max="3840" width="35.77734375" style="411" customWidth="1"/>
    <col min="3841" max="3841" width="22.21875" style="411" customWidth="1"/>
    <col min="3842" max="3842" width="17.77734375" style="411" customWidth="1"/>
    <col min="3843" max="3843" width="19" style="411" customWidth="1"/>
    <col min="3844" max="3844" width="20.77734375" style="411" customWidth="1"/>
    <col min="3845" max="3845" width="16.77734375" style="411" customWidth="1"/>
    <col min="3846" max="3846" width="18.77734375" style="411" customWidth="1"/>
    <col min="3847" max="3854" width="18.5546875" style="411"/>
    <col min="3855" max="3855" width="4" style="411" customWidth="1"/>
    <col min="3856" max="3856" width="5.5546875" style="411" customWidth="1"/>
    <col min="3857" max="3857" width="30.21875" style="411" customWidth="1"/>
    <col min="3858" max="3858" width="4.5546875" style="411" bestFit="1" customWidth="1"/>
    <col min="3859" max="3859" width="41" style="411" customWidth="1"/>
    <col min="3860" max="3861" width="14.5546875" style="411" customWidth="1"/>
    <col min="3862" max="3862" width="16.5546875" style="411" customWidth="1"/>
    <col min="3863" max="3865" width="14.5546875" style="411" customWidth="1"/>
    <col min="3866" max="3867" width="12.5546875" style="411" customWidth="1"/>
    <col min="3868" max="3868" width="16.5546875" style="411" customWidth="1"/>
    <col min="3869" max="3870" width="20.5546875" style="411" customWidth="1"/>
    <col min="3871" max="3871" width="11" style="411" bestFit="1" customWidth="1"/>
    <col min="3872" max="3872" width="17.21875" style="411" customWidth="1"/>
    <col min="3873" max="3873" width="11" style="411" bestFit="1" customWidth="1"/>
    <col min="3874" max="3874" width="8.77734375" style="411" customWidth="1"/>
    <col min="3875" max="3878" width="10.21875" style="411" bestFit="1" customWidth="1"/>
    <col min="3879" max="3880" width="11.21875" style="411" bestFit="1" customWidth="1"/>
    <col min="3881" max="4091" width="8.77734375" style="411" customWidth="1"/>
    <col min="4092" max="4092" width="2.5546875" style="411" customWidth="1"/>
    <col min="4093" max="4093" width="5.5546875" style="411" customWidth="1"/>
    <col min="4094" max="4094" width="23.77734375" style="411" customWidth="1"/>
    <col min="4095" max="4095" width="3.77734375" style="411" customWidth="1"/>
    <col min="4096" max="4096" width="35.77734375" style="411" customWidth="1"/>
    <col min="4097" max="4097" width="22.21875" style="411" customWidth="1"/>
    <col min="4098" max="4098" width="17.77734375" style="411" customWidth="1"/>
    <col min="4099" max="4099" width="19" style="411" customWidth="1"/>
    <col min="4100" max="4100" width="20.77734375" style="411" customWidth="1"/>
    <col min="4101" max="4101" width="16.77734375" style="411" customWidth="1"/>
    <col min="4102" max="4102" width="18.77734375" style="411" customWidth="1"/>
    <col min="4103" max="4110" width="18.5546875" style="411"/>
    <col min="4111" max="4111" width="4" style="411" customWidth="1"/>
    <col min="4112" max="4112" width="5.5546875" style="411" customWidth="1"/>
    <col min="4113" max="4113" width="30.21875" style="411" customWidth="1"/>
    <col min="4114" max="4114" width="4.5546875" style="411" bestFit="1" customWidth="1"/>
    <col min="4115" max="4115" width="41" style="411" customWidth="1"/>
    <col min="4116" max="4117" width="14.5546875" style="411" customWidth="1"/>
    <col min="4118" max="4118" width="16.5546875" style="411" customWidth="1"/>
    <col min="4119" max="4121" width="14.5546875" style="411" customWidth="1"/>
    <col min="4122" max="4123" width="12.5546875" style="411" customWidth="1"/>
    <col min="4124" max="4124" width="16.5546875" style="411" customWidth="1"/>
    <col min="4125" max="4126" width="20.5546875" style="411" customWidth="1"/>
    <col min="4127" max="4127" width="11" style="411" bestFit="1" customWidth="1"/>
    <col min="4128" max="4128" width="17.21875" style="411" customWidth="1"/>
    <col min="4129" max="4129" width="11" style="411" bestFit="1" customWidth="1"/>
    <col min="4130" max="4130" width="8.77734375" style="411" customWidth="1"/>
    <col min="4131" max="4134" width="10.21875" style="411" bestFit="1" customWidth="1"/>
    <col min="4135" max="4136" width="11.21875" style="411" bestFit="1" customWidth="1"/>
    <col min="4137" max="4347" width="8.77734375" style="411" customWidth="1"/>
    <col min="4348" max="4348" width="2.5546875" style="411" customWidth="1"/>
    <col min="4349" max="4349" width="5.5546875" style="411" customWidth="1"/>
    <col min="4350" max="4350" width="23.77734375" style="411" customWidth="1"/>
    <col min="4351" max="4351" width="3.77734375" style="411" customWidth="1"/>
    <col min="4352" max="4352" width="35.77734375" style="411" customWidth="1"/>
    <col min="4353" max="4353" width="22.21875" style="411" customWidth="1"/>
    <col min="4354" max="4354" width="17.77734375" style="411" customWidth="1"/>
    <col min="4355" max="4355" width="19" style="411" customWidth="1"/>
    <col min="4356" max="4356" width="20.77734375" style="411" customWidth="1"/>
    <col min="4357" max="4357" width="16.77734375" style="411" customWidth="1"/>
    <col min="4358" max="4358" width="18.77734375" style="411" customWidth="1"/>
    <col min="4359" max="4366" width="18.5546875" style="411"/>
    <col min="4367" max="4367" width="4" style="411" customWidth="1"/>
    <col min="4368" max="4368" width="5.5546875" style="411" customWidth="1"/>
    <col min="4369" max="4369" width="30.21875" style="411" customWidth="1"/>
    <col min="4370" max="4370" width="4.5546875" style="411" bestFit="1" customWidth="1"/>
    <col min="4371" max="4371" width="41" style="411" customWidth="1"/>
    <col min="4372" max="4373" width="14.5546875" style="411" customWidth="1"/>
    <col min="4374" max="4374" width="16.5546875" style="411" customWidth="1"/>
    <col min="4375" max="4377" width="14.5546875" style="411" customWidth="1"/>
    <col min="4378" max="4379" width="12.5546875" style="411" customWidth="1"/>
    <col min="4380" max="4380" width="16.5546875" style="411" customWidth="1"/>
    <col min="4381" max="4382" width="20.5546875" style="411" customWidth="1"/>
    <col min="4383" max="4383" width="11" style="411" bestFit="1" customWidth="1"/>
    <col min="4384" max="4384" width="17.21875" style="411" customWidth="1"/>
    <col min="4385" max="4385" width="11" style="411" bestFit="1" customWidth="1"/>
    <col min="4386" max="4386" width="8.77734375" style="411" customWidth="1"/>
    <col min="4387" max="4390" width="10.21875" style="411" bestFit="1" customWidth="1"/>
    <col min="4391" max="4392" width="11.21875" style="411" bestFit="1" customWidth="1"/>
    <col min="4393" max="4603" width="8.77734375" style="411" customWidth="1"/>
    <col min="4604" max="4604" width="2.5546875" style="411" customWidth="1"/>
    <col min="4605" max="4605" width="5.5546875" style="411" customWidth="1"/>
    <col min="4606" max="4606" width="23.77734375" style="411" customWidth="1"/>
    <col min="4607" max="4607" width="3.77734375" style="411" customWidth="1"/>
    <col min="4608" max="4608" width="35.77734375" style="411" customWidth="1"/>
    <col min="4609" max="4609" width="22.21875" style="411" customWidth="1"/>
    <col min="4610" max="4610" width="17.77734375" style="411" customWidth="1"/>
    <col min="4611" max="4611" width="19" style="411" customWidth="1"/>
    <col min="4612" max="4612" width="20.77734375" style="411" customWidth="1"/>
    <col min="4613" max="4613" width="16.77734375" style="411" customWidth="1"/>
    <col min="4614" max="4614" width="18.77734375" style="411" customWidth="1"/>
    <col min="4615" max="4622" width="18.5546875" style="411"/>
    <col min="4623" max="4623" width="4" style="411" customWidth="1"/>
    <col min="4624" max="4624" width="5.5546875" style="411" customWidth="1"/>
    <col min="4625" max="4625" width="30.21875" style="411" customWidth="1"/>
    <col min="4626" max="4626" width="4.5546875" style="411" bestFit="1" customWidth="1"/>
    <col min="4627" max="4627" width="41" style="411" customWidth="1"/>
    <col min="4628" max="4629" width="14.5546875" style="411" customWidth="1"/>
    <col min="4630" max="4630" width="16.5546875" style="411" customWidth="1"/>
    <col min="4631" max="4633" width="14.5546875" style="411" customWidth="1"/>
    <col min="4634" max="4635" width="12.5546875" style="411" customWidth="1"/>
    <col min="4636" max="4636" width="16.5546875" style="411" customWidth="1"/>
    <col min="4637" max="4638" width="20.5546875" style="411" customWidth="1"/>
    <col min="4639" max="4639" width="11" style="411" bestFit="1" customWidth="1"/>
    <col min="4640" max="4640" width="17.21875" style="411" customWidth="1"/>
    <col min="4641" max="4641" width="11" style="411" bestFit="1" customWidth="1"/>
    <col min="4642" max="4642" width="8.77734375" style="411" customWidth="1"/>
    <col min="4643" max="4646" width="10.21875" style="411" bestFit="1" customWidth="1"/>
    <col min="4647" max="4648" width="11.21875" style="411" bestFit="1" customWidth="1"/>
    <col min="4649" max="4859" width="8.77734375" style="411" customWidth="1"/>
    <col min="4860" max="4860" width="2.5546875" style="411" customWidth="1"/>
    <col min="4861" max="4861" width="5.5546875" style="411" customWidth="1"/>
    <col min="4862" max="4862" width="23.77734375" style="411" customWidth="1"/>
    <col min="4863" max="4863" width="3.77734375" style="411" customWidth="1"/>
    <col min="4864" max="4864" width="35.77734375" style="411" customWidth="1"/>
    <col min="4865" max="4865" width="22.21875" style="411" customWidth="1"/>
    <col min="4866" max="4866" width="17.77734375" style="411" customWidth="1"/>
    <col min="4867" max="4867" width="19" style="411" customWidth="1"/>
    <col min="4868" max="4868" width="20.77734375" style="411" customWidth="1"/>
    <col min="4869" max="4869" width="16.77734375" style="411" customWidth="1"/>
    <col min="4870" max="4870" width="18.77734375" style="411" customWidth="1"/>
    <col min="4871" max="4878" width="18.5546875" style="411"/>
    <col min="4879" max="4879" width="4" style="411" customWidth="1"/>
    <col min="4880" max="4880" width="5.5546875" style="411" customWidth="1"/>
    <col min="4881" max="4881" width="30.21875" style="411" customWidth="1"/>
    <col min="4882" max="4882" width="4.5546875" style="411" bestFit="1" customWidth="1"/>
    <col min="4883" max="4883" width="41" style="411" customWidth="1"/>
    <col min="4884" max="4885" width="14.5546875" style="411" customWidth="1"/>
    <col min="4886" max="4886" width="16.5546875" style="411" customWidth="1"/>
    <col min="4887" max="4889" width="14.5546875" style="411" customWidth="1"/>
    <col min="4890" max="4891" width="12.5546875" style="411" customWidth="1"/>
    <col min="4892" max="4892" width="16.5546875" style="411" customWidth="1"/>
    <col min="4893" max="4894" width="20.5546875" style="411" customWidth="1"/>
    <col min="4895" max="4895" width="11" style="411" bestFit="1" customWidth="1"/>
    <col min="4896" max="4896" width="17.21875" style="411" customWidth="1"/>
    <col min="4897" max="4897" width="11" style="411" bestFit="1" customWidth="1"/>
    <col min="4898" max="4898" width="8.77734375" style="411" customWidth="1"/>
    <col min="4899" max="4902" width="10.21875" style="411" bestFit="1" customWidth="1"/>
    <col min="4903" max="4904" width="11.21875" style="411" bestFit="1" customWidth="1"/>
    <col min="4905" max="5115" width="8.77734375" style="411" customWidth="1"/>
    <col min="5116" max="5116" width="2.5546875" style="411" customWidth="1"/>
    <col min="5117" max="5117" width="5.5546875" style="411" customWidth="1"/>
    <col min="5118" max="5118" width="23.77734375" style="411" customWidth="1"/>
    <col min="5119" max="5119" width="3.77734375" style="411" customWidth="1"/>
    <col min="5120" max="5120" width="35.77734375" style="411" customWidth="1"/>
    <col min="5121" max="5121" width="22.21875" style="411" customWidth="1"/>
    <col min="5122" max="5122" width="17.77734375" style="411" customWidth="1"/>
    <col min="5123" max="5123" width="19" style="411" customWidth="1"/>
    <col min="5124" max="5124" width="20.77734375" style="411" customWidth="1"/>
    <col min="5125" max="5125" width="16.77734375" style="411" customWidth="1"/>
    <col min="5126" max="5126" width="18.77734375" style="411" customWidth="1"/>
    <col min="5127" max="5134" width="18.5546875" style="411"/>
    <col min="5135" max="5135" width="4" style="411" customWidth="1"/>
    <col min="5136" max="5136" width="5.5546875" style="411" customWidth="1"/>
    <col min="5137" max="5137" width="30.21875" style="411" customWidth="1"/>
    <col min="5138" max="5138" width="4.5546875" style="411" bestFit="1" customWidth="1"/>
    <col min="5139" max="5139" width="41" style="411" customWidth="1"/>
    <col min="5140" max="5141" width="14.5546875" style="411" customWidth="1"/>
    <col min="5142" max="5142" width="16.5546875" style="411" customWidth="1"/>
    <col min="5143" max="5145" width="14.5546875" style="411" customWidth="1"/>
    <col min="5146" max="5147" width="12.5546875" style="411" customWidth="1"/>
    <col min="5148" max="5148" width="16.5546875" style="411" customWidth="1"/>
    <col min="5149" max="5150" width="20.5546875" style="411" customWidth="1"/>
    <col min="5151" max="5151" width="11" style="411" bestFit="1" customWidth="1"/>
    <col min="5152" max="5152" width="17.21875" style="411" customWidth="1"/>
    <col min="5153" max="5153" width="11" style="411" bestFit="1" customWidth="1"/>
    <col min="5154" max="5154" width="8.77734375" style="411" customWidth="1"/>
    <col min="5155" max="5158" width="10.21875" style="411" bestFit="1" customWidth="1"/>
    <col min="5159" max="5160" width="11.21875" style="411" bestFit="1" customWidth="1"/>
    <col min="5161" max="5371" width="8.77734375" style="411" customWidth="1"/>
    <col min="5372" max="5372" width="2.5546875" style="411" customWidth="1"/>
    <col min="5373" max="5373" width="5.5546875" style="411" customWidth="1"/>
    <col min="5374" max="5374" width="23.77734375" style="411" customWidth="1"/>
    <col min="5375" max="5375" width="3.77734375" style="411" customWidth="1"/>
    <col min="5376" max="5376" width="35.77734375" style="411" customWidth="1"/>
    <col min="5377" max="5377" width="22.21875" style="411" customWidth="1"/>
    <col min="5378" max="5378" width="17.77734375" style="411" customWidth="1"/>
    <col min="5379" max="5379" width="19" style="411" customWidth="1"/>
    <col min="5380" max="5380" width="20.77734375" style="411" customWidth="1"/>
    <col min="5381" max="5381" width="16.77734375" style="411" customWidth="1"/>
    <col min="5382" max="5382" width="18.77734375" style="411" customWidth="1"/>
    <col min="5383" max="5390" width="18.5546875" style="411"/>
    <col min="5391" max="5391" width="4" style="411" customWidth="1"/>
    <col min="5392" max="5392" width="5.5546875" style="411" customWidth="1"/>
    <col min="5393" max="5393" width="30.21875" style="411" customWidth="1"/>
    <col min="5394" max="5394" width="4.5546875" style="411" bestFit="1" customWidth="1"/>
    <col min="5395" max="5395" width="41" style="411" customWidth="1"/>
    <col min="5396" max="5397" width="14.5546875" style="411" customWidth="1"/>
    <col min="5398" max="5398" width="16.5546875" style="411" customWidth="1"/>
    <col min="5399" max="5401" width="14.5546875" style="411" customWidth="1"/>
    <col min="5402" max="5403" width="12.5546875" style="411" customWidth="1"/>
    <col min="5404" max="5404" width="16.5546875" style="411" customWidth="1"/>
    <col min="5405" max="5406" width="20.5546875" style="411" customWidth="1"/>
    <col min="5407" max="5407" width="11" style="411" bestFit="1" customWidth="1"/>
    <col min="5408" max="5408" width="17.21875" style="411" customWidth="1"/>
    <col min="5409" max="5409" width="11" style="411" bestFit="1" customWidth="1"/>
    <col min="5410" max="5410" width="8.77734375" style="411" customWidth="1"/>
    <col min="5411" max="5414" width="10.21875" style="411" bestFit="1" customWidth="1"/>
    <col min="5415" max="5416" width="11.21875" style="411" bestFit="1" customWidth="1"/>
    <col min="5417" max="5627" width="8.77734375" style="411" customWidth="1"/>
    <col min="5628" max="5628" width="2.5546875" style="411" customWidth="1"/>
    <col min="5629" max="5629" width="5.5546875" style="411" customWidth="1"/>
    <col min="5630" max="5630" width="23.77734375" style="411" customWidth="1"/>
    <col min="5631" max="5631" width="3.77734375" style="411" customWidth="1"/>
    <col min="5632" max="5632" width="35.77734375" style="411" customWidth="1"/>
    <col min="5633" max="5633" width="22.21875" style="411" customWidth="1"/>
    <col min="5634" max="5634" width="17.77734375" style="411" customWidth="1"/>
    <col min="5635" max="5635" width="19" style="411" customWidth="1"/>
    <col min="5636" max="5636" width="20.77734375" style="411" customWidth="1"/>
    <col min="5637" max="5637" width="16.77734375" style="411" customWidth="1"/>
    <col min="5638" max="5638" width="18.77734375" style="411" customWidth="1"/>
    <col min="5639" max="5646" width="18.5546875" style="411"/>
    <col min="5647" max="5647" width="4" style="411" customWidth="1"/>
    <col min="5648" max="5648" width="5.5546875" style="411" customWidth="1"/>
    <col min="5649" max="5649" width="30.21875" style="411" customWidth="1"/>
    <col min="5650" max="5650" width="4.5546875" style="411" bestFit="1" customWidth="1"/>
    <col min="5651" max="5651" width="41" style="411" customWidth="1"/>
    <col min="5652" max="5653" width="14.5546875" style="411" customWidth="1"/>
    <col min="5654" max="5654" width="16.5546875" style="411" customWidth="1"/>
    <col min="5655" max="5657" width="14.5546875" style="411" customWidth="1"/>
    <col min="5658" max="5659" width="12.5546875" style="411" customWidth="1"/>
    <col min="5660" max="5660" width="16.5546875" style="411" customWidth="1"/>
    <col min="5661" max="5662" width="20.5546875" style="411" customWidth="1"/>
    <col min="5663" max="5663" width="11" style="411" bestFit="1" customWidth="1"/>
    <col min="5664" max="5664" width="17.21875" style="411" customWidth="1"/>
    <col min="5665" max="5665" width="11" style="411" bestFit="1" customWidth="1"/>
    <col min="5666" max="5666" width="8.77734375" style="411" customWidth="1"/>
    <col min="5667" max="5670" width="10.21875" style="411" bestFit="1" customWidth="1"/>
    <col min="5671" max="5672" width="11.21875" style="411" bestFit="1" customWidth="1"/>
    <col min="5673" max="5883" width="8.77734375" style="411" customWidth="1"/>
    <col min="5884" max="5884" width="2.5546875" style="411" customWidth="1"/>
    <col min="5885" max="5885" width="5.5546875" style="411" customWidth="1"/>
    <col min="5886" max="5886" width="23.77734375" style="411" customWidth="1"/>
    <col min="5887" max="5887" width="3.77734375" style="411" customWidth="1"/>
    <col min="5888" max="5888" width="35.77734375" style="411" customWidth="1"/>
    <col min="5889" max="5889" width="22.21875" style="411" customWidth="1"/>
    <col min="5890" max="5890" width="17.77734375" style="411" customWidth="1"/>
    <col min="5891" max="5891" width="19" style="411" customWidth="1"/>
    <col min="5892" max="5892" width="20.77734375" style="411" customWidth="1"/>
    <col min="5893" max="5893" width="16.77734375" style="411" customWidth="1"/>
    <col min="5894" max="5894" width="18.77734375" style="411" customWidth="1"/>
    <col min="5895" max="5902" width="18.5546875" style="411"/>
    <col min="5903" max="5903" width="4" style="411" customWidth="1"/>
    <col min="5904" max="5904" width="5.5546875" style="411" customWidth="1"/>
    <col min="5905" max="5905" width="30.21875" style="411" customWidth="1"/>
    <col min="5906" max="5906" width="4.5546875" style="411" bestFit="1" customWidth="1"/>
    <col min="5907" max="5907" width="41" style="411" customWidth="1"/>
    <col min="5908" max="5909" width="14.5546875" style="411" customWidth="1"/>
    <col min="5910" max="5910" width="16.5546875" style="411" customWidth="1"/>
    <col min="5911" max="5913" width="14.5546875" style="411" customWidth="1"/>
    <col min="5914" max="5915" width="12.5546875" style="411" customWidth="1"/>
    <col min="5916" max="5916" width="16.5546875" style="411" customWidth="1"/>
    <col min="5917" max="5918" width="20.5546875" style="411" customWidth="1"/>
    <col min="5919" max="5919" width="11" style="411" bestFit="1" customWidth="1"/>
    <col min="5920" max="5920" width="17.21875" style="411" customWidth="1"/>
    <col min="5921" max="5921" width="11" style="411" bestFit="1" customWidth="1"/>
    <col min="5922" max="5922" width="8.77734375" style="411" customWidth="1"/>
    <col min="5923" max="5926" width="10.21875" style="411" bestFit="1" customWidth="1"/>
    <col min="5927" max="5928" width="11.21875" style="411" bestFit="1" customWidth="1"/>
    <col min="5929" max="6139" width="8.77734375" style="411" customWidth="1"/>
    <col min="6140" max="6140" width="2.5546875" style="411" customWidth="1"/>
    <col min="6141" max="6141" width="5.5546875" style="411" customWidth="1"/>
    <col min="6142" max="6142" width="23.77734375" style="411" customWidth="1"/>
    <col min="6143" max="6143" width="3.77734375" style="411" customWidth="1"/>
    <col min="6144" max="6144" width="35.77734375" style="411" customWidth="1"/>
    <col min="6145" max="6145" width="22.21875" style="411" customWidth="1"/>
    <col min="6146" max="6146" width="17.77734375" style="411" customWidth="1"/>
    <col min="6147" max="6147" width="19" style="411" customWidth="1"/>
    <col min="6148" max="6148" width="20.77734375" style="411" customWidth="1"/>
    <col min="6149" max="6149" width="16.77734375" style="411" customWidth="1"/>
    <col min="6150" max="6150" width="18.77734375" style="411" customWidth="1"/>
    <col min="6151" max="6158" width="18.5546875" style="411"/>
    <col min="6159" max="6159" width="4" style="411" customWidth="1"/>
    <col min="6160" max="6160" width="5.5546875" style="411" customWidth="1"/>
    <col min="6161" max="6161" width="30.21875" style="411" customWidth="1"/>
    <col min="6162" max="6162" width="4.5546875" style="411" bestFit="1" customWidth="1"/>
    <col min="6163" max="6163" width="41" style="411" customWidth="1"/>
    <col min="6164" max="6165" width="14.5546875" style="411" customWidth="1"/>
    <col min="6166" max="6166" width="16.5546875" style="411" customWidth="1"/>
    <col min="6167" max="6169" width="14.5546875" style="411" customWidth="1"/>
    <col min="6170" max="6171" width="12.5546875" style="411" customWidth="1"/>
    <col min="6172" max="6172" width="16.5546875" style="411" customWidth="1"/>
    <col min="6173" max="6174" width="20.5546875" style="411" customWidth="1"/>
    <col min="6175" max="6175" width="11" style="411" bestFit="1" customWidth="1"/>
    <col min="6176" max="6176" width="17.21875" style="411" customWidth="1"/>
    <col min="6177" max="6177" width="11" style="411" bestFit="1" customWidth="1"/>
    <col min="6178" max="6178" width="8.77734375" style="411" customWidth="1"/>
    <col min="6179" max="6182" width="10.21875" style="411" bestFit="1" customWidth="1"/>
    <col min="6183" max="6184" width="11.21875" style="411" bestFit="1" customWidth="1"/>
    <col min="6185" max="6395" width="8.77734375" style="411" customWidth="1"/>
    <col min="6396" max="6396" width="2.5546875" style="411" customWidth="1"/>
    <col min="6397" max="6397" width="5.5546875" style="411" customWidth="1"/>
    <col min="6398" max="6398" width="23.77734375" style="411" customWidth="1"/>
    <col min="6399" max="6399" width="3.77734375" style="411" customWidth="1"/>
    <col min="6400" max="6400" width="35.77734375" style="411" customWidth="1"/>
    <col min="6401" max="6401" width="22.21875" style="411" customWidth="1"/>
    <col min="6402" max="6402" width="17.77734375" style="411" customWidth="1"/>
    <col min="6403" max="6403" width="19" style="411" customWidth="1"/>
    <col min="6404" max="6404" width="20.77734375" style="411" customWidth="1"/>
    <col min="6405" max="6405" width="16.77734375" style="411" customWidth="1"/>
    <col min="6406" max="6406" width="18.77734375" style="411" customWidth="1"/>
    <col min="6407" max="6414" width="18.5546875" style="411"/>
    <col min="6415" max="6415" width="4" style="411" customWidth="1"/>
    <col min="6416" max="6416" width="5.5546875" style="411" customWidth="1"/>
    <col min="6417" max="6417" width="30.21875" style="411" customWidth="1"/>
    <col min="6418" max="6418" width="4.5546875" style="411" bestFit="1" customWidth="1"/>
    <col min="6419" max="6419" width="41" style="411" customWidth="1"/>
    <col min="6420" max="6421" width="14.5546875" style="411" customWidth="1"/>
    <col min="6422" max="6422" width="16.5546875" style="411" customWidth="1"/>
    <col min="6423" max="6425" width="14.5546875" style="411" customWidth="1"/>
    <col min="6426" max="6427" width="12.5546875" style="411" customWidth="1"/>
    <col min="6428" max="6428" width="16.5546875" style="411" customWidth="1"/>
    <col min="6429" max="6430" width="20.5546875" style="411" customWidth="1"/>
    <col min="6431" max="6431" width="11" style="411" bestFit="1" customWidth="1"/>
    <col min="6432" max="6432" width="17.21875" style="411" customWidth="1"/>
    <col min="6433" max="6433" width="11" style="411" bestFit="1" customWidth="1"/>
    <col min="6434" max="6434" width="8.77734375" style="411" customWidth="1"/>
    <col min="6435" max="6438" width="10.21875" style="411" bestFit="1" customWidth="1"/>
    <col min="6439" max="6440" width="11.21875" style="411" bestFit="1" customWidth="1"/>
    <col min="6441" max="6651" width="8.77734375" style="411" customWidth="1"/>
    <col min="6652" max="6652" width="2.5546875" style="411" customWidth="1"/>
    <col min="6653" max="6653" width="5.5546875" style="411" customWidth="1"/>
    <col min="6654" max="6654" width="23.77734375" style="411" customWidth="1"/>
    <col min="6655" max="6655" width="3.77734375" style="411" customWidth="1"/>
    <col min="6656" max="6656" width="35.77734375" style="411" customWidth="1"/>
    <col min="6657" max="6657" width="22.21875" style="411" customWidth="1"/>
    <col min="6658" max="6658" width="17.77734375" style="411" customWidth="1"/>
    <col min="6659" max="6659" width="19" style="411" customWidth="1"/>
    <col min="6660" max="6660" width="20.77734375" style="411" customWidth="1"/>
    <col min="6661" max="6661" width="16.77734375" style="411" customWidth="1"/>
    <col min="6662" max="6662" width="18.77734375" style="411" customWidth="1"/>
    <col min="6663" max="6670" width="18.5546875" style="411"/>
    <col min="6671" max="6671" width="4" style="411" customWidth="1"/>
    <col min="6672" max="6672" width="5.5546875" style="411" customWidth="1"/>
    <col min="6673" max="6673" width="30.21875" style="411" customWidth="1"/>
    <col min="6674" max="6674" width="4.5546875" style="411" bestFit="1" customWidth="1"/>
    <col min="6675" max="6675" width="41" style="411" customWidth="1"/>
    <col min="6676" max="6677" width="14.5546875" style="411" customWidth="1"/>
    <col min="6678" max="6678" width="16.5546875" style="411" customWidth="1"/>
    <col min="6679" max="6681" width="14.5546875" style="411" customWidth="1"/>
    <col min="6682" max="6683" width="12.5546875" style="411" customWidth="1"/>
    <col min="6684" max="6684" width="16.5546875" style="411" customWidth="1"/>
    <col min="6685" max="6686" width="20.5546875" style="411" customWidth="1"/>
    <col min="6687" max="6687" width="11" style="411" bestFit="1" customWidth="1"/>
    <col min="6688" max="6688" width="17.21875" style="411" customWidth="1"/>
    <col min="6689" max="6689" width="11" style="411" bestFit="1" customWidth="1"/>
    <col min="6690" max="6690" width="8.77734375" style="411" customWidth="1"/>
    <col min="6691" max="6694" width="10.21875" style="411" bestFit="1" customWidth="1"/>
    <col min="6695" max="6696" width="11.21875" style="411" bestFit="1" customWidth="1"/>
    <col min="6697" max="6907" width="8.77734375" style="411" customWidth="1"/>
    <col min="6908" max="6908" width="2.5546875" style="411" customWidth="1"/>
    <col min="6909" max="6909" width="5.5546875" style="411" customWidth="1"/>
    <col min="6910" max="6910" width="23.77734375" style="411" customWidth="1"/>
    <col min="6911" max="6911" width="3.77734375" style="411" customWidth="1"/>
    <col min="6912" max="6912" width="35.77734375" style="411" customWidth="1"/>
    <col min="6913" max="6913" width="22.21875" style="411" customWidth="1"/>
    <col min="6914" max="6914" width="17.77734375" style="411" customWidth="1"/>
    <col min="6915" max="6915" width="19" style="411" customWidth="1"/>
    <col min="6916" max="6916" width="20.77734375" style="411" customWidth="1"/>
    <col min="6917" max="6917" width="16.77734375" style="411" customWidth="1"/>
    <col min="6918" max="6918" width="18.77734375" style="411" customWidth="1"/>
    <col min="6919" max="6926" width="18.5546875" style="411"/>
    <col min="6927" max="6927" width="4" style="411" customWidth="1"/>
    <col min="6928" max="6928" width="5.5546875" style="411" customWidth="1"/>
    <col min="6929" max="6929" width="30.21875" style="411" customWidth="1"/>
    <col min="6930" max="6930" width="4.5546875" style="411" bestFit="1" customWidth="1"/>
    <col min="6931" max="6931" width="41" style="411" customWidth="1"/>
    <col min="6932" max="6933" width="14.5546875" style="411" customWidth="1"/>
    <col min="6934" max="6934" width="16.5546875" style="411" customWidth="1"/>
    <col min="6935" max="6937" width="14.5546875" style="411" customWidth="1"/>
    <col min="6938" max="6939" width="12.5546875" style="411" customWidth="1"/>
    <col min="6940" max="6940" width="16.5546875" style="411" customWidth="1"/>
    <col min="6941" max="6942" width="20.5546875" style="411" customWidth="1"/>
    <col min="6943" max="6943" width="11" style="411" bestFit="1" customWidth="1"/>
    <col min="6944" max="6944" width="17.21875" style="411" customWidth="1"/>
    <col min="6945" max="6945" width="11" style="411" bestFit="1" customWidth="1"/>
    <col min="6946" max="6946" width="8.77734375" style="411" customWidth="1"/>
    <col min="6947" max="6950" width="10.21875" style="411" bestFit="1" customWidth="1"/>
    <col min="6951" max="6952" width="11.21875" style="411" bestFit="1" customWidth="1"/>
    <col min="6953" max="7163" width="8.77734375" style="411" customWidth="1"/>
    <col min="7164" max="7164" width="2.5546875" style="411" customWidth="1"/>
    <col min="7165" max="7165" width="5.5546875" style="411" customWidth="1"/>
    <col min="7166" max="7166" width="23.77734375" style="411" customWidth="1"/>
    <col min="7167" max="7167" width="3.77734375" style="411" customWidth="1"/>
    <col min="7168" max="7168" width="35.77734375" style="411" customWidth="1"/>
    <col min="7169" max="7169" width="22.21875" style="411" customWidth="1"/>
    <col min="7170" max="7170" width="17.77734375" style="411" customWidth="1"/>
    <col min="7171" max="7171" width="19" style="411" customWidth="1"/>
    <col min="7172" max="7172" width="20.77734375" style="411" customWidth="1"/>
    <col min="7173" max="7173" width="16.77734375" style="411" customWidth="1"/>
    <col min="7174" max="7174" width="18.77734375" style="411" customWidth="1"/>
    <col min="7175" max="7182" width="18.5546875" style="411"/>
    <col min="7183" max="7183" width="4" style="411" customWidth="1"/>
    <col min="7184" max="7184" width="5.5546875" style="411" customWidth="1"/>
    <col min="7185" max="7185" width="30.21875" style="411" customWidth="1"/>
    <col min="7186" max="7186" width="4.5546875" style="411" bestFit="1" customWidth="1"/>
    <col min="7187" max="7187" width="41" style="411" customWidth="1"/>
    <col min="7188" max="7189" width="14.5546875" style="411" customWidth="1"/>
    <col min="7190" max="7190" width="16.5546875" style="411" customWidth="1"/>
    <col min="7191" max="7193" width="14.5546875" style="411" customWidth="1"/>
    <col min="7194" max="7195" width="12.5546875" style="411" customWidth="1"/>
    <col min="7196" max="7196" width="16.5546875" style="411" customWidth="1"/>
    <col min="7197" max="7198" width="20.5546875" style="411" customWidth="1"/>
    <col min="7199" max="7199" width="11" style="411" bestFit="1" customWidth="1"/>
    <col min="7200" max="7200" width="17.21875" style="411" customWidth="1"/>
    <col min="7201" max="7201" width="11" style="411" bestFit="1" customWidth="1"/>
    <col min="7202" max="7202" width="8.77734375" style="411" customWidth="1"/>
    <col min="7203" max="7206" width="10.21875" style="411" bestFit="1" customWidth="1"/>
    <col min="7207" max="7208" width="11.21875" style="411" bestFit="1" customWidth="1"/>
    <col min="7209" max="7419" width="8.77734375" style="411" customWidth="1"/>
    <col min="7420" max="7420" width="2.5546875" style="411" customWidth="1"/>
    <col min="7421" max="7421" width="5.5546875" style="411" customWidth="1"/>
    <col min="7422" max="7422" width="23.77734375" style="411" customWidth="1"/>
    <col min="7423" max="7423" width="3.77734375" style="411" customWidth="1"/>
    <col min="7424" max="7424" width="35.77734375" style="411" customWidth="1"/>
    <col min="7425" max="7425" width="22.21875" style="411" customWidth="1"/>
    <col min="7426" max="7426" width="17.77734375" style="411" customWidth="1"/>
    <col min="7427" max="7427" width="19" style="411" customWidth="1"/>
    <col min="7428" max="7428" width="20.77734375" style="411" customWidth="1"/>
    <col min="7429" max="7429" width="16.77734375" style="411" customWidth="1"/>
    <col min="7430" max="7430" width="18.77734375" style="411" customWidth="1"/>
    <col min="7431" max="7438" width="18.5546875" style="411"/>
    <col min="7439" max="7439" width="4" style="411" customWidth="1"/>
    <col min="7440" max="7440" width="5.5546875" style="411" customWidth="1"/>
    <col min="7441" max="7441" width="30.21875" style="411" customWidth="1"/>
    <col min="7442" max="7442" width="4.5546875" style="411" bestFit="1" customWidth="1"/>
    <col min="7443" max="7443" width="41" style="411" customWidth="1"/>
    <col min="7444" max="7445" width="14.5546875" style="411" customWidth="1"/>
    <col min="7446" max="7446" width="16.5546875" style="411" customWidth="1"/>
    <col min="7447" max="7449" width="14.5546875" style="411" customWidth="1"/>
    <col min="7450" max="7451" width="12.5546875" style="411" customWidth="1"/>
    <col min="7452" max="7452" width="16.5546875" style="411" customWidth="1"/>
    <col min="7453" max="7454" width="20.5546875" style="411" customWidth="1"/>
    <col min="7455" max="7455" width="11" style="411" bestFit="1" customWidth="1"/>
    <col min="7456" max="7456" width="17.21875" style="411" customWidth="1"/>
    <col min="7457" max="7457" width="11" style="411" bestFit="1" customWidth="1"/>
    <col min="7458" max="7458" width="8.77734375" style="411" customWidth="1"/>
    <col min="7459" max="7462" width="10.21875" style="411" bestFit="1" customWidth="1"/>
    <col min="7463" max="7464" width="11.21875" style="411" bestFit="1" customWidth="1"/>
    <col min="7465" max="7675" width="8.77734375" style="411" customWidth="1"/>
    <col min="7676" max="7676" width="2.5546875" style="411" customWidth="1"/>
    <col min="7677" max="7677" width="5.5546875" style="411" customWidth="1"/>
    <col min="7678" max="7678" width="23.77734375" style="411" customWidth="1"/>
    <col min="7679" max="7679" width="3.77734375" style="411" customWidth="1"/>
    <col min="7680" max="7680" width="35.77734375" style="411" customWidth="1"/>
    <col min="7681" max="7681" width="22.21875" style="411" customWidth="1"/>
    <col min="7682" max="7682" width="17.77734375" style="411" customWidth="1"/>
    <col min="7683" max="7683" width="19" style="411" customWidth="1"/>
    <col min="7684" max="7684" width="20.77734375" style="411" customWidth="1"/>
    <col min="7685" max="7685" width="16.77734375" style="411" customWidth="1"/>
    <col min="7686" max="7686" width="18.77734375" style="411" customWidth="1"/>
    <col min="7687" max="7694" width="18.5546875" style="411"/>
    <col min="7695" max="7695" width="4" style="411" customWidth="1"/>
    <col min="7696" max="7696" width="5.5546875" style="411" customWidth="1"/>
    <col min="7697" max="7697" width="30.21875" style="411" customWidth="1"/>
    <col min="7698" max="7698" width="4.5546875" style="411" bestFit="1" customWidth="1"/>
    <col min="7699" max="7699" width="41" style="411" customWidth="1"/>
    <col min="7700" max="7701" width="14.5546875" style="411" customWidth="1"/>
    <col min="7702" max="7702" width="16.5546875" style="411" customWidth="1"/>
    <col min="7703" max="7705" width="14.5546875" style="411" customWidth="1"/>
    <col min="7706" max="7707" width="12.5546875" style="411" customWidth="1"/>
    <col min="7708" max="7708" width="16.5546875" style="411" customWidth="1"/>
    <col min="7709" max="7710" width="20.5546875" style="411" customWidth="1"/>
    <col min="7711" max="7711" width="11" style="411" bestFit="1" customWidth="1"/>
    <col min="7712" max="7712" width="17.21875" style="411" customWidth="1"/>
    <col min="7713" max="7713" width="11" style="411" bestFit="1" customWidth="1"/>
    <col min="7714" max="7714" width="8.77734375" style="411" customWidth="1"/>
    <col min="7715" max="7718" width="10.21875" style="411" bestFit="1" customWidth="1"/>
    <col min="7719" max="7720" width="11.21875" style="411" bestFit="1" customWidth="1"/>
    <col min="7721" max="7931" width="8.77734375" style="411" customWidth="1"/>
    <col min="7932" max="7932" width="2.5546875" style="411" customWidth="1"/>
    <col min="7933" max="7933" width="5.5546875" style="411" customWidth="1"/>
    <col min="7934" max="7934" width="23.77734375" style="411" customWidth="1"/>
    <col min="7935" max="7935" width="3.77734375" style="411" customWidth="1"/>
    <col min="7936" max="7936" width="35.77734375" style="411" customWidth="1"/>
    <col min="7937" max="7937" width="22.21875" style="411" customWidth="1"/>
    <col min="7938" max="7938" width="17.77734375" style="411" customWidth="1"/>
    <col min="7939" max="7939" width="19" style="411" customWidth="1"/>
    <col min="7940" max="7940" width="20.77734375" style="411" customWidth="1"/>
    <col min="7941" max="7941" width="16.77734375" style="411" customWidth="1"/>
    <col min="7942" max="7942" width="18.77734375" style="411" customWidth="1"/>
    <col min="7943" max="7950" width="18.5546875" style="411"/>
    <col min="7951" max="7951" width="4" style="411" customWidth="1"/>
    <col min="7952" max="7952" width="5.5546875" style="411" customWidth="1"/>
    <col min="7953" max="7953" width="30.21875" style="411" customWidth="1"/>
    <col min="7954" max="7954" width="4.5546875" style="411" bestFit="1" customWidth="1"/>
    <col min="7955" max="7955" width="41" style="411" customWidth="1"/>
    <col min="7956" max="7957" width="14.5546875" style="411" customWidth="1"/>
    <col min="7958" max="7958" width="16.5546875" style="411" customWidth="1"/>
    <col min="7959" max="7961" width="14.5546875" style="411" customWidth="1"/>
    <col min="7962" max="7963" width="12.5546875" style="411" customWidth="1"/>
    <col min="7964" max="7964" width="16.5546875" style="411" customWidth="1"/>
    <col min="7965" max="7966" width="20.5546875" style="411" customWidth="1"/>
    <col min="7967" max="7967" width="11" style="411" bestFit="1" customWidth="1"/>
    <col min="7968" max="7968" width="17.21875" style="411" customWidth="1"/>
    <col min="7969" max="7969" width="11" style="411" bestFit="1" customWidth="1"/>
    <col min="7970" max="7970" width="8.77734375" style="411" customWidth="1"/>
    <col min="7971" max="7974" width="10.21875" style="411" bestFit="1" customWidth="1"/>
    <col min="7975" max="7976" width="11.21875" style="411" bestFit="1" customWidth="1"/>
    <col min="7977" max="8187" width="8.77734375" style="411" customWidth="1"/>
    <col min="8188" max="8188" width="2.5546875" style="411" customWidth="1"/>
    <col min="8189" max="8189" width="5.5546875" style="411" customWidth="1"/>
    <col min="8190" max="8190" width="23.77734375" style="411" customWidth="1"/>
    <col min="8191" max="8191" width="3.77734375" style="411" customWidth="1"/>
    <col min="8192" max="8192" width="35.77734375" style="411" customWidth="1"/>
    <col min="8193" max="8193" width="22.21875" style="411" customWidth="1"/>
    <col min="8194" max="8194" width="17.77734375" style="411" customWidth="1"/>
    <col min="8195" max="8195" width="19" style="411" customWidth="1"/>
    <col min="8196" max="8196" width="20.77734375" style="411" customWidth="1"/>
    <col min="8197" max="8197" width="16.77734375" style="411" customWidth="1"/>
    <col min="8198" max="8198" width="18.77734375" style="411" customWidth="1"/>
    <col min="8199" max="8206" width="18.5546875" style="411"/>
    <col min="8207" max="8207" width="4" style="411" customWidth="1"/>
    <col min="8208" max="8208" width="5.5546875" style="411" customWidth="1"/>
    <col min="8209" max="8209" width="30.21875" style="411" customWidth="1"/>
    <col min="8210" max="8210" width="4.5546875" style="411" bestFit="1" customWidth="1"/>
    <col min="8211" max="8211" width="41" style="411" customWidth="1"/>
    <col min="8212" max="8213" width="14.5546875" style="411" customWidth="1"/>
    <col min="8214" max="8214" width="16.5546875" style="411" customWidth="1"/>
    <col min="8215" max="8217" width="14.5546875" style="411" customWidth="1"/>
    <col min="8218" max="8219" width="12.5546875" style="411" customWidth="1"/>
    <col min="8220" max="8220" width="16.5546875" style="411" customWidth="1"/>
    <col min="8221" max="8222" width="20.5546875" style="411" customWidth="1"/>
    <col min="8223" max="8223" width="11" style="411" bestFit="1" customWidth="1"/>
    <col min="8224" max="8224" width="17.21875" style="411" customWidth="1"/>
    <col min="8225" max="8225" width="11" style="411" bestFit="1" customWidth="1"/>
    <col min="8226" max="8226" width="8.77734375" style="411" customWidth="1"/>
    <col min="8227" max="8230" width="10.21875" style="411" bestFit="1" customWidth="1"/>
    <col min="8231" max="8232" width="11.21875" style="411" bestFit="1" customWidth="1"/>
    <col min="8233" max="8443" width="8.77734375" style="411" customWidth="1"/>
    <col min="8444" max="8444" width="2.5546875" style="411" customWidth="1"/>
    <col min="8445" max="8445" width="5.5546875" style="411" customWidth="1"/>
    <col min="8446" max="8446" width="23.77734375" style="411" customWidth="1"/>
    <col min="8447" max="8447" width="3.77734375" style="411" customWidth="1"/>
    <col min="8448" max="8448" width="35.77734375" style="411" customWidth="1"/>
    <col min="8449" max="8449" width="22.21875" style="411" customWidth="1"/>
    <col min="8450" max="8450" width="17.77734375" style="411" customWidth="1"/>
    <col min="8451" max="8451" width="19" style="411" customWidth="1"/>
    <col min="8452" max="8452" width="20.77734375" style="411" customWidth="1"/>
    <col min="8453" max="8453" width="16.77734375" style="411" customWidth="1"/>
    <col min="8454" max="8454" width="18.77734375" style="411" customWidth="1"/>
    <col min="8455" max="8462" width="18.5546875" style="411"/>
    <col min="8463" max="8463" width="4" style="411" customWidth="1"/>
    <col min="8464" max="8464" width="5.5546875" style="411" customWidth="1"/>
    <col min="8465" max="8465" width="30.21875" style="411" customWidth="1"/>
    <col min="8466" max="8466" width="4.5546875" style="411" bestFit="1" customWidth="1"/>
    <col min="8467" max="8467" width="41" style="411" customWidth="1"/>
    <col min="8468" max="8469" width="14.5546875" style="411" customWidth="1"/>
    <col min="8470" max="8470" width="16.5546875" style="411" customWidth="1"/>
    <col min="8471" max="8473" width="14.5546875" style="411" customWidth="1"/>
    <col min="8474" max="8475" width="12.5546875" style="411" customWidth="1"/>
    <col min="8476" max="8476" width="16.5546875" style="411" customWidth="1"/>
    <col min="8477" max="8478" width="20.5546875" style="411" customWidth="1"/>
    <col min="8479" max="8479" width="11" style="411" bestFit="1" customWidth="1"/>
    <col min="8480" max="8480" width="17.21875" style="411" customWidth="1"/>
    <col min="8481" max="8481" width="11" style="411" bestFit="1" customWidth="1"/>
    <col min="8482" max="8482" width="8.77734375" style="411" customWidth="1"/>
    <col min="8483" max="8486" width="10.21875" style="411" bestFit="1" customWidth="1"/>
    <col min="8487" max="8488" width="11.21875" style="411" bestFit="1" customWidth="1"/>
    <col min="8489" max="8699" width="8.77734375" style="411" customWidth="1"/>
    <col min="8700" max="8700" width="2.5546875" style="411" customWidth="1"/>
    <col min="8701" max="8701" width="5.5546875" style="411" customWidth="1"/>
    <col min="8702" max="8702" width="23.77734375" style="411" customWidth="1"/>
    <col min="8703" max="8703" width="3.77734375" style="411" customWidth="1"/>
    <col min="8704" max="8704" width="35.77734375" style="411" customWidth="1"/>
    <col min="8705" max="8705" width="22.21875" style="411" customWidth="1"/>
    <col min="8706" max="8706" width="17.77734375" style="411" customWidth="1"/>
    <col min="8707" max="8707" width="19" style="411" customWidth="1"/>
    <col min="8708" max="8708" width="20.77734375" style="411" customWidth="1"/>
    <col min="8709" max="8709" width="16.77734375" style="411" customWidth="1"/>
    <col min="8710" max="8710" width="18.77734375" style="411" customWidth="1"/>
    <col min="8711" max="8718" width="18.5546875" style="411"/>
    <col min="8719" max="8719" width="4" style="411" customWidth="1"/>
    <col min="8720" max="8720" width="5.5546875" style="411" customWidth="1"/>
    <col min="8721" max="8721" width="30.21875" style="411" customWidth="1"/>
    <col min="8722" max="8722" width="4.5546875" style="411" bestFit="1" customWidth="1"/>
    <col min="8723" max="8723" width="41" style="411" customWidth="1"/>
    <col min="8724" max="8725" width="14.5546875" style="411" customWidth="1"/>
    <col min="8726" max="8726" width="16.5546875" style="411" customWidth="1"/>
    <col min="8727" max="8729" width="14.5546875" style="411" customWidth="1"/>
    <col min="8730" max="8731" width="12.5546875" style="411" customWidth="1"/>
    <col min="8732" max="8732" width="16.5546875" style="411" customWidth="1"/>
    <col min="8733" max="8734" width="20.5546875" style="411" customWidth="1"/>
    <col min="8735" max="8735" width="11" style="411" bestFit="1" customWidth="1"/>
    <col min="8736" max="8736" width="17.21875" style="411" customWidth="1"/>
    <col min="8737" max="8737" width="11" style="411" bestFit="1" customWidth="1"/>
    <col min="8738" max="8738" width="8.77734375" style="411" customWidth="1"/>
    <col min="8739" max="8742" width="10.21875" style="411" bestFit="1" customWidth="1"/>
    <col min="8743" max="8744" width="11.21875" style="411" bestFit="1" customWidth="1"/>
    <col min="8745" max="8955" width="8.77734375" style="411" customWidth="1"/>
    <col min="8956" max="8956" width="2.5546875" style="411" customWidth="1"/>
    <col min="8957" max="8957" width="5.5546875" style="411" customWidth="1"/>
    <col min="8958" max="8958" width="23.77734375" style="411" customWidth="1"/>
    <col min="8959" max="8959" width="3.77734375" style="411" customWidth="1"/>
    <col min="8960" max="8960" width="35.77734375" style="411" customWidth="1"/>
    <col min="8961" max="8961" width="22.21875" style="411" customWidth="1"/>
    <col min="8962" max="8962" width="17.77734375" style="411" customWidth="1"/>
    <col min="8963" max="8963" width="19" style="411" customWidth="1"/>
    <col min="8964" max="8964" width="20.77734375" style="411" customWidth="1"/>
    <col min="8965" max="8965" width="16.77734375" style="411" customWidth="1"/>
    <col min="8966" max="8966" width="18.77734375" style="411" customWidth="1"/>
    <col min="8967" max="8974" width="18.5546875" style="411"/>
    <col min="8975" max="8975" width="4" style="411" customWidth="1"/>
    <col min="8976" max="8976" width="5.5546875" style="411" customWidth="1"/>
    <col min="8977" max="8977" width="30.21875" style="411" customWidth="1"/>
    <col min="8978" max="8978" width="4.5546875" style="411" bestFit="1" customWidth="1"/>
    <col min="8979" max="8979" width="41" style="411" customWidth="1"/>
    <col min="8980" max="8981" width="14.5546875" style="411" customWidth="1"/>
    <col min="8982" max="8982" width="16.5546875" style="411" customWidth="1"/>
    <col min="8983" max="8985" width="14.5546875" style="411" customWidth="1"/>
    <col min="8986" max="8987" width="12.5546875" style="411" customWidth="1"/>
    <col min="8988" max="8988" width="16.5546875" style="411" customWidth="1"/>
    <col min="8989" max="8990" width="20.5546875" style="411" customWidth="1"/>
    <col min="8991" max="8991" width="11" style="411" bestFit="1" customWidth="1"/>
    <col min="8992" max="8992" width="17.21875" style="411" customWidth="1"/>
    <col min="8993" max="8993" width="11" style="411" bestFit="1" customWidth="1"/>
    <col min="8994" max="8994" width="8.77734375" style="411" customWidth="1"/>
    <col min="8995" max="8998" width="10.21875" style="411" bestFit="1" customWidth="1"/>
    <col min="8999" max="9000" width="11.21875" style="411" bestFit="1" customWidth="1"/>
    <col min="9001" max="9211" width="8.77734375" style="411" customWidth="1"/>
    <col min="9212" max="9212" width="2.5546875" style="411" customWidth="1"/>
    <col min="9213" max="9213" width="5.5546875" style="411" customWidth="1"/>
    <col min="9214" max="9214" width="23.77734375" style="411" customWidth="1"/>
    <col min="9215" max="9215" width="3.77734375" style="411" customWidth="1"/>
    <col min="9216" max="9216" width="35.77734375" style="411" customWidth="1"/>
    <col min="9217" max="9217" width="22.21875" style="411" customWidth="1"/>
    <col min="9218" max="9218" width="17.77734375" style="411" customWidth="1"/>
    <col min="9219" max="9219" width="19" style="411" customWidth="1"/>
    <col min="9220" max="9220" width="20.77734375" style="411" customWidth="1"/>
    <col min="9221" max="9221" width="16.77734375" style="411" customWidth="1"/>
    <col min="9222" max="9222" width="18.77734375" style="411" customWidth="1"/>
    <col min="9223" max="9230" width="18.5546875" style="411"/>
    <col min="9231" max="9231" width="4" style="411" customWidth="1"/>
    <col min="9232" max="9232" width="5.5546875" style="411" customWidth="1"/>
    <col min="9233" max="9233" width="30.21875" style="411" customWidth="1"/>
    <col min="9234" max="9234" width="4.5546875" style="411" bestFit="1" customWidth="1"/>
    <col min="9235" max="9235" width="41" style="411" customWidth="1"/>
    <col min="9236" max="9237" width="14.5546875" style="411" customWidth="1"/>
    <col min="9238" max="9238" width="16.5546875" style="411" customWidth="1"/>
    <col min="9239" max="9241" width="14.5546875" style="411" customWidth="1"/>
    <col min="9242" max="9243" width="12.5546875" style="411" customWidth="1"/>
    <col min="9244" max="9244" width="16.5546875" style="411" customWidth="1"/>
    <col min="9245" max="9246" width="20.5546875" style="411" customWidth="1"/>
    <col min="9247" max="9247" width="11" style="411" bestFit="1" customWidth="1"/>
    <col min="9248" max="9248" width="17.21875" style="411" customWidth="1"/>
    <col min="9249" max="9249" width="11" style="411" bestFit="1" customWidth="1"/>
    <col min="9250" max="9250" width="8.77734375" style="411" customWidth="1"/>
    <col min="9251" max="9254" width="10.21875" style="411" bestFit="1" customWidth="1"/>
    <col min="9255" max="9256" width="11.21875" style="411" bestFit="1" customWidth="1"/>
    <col min="9257" max="9467" width="8.77734375" style="411" customWidth="1"/>
    <col min="9468" max="9468" width="2.5546875" style="411" customWidth="1"/>
    <col min="9469" max="9469" width="5.5546875" style="411" customWidth="1"/>
    <col min="9470" max="9470" width="23.77734375" style="411" customWidth="1"/>
    <col min="9471" max="9471" width="3.77734375" style="411" customWidth="1"/>
    <col min="9472" max="9472" width="35.77734375" style="411" customWidth="1"/>
    <col min="9473" max="9473" width="22.21875" style="411" customWidth="1"/>
    <col min="9474" max="9474" width="17.77734375" style="411" customWidth="1"/>
    <col min="9475" max="9475" width="19" style="411" customWidth="1"/>
    <col min="9476" max="9476" width="20.77734375" style="411" customWidth="1"/>
    <col min="9477" max="9477" width="16.77734375" style="411" customWidth="1"/>
    <col min="9478" max="9478" width="18.77734375" style="411" customWidth="1"/>
    <col min="9479" max="9486" width="18.5546875" style="411"/>
    <col min="9487" max="9487" width="4" style="411" customWidth="1"/>
    <col min="9488" max="9488" width="5.5546875" style="411" customWidth="1"/>
    <col min="9489" max="9489" width="30.21875" style="411" customWidth="1"/>
    <col min="9490" max="9490" width="4.5546875" style="411" bestFit="1" customWidth="1"/>
    <col min="9491" max="9491" width="41" style="411" customWidth="1"/>
    <col min="9492" max="9493" width="14.5546875" style="411" customWidth="1"/>
    <col min="9494" max="9494" width="16.5546875" style="411" customWidth="1"/>
    <col min="9495" max="9497" width="14.5546875" style="411" customWidth="1"/>
    <col min="9498" max="9499" width="12.5546875" style="411" customWidth="1"/>
    <col min="9500" max="9500" width="16.5546875" style="411" customWidth="1"/>
    <col min="9501" max="9502" width="20.5546875" style="411" customWidth="1"/>
    <col min="9503" max="9503" width="11" style="411" bestFit="1" customWidth="1"/>
    <col min="9504" max="9504" width="17.21875" style="411" customWidth="1"/>
    <col min="9505" max="9505" width="11" style="411" bestFit="1" customWidth="1"/>
    <col min="9506" max="9506" width="8.77734375" style="411" customWidth="1"/>
    <col min="9507" max="9510" width="10.21875" style="411" bestFit="1" customWidth="1"/>
    <col min="9511" max="9512" width="11.21875" style="411" bestFit="1" customWidth="1"/>
    <col min="9513" max="9723" width="8.77734375" style="411" customWidth="1"/>
    <col min="9724" max="9724" width="2.5546875" style="411" customWidth="1"/>
    <col min="9725" max="9725" width="5.5546875" style="411" customWidth="1"/>
    <col min="9726" max="9726" width="23.77734375" style="411" customWidth="1"/>
    <col min="9727" max="9727" width="3.77734375" style="411" customWidth="1"/>
    <col min="9728" max="9728" width="35.77734375" style="411" customWidth="1"/>
    <col min="9729" max="9729" width="22.21875" style="411" customWidth="1"/>
    <col min="9730" max="9730" width="17.77734375" style="411" customWidth="1"/>
    <col min="9731" max="9731" width="19" style="411" customWidth="1"/>
    <col min="9732" max="9732" width="20.77734375" style="411" customWidth="1"/>
    <col min="9733" max="9733" width="16.77734375" style="411" customWidth="1"/>
    <col min="9734" max="9734" width="18.77734375" style="411" customWidth="1"/>
    <col min="9735" max="9742" width="18.5546875" style="411"/>
    <col min="9743" max="9743" width="4" style="411" customWidth="1"/>
    <col min="9744" max="9744" width="5.5546875" style="411" customWidth="1"/>
    <col min="9745" max="9745" width="30.21875" style="411" customWidth="1"/>
    <col min="9746" max="9746" width="4.5546875" style="411" bestFit="1" customWidth="1"/>
    <col min="9747" max="9747" width="41" style="411" customWidth="1"/>
    <col min="9748" max="9749" width="14.5546875" style="411" customWidth="1"/>
    <col min="9750" max="9750" width="16.5546875" style="411" customWidth="1"/>
    <col min="9751" max="9753" width="14.5546875" style="411" customWidth="1"/>
    <col min="9754" max="9755" width="12.5546875" style="411" customWidth="1"/>
    <col min="9756" max="9756" width="16.5546875" style="411" customWidth="1"/>
    <col min="9757" max="9758" width="20.5546875" style="411" customWidth="1"/>
    <col min="9759" max="9759" width="11" style="411" bestFit="1" customWidth="1"/>
    <col min="9760" max="9760" width="17.21875" style="411" customWidth="1"/>
    <col min="9761" max="9761" width="11" style="411" bestFit="1" customWidth="1"/>
    <col min="9762" max="9762" width="8.77734375" style="411" customWidth="1"/>
    <col min="9763" max="9766" width="10.21875" style="411" bestFit="1" customWidth="1"/>
    <col min="9767" max="9768" width="11.21875" style="411" bestFit="1" customWidth="1"/>
    <col min="9769" max="9979" width="8.77734375" style="411" customWidth="1"/>
    <col min="9980" max="9980" width="2.5546875" style="411" customWidth="1"/>
    <col min="9981" max="9981" width="5.5546875" style="411" customWidth="1"/>
    <col min="9982" max="9982" width="23.77734375" style="411" customWidth="1"/>
    <col min="9983" max="9983" width="3.77734375" style="411" customWidth="1"/>
    <col min="9984" max="9984" width="35.77734375" style="411" customWidth="1"/>
    <col min="9985" max="9985" width="22.21875" style="411" customWidth="1"/>
    <col min="9986" max="9986" width="17.77734375" style="411" customWidth="1"/>
    <col min="9987" max="9987" width="19" style="411" customWidth="1"/>
    <col min="9988" max="9988" width="20.77734375" style="411" customWidth="1"/>
    <col min="9989" max="9989" width="16.77734375" style="411" customWidth="1"/>
    <col min="9990" max="9990" width="18.77734375" style="411" customWidth="1"/>
    <col min="9991" max="9998" width="18.5546875" style="411"/>
    <col min="9999" max="9999" width="4" style="411" customWidth="1"/>
    <col min="10000" max="10000" width="5.5546875" style="411" customWidth="1"/>
    <col min="10001" max="10001" width="30.21875" style="411" customWidth="1"/>
    <col min="10002" max="10002" width="4.5546875" style="411" bestFit="1" customWidth="1"/>
    <col min="10003" max="10003" width="41" style="411" customWidth="1"/>
    <col min="10004" max="10005" width="14.5546875" style="411" customWidth="1"/>
    <col min="10006" max="10006" width="16.5546875" style="411" customWidth="1"/>
    <col min="10007" max="10009" width="14.5546875" style="411" customWidth="1"/>
    <col min="10010" max="10011" width="12.5546875" style="411" customWidth="1"/>
    <col min="10012" max="10012" width="16.5546875" style="411" customWidth="1"/>
    <col min="10013" max="10014" width="20.5546875" style="411" customWidth="1"/>
    <col min="10015" max="10015" width="11" style="411" bestFit="1" customWidth="1"/>
    <col min="10016" max="10016" width="17.21875" style="411" customWidth="1"/>
    <col min="10017" max="10017" width="11" style="411" bestFit="1" customWidth="1"/>
    <col min="10018" max="10018" width="8.77734375" style="411" customWidth="1"/>
    <col min="10019" max="10022" width="10.21875" style="411" bestFit="1" customWidth="1"/>
    <col min="10023" max="10024" width="11.21875" style="411" bestFit="1" customWidth="1"/>
    <col min="10025" max="10235" width="8.77734375" style="411" customWidth="1"/>
    <col min="10236" max="10236" width="2.5546875" style="411" customWidth="1"/>
    <col min="10237" max="10237" width="5.5546875" style="411" customWidth="1"/>
    <col min="10238" max="10238" width="23.77734375" style="411" customWidth="1"/>
    <col min="10239" max="10239" width="3.77734375" style="411" customWidth="1"/>
    <col min="10240" max="10240" width="35.77734375" style="411" customWidth="1"/>
    <col min="10241" max="10241" width="22.21875" style="411" customWidth="1"/>
    <col min="10242" max="10242" width="17.77734375" style="411" customWidth="1"/>
    <col min="10243" max="10243" width="19" style="411" customWidth="1"/>
    <col min="10244" max="10244" width="20.77734375" style="411" customWidth="1"/>
    <col min="10245" max="10245" width="16.77734375" style="411" customWidth="1"/>
    <col min="10246" max="10246" width="18.77734375" style="411" customWidth="1"/>
    <col min="10247" max="10254" width="18.5546875" style="411"/>
    <col min="10255" max="10255" width="4" style="411" customWidth="1"/>
    <col min="10256" max="10256" width="5.5546875" style="411" customWidth="1"/>
    <col min="10257" max="10257" width="30.21875" style="411" customWidth="1"/>
    <col min="10258" max="10258" width="4.5546875" style="411" bestFit="1" customWidth="1"/>
    <col min="10259" max="10259" width="41" style="411" customWidth="1"/>
    <col min="10260" max="10261" width="14.5546875" style="411" customWidth="1"/>
    <col min="10262" max="10262" width="16.5546875" style="411" customWidth="1"/>
    <col min="10263" max="10265" width="14.5546875" style="411" customWidth="1"/>
    <col min="10266" max="10267" width="12.5546875" style="411" customWidth="1"/>
    <col min="10268" max="10268" width="16.5546875" style="411" customWidth="1"/>
    <col min="10269" max="10270" width="20.5546875" style="411" customWidth="1"/>
    <col min="10271" max="10271" width="11" style="411" bestFit="1" customWidth="1"/>
    <col min="10272" max="10272" width="17.21875" style="411" customWidth="1"/>
    <col min="10273" max="10273" width="11" style="411" bestFit="1" customWidth="1"/>
    <col min="10274" max="10274" width="8.77734375" style="411" customWidth="1"/>
    <col min="10275" max="10278" width="10.21875" style="411" bestFit="1" customWidth="1"/>
    <col min="10279" max="10280" width="11.21875" style="411" bestFit="1" customWidth="1"/>
    <col min="10281" max="10491" width="8.77734375" style="411" customWidth="1"/>
    <col min="10492" max="10492" width="2.5546875" style="411" customWidth="1"/>
    <col min="10493" max="10493" width="5.5546875" style="411" customWidth="1"/>
    <col min="10494" max="10494" width="23.77734375" style="411" customWidth="1"/>
    <col min="10495" max="10495" width="3.77734375" style="411" customWidth="1"/>
    <col min="10496" max="10496" width="35.77734375" style="411" customWidth="1"/>
    <col min="10497" max="10497" width="22.21875" style="411" customWidth="1"/>
    <col min="10498" max="10498" width="17.77734375" style="411" customWidth="1"/>
    <col min="10499" max="10499" width="19" style="411" customWidth="1"/>
    <col min="10500" max="10500" width="20.77734375" style="411" customWidth="1"/>
    <col min="10501" max="10501" width="16.77734375" style="411" customWidth="1"/>
    <col min="10502" max="10502" width="18.77734375" style="411" customWidth="1"/>
    <col min="10503" max="10510" width="18.5546875" style="411"/>
    <col min="10511" max="10511" width="4" style="411" customWidth="1"/>
    <col min="10512" max="10512" width="5.5546875" style="411" customWidth="1"/>
    <col min="10513" max="10513" width="30.21875" style="411" customWidth="1"/>
    <col min="10514" max="10514" width="4.5546875" style="411" bestFit="1" customWidth="1"/>
    <col min="10515" max="10515" width="41" style="411" customWidth="1"/>
    <col min="10516" max="10517" width="14.5546875" style="411" customWidth="1"/>
    <col min="10518" max="10518" width="16.5546875" style="411" customWidth="1"/>
    <col min="10519" max="10521" width="14.5546875" style="411" customWidth="1"/>
    <col min="10522" max="10523" width="12.5546875" style="411" customWidth="1"/>
    <col min="10524" max="10524" width="16.5546875" style="411" customWidth="1"/>
    <col min="10525" max="10526" width="20.5546875" style="411" customWidth="1"/>
    <col min="10527" max="10527" width="11" style="411" bestFit="1" customWidth="1"/>
    <col min="10528" max="10528" width="17.21875" style="411" customWidth="1"/>
    <col min="10529" max="10529" width="11" style="411" bestFit="1" customWidth="1"/>
    <col min="10530" max="10530" width="8.77734375" style="411" customWidth="1"/>
    <col min="10531" max="10534" width="10.21875" style="411" bestFit="1" customWidth="1"/>
    <col min="10535" max="10536" width="11.21875" style="411" bestFit="1" customWidth="1"/>
    <col min="10537" max="10747" width="8.77734375" style="411" customWidth="1"/>
    <col min="10748" max="10748" width="2.5546875" style="411" customWidth="1"/>
    <col min="10749" max="10749" width="5.5546875" style="411" customWidth="1"/>
    <col min="10750" max="10750" width="23.77734375" style="411" customWidth="1"/>
    <col min="10751" max="10751" width="3.77734375" style="411" customWidth="1"/>
    <col min="10752" max="10752" width="35.77734375" style="411" customWidth="1"/>
    <col min="10753" max="10753" width="22.21875" style="411" customWidth="1"/>
    <col min="10754" max="10754" width="17.77734375" style="411" customWidth="1"/>
    <col min="10755" max="10755" width="19" style="411" customWidth="1"/>
    <col min="10756" max="10756" width="20.77734375" style="411" customWidth="1"/>
    <col min="10757" max="10757" width="16.77734375" style="411" customWidth="1"/>
    <col min="10758" max="10758" width="18.77734375" style="411" customWidth="1"/>
    <col min="10759" max="10766" width="18.5546875" style="411"/>
    <col min="10767" max="10767" width="4" style="411" customWidth="1"/>
    <col min="10768" max="10768" width="5.5546875" style="411" customWidth="1"/>
    <col min="10769" max="10769" width="30.21875" style="411" customWidth="1"/>
    <col min="10770" max="10770" width="4.5546875" style="411" bestFit="1" customWidth="1"/>
    <col min="10771" max="10771" width="41" style="411" customWidth="1"/>
    <col min="10772" max="10773" width="14.5546875" style="411" customWidth="1"/>
    <col min="10774" max="10774" width="16.5546875" style="411" customWidth="1"/>
    <col min="10775" max="10777" width="14.5546875" style="411" customWidth="1"/>
    <col min="10778" max="10779" width="12.5546875" style="411" customWidth="1"/>
    <col min="10780" max="10780" width="16.5546875" style="411" customWidth="1"/>
    <col min="10781" max="10782" width="20.5546875" style="411" customWidth="1"/>
    <col min="10783" max="10783" width="11" style="411" bestFit="1" customWidth="1"/>
    <col min="10784" max="10784" width="17.21875" style="411" customWidth="1"/>
    <col min="10785" max="10785" width="11" style="411" bestFit="1" customWidth="1"/>
    <col min="10786" max="10786" width="8.77734375" style="411" customWidth="1"/>
    <col min="10787" max="10790" width="10.21875" style="411" bestFit="1" customWidth="1"/>
    <col min="10791" max="10792" width="11.21875" style="411" bestFit="1" customWidth="1"/>
    <col min="10793" max="11003" width="8.77734375" style="411" customWidth="1"/>
    <col min="11004" max="11004" width="2.5546875" style="411" customWidth="1"/>
    <col min="11005" max="11005" width="5.5546875" style="411" customWidth="1"/>
    <col min="11006" max="11006" width="23.77734375" style="411" customWidth="1"/>
    <col min="11007" max="11007" width="3.77734375" style="411" customWidth="1"/>
    <col min="11008" max="11008" width="35.77734375" style="411" customWidth="1"/>
    <col min="11009" max="11009" width="22.21875" style="411" customWidth="1"/>
    <col min="11010" max="11010" width="17.77734375" style="411" customWidth="1"/>
    <col min="11011" max="11011" width="19" style="411" customWidth="1"/>
    <col min="11012" max="11012" width="20.77734375" style="411" customWidth="1"/>
    <col min="11013" max="11013" width="16.77734375" style="411" customWidth="1"/>
    <col min="11014" max="11014" width="18.77734375" style="411" customWidth="1"/>
    <col min="11015" max="11022" width="18.5546875" style="411"/>
    <col min="11023" max="11023" width="4" style="411" customWidth="1"/>
    <col min="11024" max="11024" width="5.5546875" style="411" customWidth="1"/>
    <col min="11025" max="11025" width="30.21875" style="411" customWidth="1"/>
    <col min="11026" max="11026" width="4.5546875" style="411" bestFit="1" customWidth="1"/>
    <col min="11027" max="11027" width="41" style="411" customWidth="1"/>
    <col min="11028" max="11029" width="14.5546875" style="411" customWidth="1"/>
    <col min="11030" max="11030" width="16.5546875" style="411" customWidth="1"/>
    <col min="11031" max="11033" width="14.5546875" style="411" customWidth="1"/>
    <col min="11034" max="11035" width="12.5546875" style="411" customWidth="1"/>
    <col min="11036" max="11036" width="16.5546875" style="411" customWidth="1"/>
    <col min="11037" max="11038" width="20.5546875" style="411" customWidth="1"/>
    <col min="11039" max="11039" width="11" style="411" bestFit="1" customWidth="1"/>
    <col min="11040" max="11040" width="17.21875" style="411" customWidth="1"/>
    <col min="11041" max="11041" width="11" style="411" bestFit="1" customWidth="1"/>
    <col min="11042" max="11042" width="8.77734375" style="411" customWidth="1"/>
    <col min="11043" max="11046" width="10.21875" style="411" bestFit="1" customWidth="1"/>
    <col min="11047" max="11048" width="11.21875" style="411" bestFit="1" customWidth="1"/>
    <col min="11049" max="11259" width="8.77734375" style="411" customWidth="1"/>
    <col min="11260" max="11260" width="2.5546875" style="411" customWidth="1"/>
    <col min="11261" max="11261" width="5.5546875" style="411" customWidth="1"/>
    <col min="11262" max="11262" width="23.77734375" style="411" customWidth="1"/>
    <col min="11263" max="11263" width="3.77734375" style="411" customWidth="1"/>
    <col min="11264" max="11264" width="35.77734375" style="411" customWidth="1"/>
    <col min="11265" max="11265" width="22.21875" style="411" customWidth="1"/>
    <col min="11266" max="11266" width="17.77734375" style="411" customWidth="1"/>
    <col min="11267" max="11267" width="19" style="411" customWidth="1"/>
    <col min="11268" max="11268" width="20.77734375" style="411" customWidth="1"/>
    <col min="11269" max="11269" width="16.77734375" style="411" customWidth="1"/>
    <col min="11270" max="11270" width="18.77734375" style="411" customWidth="1"/>
    <col min="11271" max="11278" width="18.5546875" style="411"/>
    <col min="11279" max="11279" width="4" style="411" customWidth="1"/>
    <col min="11280" max="11280" width="5.5546875" style="411" customWidth="1"/>
    <col min="11281" max="11281" width="30.21875" style="411" customWidth="1"/>
    <col min="11282" max="11282" width="4.5546875" style="411" bestFit="1" customWidth="1"/>
    <col min="11283" max="11283" width="41" style="411" customWidth="1"/>
    <col min="11284" max="11285" width="14.5546875" style="411" customWidth="1"/>
    <col min="11286" max="11286" width="16.5546875" style="411" customWidth="1"/>
    <col min="11287" max="11289" width="14.5546875" style="411" customWidth="1"/>
    <col min="11290" max="11291" width="12.5546875" style="411" customWidth="1"/>
    <col min="11292" max="11292" width="16.5546875" style="411" customWidth="1"/>
    <col min="11293" max="11294" width="20.5546875" style="411" customWidth="1"/>
    <col min="11295" max="11295" width="11" style="411" bestFit="1" customWidth="1"/>
    <col min="11296" max="11296" width="17.21875" style="411" customWidth="1"/>
    <col min="11297" max="11297" width="11" style="411" bestFit="1" customWidth="1"/>
    <col min="11298" max="11298" width="8.77734375" style="411" customWidth="1"/>
    <col min="11299" max="11302" width="10.21875" style="411" bestFit="1" customWidth="1"/>
    <col min="11303" max="11304" width="11.21875" style="411" bestFit="1" customWidth="1"/>
    <col min="11305" max="11515" width="8.77734375" style="411" customWidth="1"/>
    <col min="11516" max="11516" width="2.5546875" style="411" customWidth="1"/>
    <col min="11517" max="11517" width="5.5546875" style="411" customWidth="1"/>
    <col min="11518" max="11518" width="23.77734375" style="411" customWidth="1"/>
    <col min="11519" max="11519" width="3.77734375" style="411" customWidth="1"/>
    <col min="11520" max="11520" width="35.77734375" style="411" customWidth="1"/>
    <col min="11521" max="11521" width="22.21875" style="411" customWidth="1"/>
    <col min="11522" max="11522" width="17.77734375" style="411" customWidth="1"/>
    <col min="11523" max="11523" width="19" style="411" customWidth="1"/>
    <col min="11524" max="11524" width="20.77734375" style="411" customWidth="1"/>
    <col min="11525" max="11525" width="16.77734375" style="411" customWidth="1"/>
    <col min="11526" max="11526" width="18.77734375" style="411" customWidth="1"/>
    <col min="11527" max="11534" width="18.5546875" style="411"/>
    <col min="11535" max="11535" width="4" style="411" customWidth="1"/>
    <col min="11536" max="11536" width="5.5546875" style="411" customWidth="1"/>
    <col min="11537" max="11537" width="30.21875" style="411" customWidth="1"/>
    <col min="11538" max="11538" width="4.5546875" style="411" bestFit="1" customWidth="1"/>
    <col min="11539" max="11539" width="41" style="411" customWidth="1"/>
    <col min="11540" max="11541" width="14.5546875" style="411" customWidth="1"/>
    <col min="11542" max="11542" width="16.5546875" style="411" customWidth="1"/>
    <col min="11543" max="11545" width="14.5546875" style="411" customWidth="1"/>
    <col min="11546" max="11547" width="12.5546875" style="411" customWidth="1"/>
    <col min="11548" max="11548" width="16.5546875" style="411" customWidth="1"/>
    <col min="11549" max="11550" width="20.5546875" style="411" customWidth="1"/>
    <col min="11551" max="11551" width="11" style="411" bestFit="1" customWidth="1"/>
    <col min="11552" max="11552" width="17.21875" style="411" customWidth="1"/>
    <col min="11553" max="11553" width="11" style="411" bestFit="1" customWidth="1"/>
    <col min="11554" max="11554" width="8.77734375" style="411" customWidth="1"/>
    <col min="11555" max="11558" width="10.21875" style="411" bestFit="1" customWidth="1"/>
    <col min="11559" max="11560" width="11.21875" style="411" bestFit="1" customWidth="1"/>
    <col min="11561" max="11771" width="8.77734375" style="411" customWidth="1"/>
    <col min="11772" max="11772" width="2.5546875" style="411" customWidth="1"/>
    <col min="11773" max="11773" width="5.5546875" style="411" customWidth="1"/>
    <col min="11774" max="11774" width="23.77734375" style="411" customWidth="1"/>
    <col min="11775" max="11775" width="3.77734375" style="411" customWidth="1"/>
    <col min="11776" max="11776" width="35.77734375" style="411" customWidth="1"/>
    <col min="11777" max="11777" width="22.21875" style="411" customWidth="1"/>
    <col min="11778" max="11778" width="17.77734375" style="411" customWidth="1"/>
    <col min="11779" max="11779" width="19" style="411" customWidth="1"/>
    <col min="11780" max="11780" width="20.77734375" style="411" customWidth="1"/>
    <col min="11781" max="11781" width="16.77734375" style="411" customWidth="1"/>
    <col min="11782" max="11782" width="18.77734375" style="411" customWidth="1"/>
    <col min="11783" max="11790" width="18.5546875" style="411"/>
    <col min="11791" max="11791" width="4" style="411" customWidth="1"/>
    <col min="11792" max="11792" width="5.5546875" style="411" customWidth="1"/>
    <col min="11793" max="11793" width="30.21875" style="411" customWidth="1"/>
    <col min="11794" max="11794" width="4.5546875" style="411" bestFit="1" customWidth="1"/>
    <col min="11795" max="11795" width="41" style="411" customWidth="1"/>
    <col min="11796" max="11797" width="14.5546875" style="411" customWidth="1"/>
    <col min="11798" max="11798" width="16.5546875" style="411" customWidth="1"/>
    <col min="11799" max="11801" width="14.5546875" style="411" customWidth="1"/>
    <col min="11802" max="11803" width="12.5546875" style="411" customWidth="1"/>
    <col min="11804" max="11804" width="16.5546875" style="411" customWidth="1"/>
    <col min="11805" max="11806" width="20.5546875" style="411" customWidth="1"/>
    <col min="11807" max="11807" width="11" style="411" bestFit="1" customWidth="1"/>
    <col min="11808" max="11808" width="17.21875" style="411" customWidth="1"/>
    <col min="11809" max="11809" width="11" style="411" bestFit="1" customWidth="1"/>
    <col min="11810" max="11810" width="8.77734375" style="411" customWidth="1"/>
    <col min="11811" max="11814" width="10.21875" style="411" bestFit="1" customWidth="1"/>
    <col min="11815" max="11816" width="11.21875" style="411" bestFit="1" customWidth="1"/>
    <col min="11817" max="12027" width="8.77734375" style="411" customWidth="1"/>
    <col min="12028" max="12028" width="2.5546875" style="411" customWidth="1"/>
    <col min="12029" max="12029" width="5.5546875" style="411" customWidth="1"/>
    <col min="12030" max="12030" width="23.77734375" style="411" customWidth="1"/>
    <col min="12031" max="12031" width="3.77734375" style="411" customWidth="1"/>
    <col min="12032" max="12032" width="35.77734375" style="411" customWidth="1"/>
    <col min="12033" max="12033" width="22.21875" style="411" customWidth="1"/>
    <col min="12034" max="12034" width="17.77734375" style="411" customWidth="1"/>
    <col min="12035" max="12035" width="19" style="411" customWidth="1"/>
    <col min="12036" max="12036" width="20.77734375" style="411" customWidth="1"/>
    <col min="12037" max="12037" width="16.77734375" style="411" customWidth="1"/>
    <col min="12038" max="12038" width="18.77734375" style="411" customWidth="1"/>
    <col min="12039" max="12046" width="18.5546875" style="411"/>
    <col min="12047" max="12047" width="4" style="411" customWidth="1"/>
    <col min="12048" max="12048" width="5.5546875" style="411" customWidth="1"/>
    <col min="12049" max="12049" width="30.21875" style="411" customWidth="1"/>
    <col min="12050" max="12050" width="4.5546875" style="411" bestFit="1" customWidth="1"/>
    <col min="12051" max="12051" width="41" style="411" customWidth="1"/>
    <col min="12052" max="12053" width="14.5546875" style="411" customWidth="1"/>
    <col min="12054" max="12054" width="16.5546875" style="411" customWidth="1"/>
    <col min="12055" max="12057" width="14.5546875" style="411" customWidth="1"/>
    <col min="12058" max="12059" width="12.5546875" style="411" customWidth="1"/>
    <col min="12060" max="12060" width="16.5546875" style="411" customWidth="1"/>
    <col min="12061" max="12062" width="20.5546875" style="411" customWidth="1"/>
    <col min="12063" max="12063" width="11" style="411" bestFit="1" customWidth="1"/>
    <col min="12064" max="12064" width="17.21875" style="411" customWidth="1"/>
    <col min="12065" max="12065" width="11" style="411" bestFit="1" customWidth="1"/>
    <col min="12066" max="12066" width="8.77734375" style="411" customWidth="1"/>
    <col min="12067" max="12070" width="10.21875" style="411" bestFit="1" customWidth="1"/>
    <col min="12071" max="12072" width="11.21875" style="411" bestFit="1" customWidth="1"/>
    <col min="12073" max="12283" width="8.77734375" style="411" customWidth="1"/>
    <col min="12284" max="12284" width="2.5546875" style="411" customWidth="1"/>
    <col min="12285" max="12285" width="5.5546875" style="411" customWidth="1"/>
    <col min="12286" max="12286" width="23.77734375" style="411" customWidth="1"/>
    <col min="12287" max="12287" width="3.77734375" style="411" customWidth="1"/>
    <col min="12288" max="12288" width="35.77734375" style="411" customWidth="1"/>
    <col min="12289" max="12289" width="22.21875" style="411" customWidth="1"/>
    <col min="12290" max="12290" width="17.77734375" style="411" customWidth="1"/>
    <col min="12291" max="12291" width="19" style="411" customWidth="1"/>
    <col min="12292" max="12292" width="20.77734375" style="411" customWidth="1"/>
    <col min="12293" max="12293" width="16.77734375" style="411" customWidth="1"/>
    <col min="12294" max="12294" width="18.77734375" style="411" customWidth="1"/>
    <col min="12295" max="12302" width="18.5546875" style="411"/>
    <col min="12303" max="12303" width="4" style="411" customWidth="1"/>
    <col min="12304" max="12304" width="5.5546875" style="411" customWidth="1"/>
    <col min="12305" max="12305" width="30.21875" style="411" customWidth="1"/>
    <col min="12306" max="12306" width="4.5546875" style="411" bestFit="1" customWidth="1"/>
    <col min="12307" max="12307" width="41" style="411" customWidth="1"/>
    <col min="12308" max="12309" width="14.5546875" style="411" customWidth="1"/>
    <col min="12310" max="12310" width="16.5546875" style="411" customWidth="1"/>
    <col min="12311" max="12313" width="14.5546875" style="411" customWidth="1"/>
    <col min="12314" max="12315" width="12.5546875" style="411" customWidth="1"/>
    <col min="12316" max="12316" width="16.5546875" style="411" customWidth="1"/>
    <col min="12317" max="12318" width="20.5546875" style="411" customWidth="1"/>
    <col min="12319" max="12319" width="11" style="411" bestFit="1" customWidth="1"/>
    <col min="12320" max="12320" width="17.21875" style="411" customWidth="1"/>
    <col min="12321" max="12321" width="11" style="411" bestFit="1" customWidth="1"/>
    <col min="12322" max="12322" width="8.77734375" style="411" customWidth="1"/>
    <col min="12323" max="12326" width="10.21875" style="411" bestFit="1" customWidth="1"/>
    <col min="12327" max="12328" width="11.21875" style="411" bestFit="1" customWidth="1"/>
    <col min="12329" max="12539" width="8.77734375" style="411" customWidth="1"/>
    <col min="12540" max="12540" width="2.5546875" style="411" customWidth="1"/>
    <col min="12541" max="12541" width="5.5546875" style="411" customWidth="1"/>
    <col min="12542" max="12542" width="23.77734375" style="411" customWidth="1"/>
    <col min="12543" max="12543" width="3.77734375" style="411" customWidth="1"/>
    <col min="12544" max="12544" width="35.77734375" style="411" customWidth="1"/>
    <col min="12545" max="12545" width="22.21875" style="411" customWidth="1"/>
    <col min="12546" max="12546" width="17.77734375" style="411" customWidth="1"/>
    <col min="12547" max="12547" width="19" style="411" customWidth="1"/>
    <col min="12548" max="12548" width="20.77734375" style="411" customWidth="1"/>
    <col min="12549" max="12549" width="16.77734375" style="411" customWidth="1"/>
    <col min="12550" max="12550" width="18.77734375" style="411" customWidth="1"/>
    <col min="12551" max="12558" width="18.5546875" style="411"/>
    <col min="12559" max="12559" width="4" style="411" customWidth="1"/>
    <col min="12560" max="12560" width="5.5546875" style="411" customWidth="1"/>
    <col min="12561" max="12561" width="30.21875" style="411" customWidth="1"/>
    <col min="12562" max="12562" width="4.5546875" style="411" bestFit="1" customWidth="1"/>
    <col min="12563" max="12563" width="41" style="411" customWidth="1"/>
    <col min="12564" max="12565" width="14.5546875" style="411" customWidth="1"/>
    <col min="12566" max="12566" width="16.5546875" style="411" customWidth="1"/>
    <col min="12567" max="12569" width="14.5546875" style="411" customWidth="1"/>
    <col min="12570" max="12571" width="12.5546875" style="411" customWidth="1"/>
    <col min="12572" max="12572" width="16.5546875" style="411" customWidth="1"/>
    <col min="12573" max="12574" width="20.5546875" style="411" customWidth="1"/>
    <col min="12575" max="12575" width="11" style="411" bestFit="1" customWidth="1"/>
    <col min="12576" max="12576" width="17.21875" style="411" customWidth="1"/>
    <col min="12577" max="12577" width="11" style="411" bestFit="1" customWidth="1"/>
    <col min="12578" max="12578" width="8.77734375" style="411" customWidth="1"/>
    <col min="12579" max="12582" width="10.21875" style="411" bestFit="1" customWidth="1"/>
    <col min="12583" max="12584" width="11.21875" style="411" bestFit="1" customWidth="1"/>
    <col min="12585" max="12795" width="8.77734375" style="411" customWidth="1"/>
    <col min="12796" max="12796" width="2.5546875" style="411" customWidth="1"/>
    <col min="12797" max="12797" width="5.5546875" style="411" customWidth="1"/>
    <col min="12798" max="12798" width="23.77734375" style="411" customWidth="1"/>
    <col min="12799" max="12799" width="3.77734375" style="411" customWidth="1"/>
    <col min="12800" max="12800" width="35.77734375" style="411" customWidth="1"/>
    <col min="12801" max="12801" width="22.21875" style="411" customWidth="1"/>
    <col min="12802" max="12802" width="17.77734375" style="411" customWidth="1"/>
    <col min="12803" max="12803" width="19" style="411" customWidth="1"/>
    <col min="12804" max="12804" width="20.77734375" style="411" customWidth="1"/>
    <col min="12805" max="12805" width="16.77734375" style="411" customWidth="1"/>
    <col min="12806" max="12806" width="18.77734375" style="411" customWidth="1"/>
    <col min="12807" max="12814" width="18.5546875" style="411"/>
    <col min="12815" max="12815" width="4" style="411" customWidth="1"/>
    <col min="12816" max="12816" width="5.5546875" style="411" customWidth="1"/>
    <col min="12817" max="12817" width="30.21875" style="411" customWidth="1"/>
    <col min="12818" max="12818" width="4.5546875" style="411" bestFit="1" customWidth="1"/>
    <col min="12819" max="12819" width="41" style="411" customWidth="1"/>
    <col min="12820" max="12821" width="14.5546875" style="411" customWidth="1"/>
    <col min="12822" max="12822" width="16.5546875" style="411" customWidth="1"/>
    <col min="12823" max="12825" width="14.5546875" style="411" customWidth="1"/>
    <col min="12826" max="12827" width="12.5546875" style="411" customWidth="1"/>
    <col min="12828" max="12828" width="16.5546875" style="411" customWidth="1"/>
    <col min="12829" max="12830" width="20.5546875" style="411" customWidth="1"/>
    <col min="12831" max="12831" width="11" style="411" bestFit="1" customWidth="1"/>
    <col min="12832" max="12832" width="17.21875" style="411" customWidth="1"/>
    <col min="12833" max="12833" width="11" style="411" bestFit="1" customWidth="1"/>
    <col min="12834" max="12834" width="8.77734375" style="411" customWidth="1"/>
    <col min="12835" max="12838" width="10.21875" style="411" bestFit="1" customWidth="1"/>
    <col min="12839" max="12840" width="11.21875" style="411" bestFit="1" customWidth="1"/>
    <col min="12841" max="13051" width="8.77734375" style="411" customWidth="1"/>
    <col min="13052" max="13052" width="2.5546875" style="411" customWidth="1"/>
    <col min="13053" max="13053" width="5.5546875" style="411" customWidth="1"/>
    <col min="13054" max="13054" width="23.77734375" style="411" customWidth="1"/>
    <col min="13055" max="13055" width="3.77734375" style="411" customWidth="1"/>
    <col min="13056" max="13056" width="35.77734375" style="411" customWidth="1"/>
    <col min="13057" max="13057" width="22.21875" style="411" customWidth="1"/>
    <col min="13058" max="13058" width="17.77734375" style="411" customWidth="1"/>
    <col min="13059" max="13059" width="19" style="411" customWidth="1"/>
    <col min="13060" max="13060" width="20.77734375" style="411" customWidth="1"/>
    <col min="13061" max="13061" width="16.77734375" style="411" customWidth="1"/>
    <col min="13062" max="13062" width="18.77734375" style="411" customWidth="1"/>
    <col min="13063" max="13070" width="18.5546875" style="411"/>
    <col min="13071" max="13071" width="4" style="411" customWidth="1"/>
    <col min="13072" max="13072" width="5.5546875" style="411" customWidth="1"/>
    <col min="13073" max="13073" width="30.21875" style="411" customWidth="1"/>
    <col min="13074" max="13074" width="4.5546875" style="411" bestFit="1" customWidth="1"/>
    <col min="13075" max="13075" width="41" style="411" customWidth="1"/>
    <col min="13076" max="13077" width="14.5546875" style="411" customWidth="1"/>
    <col min="13078" max="13078" width="16.5546875" style="411" customWidth="1"/>
    <col min="13079" max="13081" width="14.5546875" style="411" customWidth="1"/>
    <col min="13082" max="13083" width="12.5546875" style="411" customWidth="1"/>
    <col min="13084" max="13084" width="16.5546875" style="411" customWidth="1"/>
    <col min="13085" max="13086" width="20.5546875" style="411" customWidth="1"/>
    <col min="13087" max="13087" width="11" style="411" bestFit="1" customWidth="1"/>
    <col min="13088" max="13088" width="17.21875" style="411" customWidth="1"/>
    <col min="13089" max="13089" width="11" style="411" bestFit="1" customWidth="1"/>
    <col min="13090" max="13090" width="8.77734375" style="411" customWidth="1"/>
    <col min="13091" max="13094" width="10.21875" style="411" bestFit="1" customWidth="1"/>
    <col min="13095" max="13096" width="11.21875" style="411" bestFit="1" customWidth="1"/>
    <col min="13097" max="13307" width="8.77734375" style="411" customWidth="1"/>
    <col min="13308" max="13308" width="2.5546875" style="411" customWidth="1"/>
    <col min="13309" max="13309" width="5.5546875" style="411" customWidth="1"/>
    <col min="13310" max="13310" width="23.77734375" style="411" customWidth="1"/>
    <col min="13311" max="13311" width="3.77734375" style="411" customWidth="1"/>
    <col min="13312" max="13312" width="35.77734375" style="411" customWidth="1"/>
    <col min="13313" max="13313" width="22.21875" style="411" customWidth="1"/>
    <col min="13314" max="13314" width="17.77734375" style="411" customWidth="1"/>
    <col min="13315" max="13315" width="19" style="411" customWidth="1"/>
    <col min="13316" max="13316" width="20.77734375" style="411" customWidth="1"/>
    <col min="13317" max="13317" width="16.77734375" style="411" customWidth="1"/>
    <col min="13318" max="13318" width="18.77734375" style="411" customWidth="1"/>
    <col min="13319" max="13326" width="18.5546875" style="411"/>
    <col min="13327" max="13327" width="4" style="411" customWidth="1"/>
    <col min="13328" max="13328" width="5.5546875" style="411" customWidth="1"/>
    <col min="13329" max="13329" width="30.21875" style="411" customWidth="1"/>
    <col min="13330" max="13330" width="4.5546875" style="411" bestFit="1" customWidth="1"/>
    <col min="13331" max="13331" width="41" style="411" customWidth="1"/>
    <col min="13332" max="13333" width="14.5546875" style="411" customWidth="1"/>
    <col min="13334" max="13334" width="16.5546875" style="411" customWidth="1"/>
    <col min="13335" max="13337" width="14.5546875" style="411" customWidth="1"/>
    <col min="13338" max="13339" width="12.5546875" style="411" customWidth="1"/>
    <col min="13340" max="13340" width="16.5546875" style="411" customWidth="1"/>
    <col min="13341" max="13342" width="20.5546875" style="411" customWidth="1"/>
    <col min="13343" max="13343" width="11" style="411" bestFit="1" customWidth="1"/>
    <col min="13344" max="13344" width="17.21875" style="411" customWidth="1"/>
    <col min="13345" max="13345" width="11" style="411" bestFit="1" customWidth="1"/>
    <col min="13346" max="13346" width="8.77734375" style="411" customWidth="1"/>
    <col min="13347" max="13350" width="10.21875" style="411" bestFit="1" customWidth="1"/>
    <col min="13351" max="13352" width="11.21875" style="411" bestFit="1" customWidth="1"/>
    <col min="13353" max="13563" width="8.77734375" style="411" customWidth="1"/>
    <col min="13564" max="13564" width="2.5546875" style="411" customWidth="1"/>
    <col min="13565" max="13565" width="5.5546875" style="411" customWidth="1"/>
    <col min="13566" max="13566" width="23.77734375" style="411" customWidth="1"/>
    <col min="13567" max="13567" width="3.77734375" style="411" customWidth="1"/>
    <col min="13568" max="13568" width="35.77734375" style="411" customWidth="1"/>
    <col min="13569" max="13569" width="22.21875" style="411" customWidth="1"/>
    <col min="13570" max="13570" width="17.77734375" style="411" customWidth="1"/>
    <col min="13571" max="13571" width="19" style="411" customWidth="1"/>
    <col min="13572" max="13572" width="20.77734375" style="411" customWidth="1"/>
    <col min="13573" max="13573" width="16.77734375" style="411" customWidth="1"/>
    <col min="13574" max="13574" width="18.77734375" style="411" customWidth="1"/>
    <col min="13575" max="13582" width="18.5546875" style="411"/>
    <col min="13583" max="13583" width="4" style="411" customWidth="1"/>
    <col min="13584" max="13584" width="5.5546875" style="411" customWidth="1"/>
    <col min="13585" max="13585" width="30.21875" style="411" customWidth="1"/>
    <col min="13586" max="13586" width="4.5546875" style="411" bestFit="1" customWidth="1"/>
    <col min="13587" max="13587" width="41" style="411" customWidth="1"/>
    <col min="13588" max="13589" width="14.5546875" style="411" customWidth="1"/>
    <col min="13590" max="13590" width="16.5546875" style="411" customWidth="1"/>
    <col min="13591" max="13593" width="14.5546875" style="411" customWidth="1"/>
    <col min="13594" max="13595" width="12.5546875" style="411" customWidth="1"/>
    <col min="13596" max="13596" width="16.5546875" style="411" customWidth="1"/>
    <col min="13597" max="13598" width="20.5546875" style="411" customWidth="1"/>
    <col min="13599" max="13599" width="11" style="411" bestFit="1" customWidth="1"/>
    <col min="13600" max="13600" width="17.21875" style="411" customWidth="1"/>
    <col min="13601" max="13601" width="11" style="411" bestFit="1" customWidth="1"/>
    <col min="13602" max="13602" width="8.77734375" style="411" customWidth="1"/>
    <col min="13603" max="13606" width="10.21875" style="411" bestFit="1" customWidth="1"/>
    <col min="13607" max="13608" width="11.21875" style="411" bestFit="1" customWidth="1"/>
    <col min="13609" max="13819" width="8.77734375" style="411" customWidth="1"/>
    <col min="13820" max="13820" width="2.5546875" style="411" customWidth="1"/>
    <col min="13821" max="13821" width="5.5546875" style="411" customWidth="1"/>
    <col min="13822" max="13822" width="23.77734375" style="411" customWidth="1"/>
    <col min="13823" max="13823" width="3.77734375" style="411" customWidth="1"/>
    <col min="13824" max="13824" width="35.77734375" style="411" customWidth="1"/>
    <col min="13825" max="13825" width="22.21875" style="411" customWidth="1"/>
    <col min="13826" max="13826" width="17.77734375" style="411" customWidth="1"/>
    <col min="13827" max="13827" width="19" style="411" customWidth="1"/>
    <col min="13828" max="13828" width="20.77734375" style="411" customWidth="1"/>
    <col min="13829" max="13829" width="16.77734375" style="411" customWidth="1"/>
    <col min="13830" max="13830" width="18.77734375" style="411" customWidth="1"/>
    <col min="13831" max="13838" width="18.5546875" style="411"/>
    <col min="13839" max="13839" width="4" style="411" customWidth="1"/>
    <col min="13840" max="13840" width="5.5546875" style="411" customWidth="1"/>
    <col min="13841" max="13841" width="30.21875" style="411" customWidth="1"/>
    <col min="13842" max="13842" width="4.5546875" style="411" bestFit="1" customWidth="1"/>
    <col min="13843" max="13843" width="41" style="411" customWidth="1"/>
    <col min="13844" max="13845" width="14.5546875" style="411" customWidth="1"/>
    <col min="13846" max="13846" width="16.5546875" style="411" customWidth="1"/>
    <col min="13847" max="13849" width="14.5546875" style="411" customWidth="1"/>
    <col min="13850" max="13851" width="12.5546875" style="411" customWidth="1"/>
    <col min="13852" max="13852" width="16.5546875" style="411" customWidth="1"/>
    <col min="13853" max="13854" width="20.5546875" style="411" customWidth="1"/>
    <col min="13855" max="13855" width="11" style="411" bestFit="1" customWidth="1"/>
    <col min="13856" max="13856" width="17.21875" style="411" customWidth="1"/>
    <col min="13857" max="13857" width="11" style="411" bestFit="1" customWidth="1"/>
    <col min="13858" max="13858" width="8.77734375" style="411" customWidth="1"/>
    <col min="13859" max="13862" width="10.21875" style="411" bestFit="1" customWidth="1"/>
    <col min="13863" max="13864" width="11.21875" style="411" bestFit="1" customWidth="1"/>
    <col min="13865" max="14075" width="8.77734375" style="411" customWidth="1"/>
    <col min="14076" max="14076" width="2.5546875" style="411" customWidth="1"/>
    <col min="14077" max="14077" width="5.5546875" style="411" customWidth="1"/>
    <col min="14078" max="14078" width="23.77734375" style="411" customWidth="1"/>
    <col min="14079" max="14079" width="3.77734375" style="411" customWidth="1"/>
    <col min="14080" max="14080" width="35.77734375" style="411" customWidth="1"/>
    <col min="14081" max="14081" width="22.21875" style="411" customWidth="1"/>
    <col min="14082" max="14082" width="17.77734375" style="411" customWidth="1"/>
    <col min="14083" max="14083" width="19" style="411" customWidth="1"/>
    <col min="14084" max="14084" width="20.77734375" style="411" customWidth="1"/>
    <col min="14085" max="14085" width="16.77734375" style="411" customWidth="1"/>
    <col min="14086" max="14086" width="18.77734375" style="411" customWidth="1"/>
    <col min="14087" max="14094" width="18.5546875" style="411"/>
    <col min="14095" max="14095" width="4" style="411" customWidth="1"/>
    <col min="14096" max="14096" width="5.5546875" style="411" customWidth="1"/>
    <col min="14097" max="14097" width="30.21875" style="411" customWidth="1"/>
    <col min="14098" max="14098" width="4.5546875" style="411" bestFit="1" customWidth="1"/>
    <col min="14099" max="14099" width="41" style="411" customWidth="1"/>
    <col min="14100" max="14101" width="14.5546875" style="411" customWidth="1"/>
    <col min="14102" max="14102" width="16.5546875" style="411" customWidth="1"/>
    <col min="14103" max="14105" width="14.5546875" style="411" customWidth="1"/>
    <col min="14106" max="14107" width="12.5546875" style="411" customWidth="1"/>
    <col min="14108" max="14108" width="16.5546875" style="411" customWidth="1"/>
    <col min="14109" max="14110" width="20.5546875" style="411" customWidth="1"/>
    <col min="14111" max="14111" width="11" style="411" bestFit="1" customWidth="1"/>
    <col min="14112" max="14112" width="17.21875" style="411" customWidth="1"/>
    <col min="14113" max="14113" width="11" style="411" bestFit="1" customWidth="1"/>
    <col min="14114" max="14114" width="8.77734375" style="411" customWidth="1"/>
    <col min="14115" max="14118" width="10.21875" style="411" bestFit="1" customWidth="1"/>
    <col min="14119" max="14120" width="11.21875" style="411" bestFit="1" customWidth="1"/>
    <col min="14121" max="14331" width="8.77734375" style="411" customWidth="1"/>
    <col min="14332" max="14332" width="2.5546875" style="411" customWidth="1"/>
    <col min="14333" max="14333" width="5.5546875" style="411" customWidth="1"/>
    <col min="14334" max="14334" width="23.77734375" style="411" customWidth="1"/>
    <col min="14335" max="14335" width="3.77734375" style="411" customWidth="1"/>
    <col min="14336" max="14336" width="35.77734375" style="411" customWidth="1"/>
    <col min="14337" max="14337" width="22.21875" style="411" customWidth="1"/>
    <col min="14338" max="14338" width="17.77734375" style="411" customWidth="1"/>
    <col min="14339" max="14339" width="19" style="411" customWidth="1"/>
    <col min="14340" max="14340" width="20.77734375" style="411" customWidth="1"/>
    <col min="14341" max="14341" width="16.77734375" style="411" customWidth="1"/>
    <col min="14342" max="14342" width="18.77734375" style="411" customWidth="1"/>
    <col min="14343" max="14350" width="18.5546875" style="411"/>
    <col min="14351" max="14351" width="4" style="411" customWidth="1"/>
    <col min="14352" max="14352" width="5.5546875" style="411" customWidth="1"/>
    <col min="14353" max="14353" width="30.21875" style="411" customWidth="1"/>
    <col min="14354" max="14354" width="4.5546875" style="411" bestFit="1" customWidth="1"/>
    <col min="14355" max="14355" width="41" style="411" customWidth="1"/>
    <col min="14356" max="14357" width="14.5546875" style="411" customWidth="1"/>
    <col min="14358" max="14358" width="16.5546875" style="411" customWidth="1"/>
    <col min="14359" max="14361" width="14.5546875" style="411" customWidth="1"/>
    <col min="14362" max="14363" width="12.5546875" style="411" customWidth="1"/>
    <col min="14364" max="14364" width="16.5546875" style="411" customWidth="1"/>
    <col min="14365" max="14366" width="20.5546875" style="411" customWidth="1"/>
    <col min="14367" max="14367" width="11" style="411" bestFit="1" customWidth="1"/>
    <col min="14368" max="14368" width="17.21875" style="411" customWidth="1"/>
    <col min="14369" max="14369" width="11" style="411" bestFit="1" customWidth="1"/>
    <col min="14370" max="14370" width="8.77734375" style="411" customWidth="1"/>
    <col min="14371" max="14374" width="10.21875" style="411" bestFit="1" customWidth="1"/>
    <col min="14375" max="14376" width="11.21875" style="411" bestFit="1" customWidth="1"/>
    <col min="14377" max="14587" width="8.77734375" style="411" customWidth="1"/>
    <col min="14588" max="14588" width="2.5546875" style="411" customWidth="1"/>
    <col min="14589" max="14589" width="5.5546875" style="411" customWidth="1"/>
    <col min="14590" max="14590" width="23.77734375" style="411" customWidth="1"/>
    <col min="14591" max="14591" width="3.77734375" style="411" customWidth="1"/>
    <col min="14592" max="14592" width="35.77734375" style="411" customWidth="1"/>
    <col min="14593" max="14593" width="22.21875" style="411" customWidth="1"/>
    <col min="14594" max="14594" width="17.77734375" style="411" customWidth="1"/>
    <col min="14595" max="14595" width="19" style="411" customWidth="1"/>
    <col min="14596" max="14596" width="20.77734375" style="411" customWidth="1"/>
    <col min="14597" max="14597" width="16.77734375" style="411" customWidth="1"/>
    <col min="14598" max="14598" width="18.77734375" style="411" customWidth="1"/>
    <col min="14599" max="14606" width="18.5546875" style="411"/>
    <col min="14607" max="14607" width="4" style="411" customWidth="1"/>
    <col min="14608" max="14608" width="5.5546875" style="411" customWidth="1"/>
    <col min="14609" max="14609" width="30.21875" style="411" customWidth="1"/>
    <col min="14610" max="14610" width="4.5546875" style="411" bestFit="1" customWidth="1"/>
    <col min="14611" max="14611" width="41" style="411" customWidth="1"/>
    <col min="14612" max="14613" width="14.5546875" style="411" customWidth="1"/>
    <col min="14614" max="14614" width="16.5546875" style="411" customWidth="1"/>
    <col min="14615" max="14617" width="14.5546875" style="411" customWidth="1"/>
    <col min="14618" max="14619" width="12.5546875" style="411" customWidth="1"/>
    <col min="14620" max="14620" width="16.5546875" style="411" customWidth="1"/>
    <col min="14621" max="14622" width="20.5546875" style="411" customWidth="1"/>
    <col min="14623" max="14623" width="11" style="411" bestFit="1" customWidth="1"/>
    <col min="14624" max="14624" width="17.21875" style="411" customWidth="1"/>
    <col min="14625" max="14625" width="11" style="411" bestFit="1" customWidth="1"/>
    <col min="14626" max="14626" width="8.77734375" style="411" customWidth="1"/>
    <col min="14627" max="14630" width="10.21875" style="411" bestFit="1" customWidth="1"/>
    <col min="14631" max="14632" width="11.21875" style="411" bestFit="1" customWidth="1"/>
    <col min="14633" max="14843" width="8.77734375" style="411" customWidth="1"/>
    <col min="14844" max="14844" width="2.5546875" style="411" customWidth="1"/>
    <col min="14845" max="14845" width="5.5546875" style="411" customWidth="1"/>
    <col min="14846" max="14846" width="23.77734375" style="411" customWidth="1"/>
    <col min="14847" max="14847" width="3.77734375" style="411" customWidth="1"/>
    <col min="14848" max="14848" width="35.77734375" style="411" customWidth="1"/>
    <col min="14849" max="14849" width="22.21875" style="411" customWidth="1"/>
    <col min="14850" max="14850" width="17.77734375" style="411" customWidth="1"/>
    <col min="14851" max="14851" width="19" style="411" customWidth="1"/>
    <col min="14852" max="14852" width="20.77734375" style="411" customWidth="1"/>
    <col min="14853" max="14853" width="16.77734375" style="411" customWidth="1"/>
    <col min="14854" max="14854" width="18.77734375" style="411" customWidth="1"/>
    <col min="14855" max="14862" width="18.5546875" style="411"/>
    <col min="14863" max="14863" width="4" style="411" customWidth="1"/>
    <col min="14864" max="14864" width="5.5546875" style="411" customWidth="1"/>
    <col min="14865" max="14865" width="30.21875" style="411" customWidth="1"/>
    <col min="14866" max="14866" width="4.5546875" style="411" bestFit="1" customWidth="1"/>
    <col min="14867" max="14867" width="41" style="411" customWidth="1"/>
    <col min="14868" max="14869" width="14.5546875" style="411" customWidth="1"/>
    <col min="14870" max="14870" width="16.5546875" style="411" customWidth="1"/>
    <col min="14871" max="14873" width="14.5546875" style="411" customWidth="1"/>
    <col min="14874" max="14875" width="12.5546875" style="411" customWidth="1"/>
    <col min="14876" max="14876" width="16.5546875" style="411" customWidth="1"/>
    <col min="14877" max="14878" width="20.5546875" style="411" customWidth="1"/>
    <col min="14879" max="14879" width="11" style="411" bestFit="1" customWidth="1"/>
    <col min="14880" max="14880" width="17.21875" style="411" customWidth="1"/>
    <col min="14881" max="14881" width="11" style="411" bestFit="1" customWidth="1"/>
    <col min="14882" max="14882" width="8.77734375" style="411" customWidth="1"/>
    <col min="14883" max="14886" width="10.21875" style="411" bestFit="1" customWidth="1"/>
    <col min="14887" max="14888" width="11.21875" style="411" bestFit="1" customWidth="1"/>
    <col min="14889" max="15099" width="8.77734375" style="411" customWidth="1"/>
    <col min="15100" max="15100" width="2.5546875" style="411" customWidth="1"/>
    <col min="15101" max="15101" width="5.5546875" style="411" customWidth="1"/>
    <col min="15102" max="15102" width="23.77734375" style="411" customWidth="1"/>
    <col min="15103" max="15103" width="3.77734375" style="411" customWidth="1"/>
    <col min="15104" max="15104" width="35.77734375" style="411" customWidth="1"/>
    <col min="15105" max="15105" width="22.21875" style="411" customWidth="1"/>
    <col min="15106" max="15106" width="17.77734375" style="411" customWidth="1"/>
    <col min="15107" max="15107" width="19" style="411" customWidth="1"/>
    <col min="15108" max="15108" width="20.77734375" style="411" customWidth="1"/>
    <col min="15109" max="15109" width="16.77734375" style="411" customWidth="1"/>
    <col min="15110" max="15110" width="18.77734375" style="411" customWidth="1"/>
    <col min="15111" max="15118" width="18.5546875" style="411"/>
    <col min="15119" max="15119" width="4" style="411" customWidth="1"/>
    <col min="15120" max="15120" width="5.5546875" style="411" customWidth="1"/>
    <col min="15121" max="15121" width="30.21875" style="411" customWidth="1"/>
    <col min="15122" max="15122" width="4.5546875" style="411" bestFit="1" customWidth="1"/>
    <col min="15123" max="15123" width="41" style="411" customWidth="1"/>
    <col min="15124" max="15125" width="14.5546875" style="411" customWidth="1"/>
    <col min="15126" max="15126" width="16.5546875" style="411" customWidth="1"/>
    <col min="15127" max="15129" width="14.5546875" style="411" customWidth="1"/>
    <col min="15130" max="15131" width="12.5546875" style="411" customWidth="1"/>
    <col min="15132" max="15132" width="16.5546875" style="411" customWidth="1"/>
    <col min="15133" max="15134" width="20.5546875" style="411" customWidth="1"/>
    <col min="15135" max="15135" width="11" style="411" bestFit="1" customWidth="1"/>
    <col min="15136" max="15136" width="17.21875" style="411" customWidth="1"/>
    <col min="15137" max="15137" width="11" style="411" bestFit="1" customWidth="1"/>
    <col min="15138" max="15138" width="8.77734375" style="411" customWidth="1"/>
    <col min="15139" max="15142" width="10.21875" style="411" bestFit="1" customWidth="1"/>
    <col min="15143" max="15144" width="11.21875" style="411" bestFit="1" customWidth="1"/>
    <col min="15145" max="15355" width="8.77734375" style="411" customWidth="1"/>
    <col min="15356" max="15356" width="2.5546875" style="411" customWidth="1"/>
    <col min="15357" max="15357" width="5.5546875" style="411" customWidth="1"/>
    <col min="15358" max="15358" width="23.77734375" style="411" customWidth="1"/>
    <col min="15359" max="15359" width="3.77734375" style="411" customWidth="1"/>
    <col min="15360" max="15360" width="35.77734375" style="411" customWidth="1"/>
    <col min="15361" max="15361" width="22.21875" style="411" customWidth="1"/>
    <col min="15362" max="15362" width="17.77734375" style="411" customWidth="1"/>
    <col min="15363" max="15363" width="19" style="411" customWidth="1"/>
    <col min="15364" max="15364" width="20.77734375" style="411" customWidth="1"/>
    <col min="15365" max="15365" width="16.77734375" style="411" customWidth="1"/>
    <col min="15366" max="15366" width="18.77734375" style="411" customWidth="1"/>
    <col min="15367" max="15374" width="18.5546875" style="411"/>
    <col min="15375" max="15375" width="4" style="411" customWidth="1"/>
    <col min="15376" max="15376" width="5.5546875" style="411" customWidth="1"/>
    <col min="15377" max="15377" width="30.21875" style="411" customWidth="1"/>
    <col min="15378" max="15378" width="4.5546875" style="411" bestFit="1" customWidth="1"/>
    <col min="15379" max="15379" width="41" style="411" customWidth="1"/>
    <col min="15380" max="15381" width="14.5546875" style="411" customWidth="1"/>
    <col min="15382" max="15382" width="16.5546875" style="411" customWidth="1"/>
    <col min="15383" max="15385" width="14.5546875" style="411" customWidth="1"/>
    <col min="15386" max="15387" width="12.5546875" style="411" customWidth="1"/>
    <col min="15388" max="15388" width="16.5546875" style="411" customWidth="1"/>
    <col min="15389" max="15390" width="20.5546875" style="411" customWidth="1"/>
    <col min="15391" max="15391" width="11" style="411" bestFit="1" customWidth="1"/>
    <col min="15392" max="15392" width="17.21875" style="411" customWidth="1"/>
    <col min="15393" max="15393" width="11" style="411" bestFit="1" customWidth="1"/>
    <col min="15394" max="15394" width="8.77734375" style="411" customWidth="1"/>
    <col min="15395" max="15398" width="10.21875" style="411" bestFit="1" customWidth="1"/>
    <col min="15399" max="15400" width="11.21875" style="411" bestFit="1" customWidth="1"/>
    <col min="15401" max="15611" width="8.77734375" style="411" customWidth="1"/>
    <col min="15612" max="15612" width="2.5546875" style="411" customWidth="1"/>
    <col min="15613" max="15613" width="5.5546875" style="411" customWidth="1"/>
    <col min="15614" max="15614" width="23.77734375" style="411" customWidth="1"/>
    <col min="15615" max="15615" width="3.77734375" style="411" customWidth="1"/>
    <col min="15616" max="15616" width="35.77734375" style="411" customWidth="1"/>
    <col min="15617" max="15617" width="22.21875" style="411" customWidth="1"/>
    <col min="15618" max="15618" width="17.77734375" style="411" customWidth="1"/>
    <col min="15619" max="15619" width="19" style="411" customWidth="1"/>
    <col min="15620" max="15620" width="20.77734375" style="411" customWidth="1"/>
    <col min="15621" max="15621" width="16.77734375" style="411" customWidth="1"/>
    <col min="15622" max="15622" width="18.77734375" style="411" customWidth="1"/>
    <col min="15623" max="15630" width="18.5546875" style="411"/>
    <col min="15631" max="15631" width="4" style="411" customWidth="1"/>
    <col min="15632" max="15632" width="5.5546875" style="411" customWidth="1"/>
    <col min="15633" max="15633" width="30.21875" style="411" customWidth="1"/>
    <col min="15634" max="15634" width="4.5546875" style="411" bestFit="1" customWidth="1"/>
    <col min="15635" max="15635" width="41" style="411" customWidth="1"/>
    <col min="15636" max="15637" width="14.5546875" style="411" customWidth="1"/>
    <col min="15638" max="15638" width="16.5546875" style="411" customWidth="1"/>
    <col min="15639" max="15641" width="14.5546875" style="411" customWidth="1"/>
    <col min="15642" max="15643" width="12.5546875" style="411" customWidth="1"/>
    <col min="15644" max="15644" width="16.5546875" style="411" customWidth="1"/>
    <col min="15645" max="15646" width="20.5546875" style="411" customWidth="1"/>
    <col min="15647" max="15647" width="11" style="411" bestFit="1" customWidth="1"/>
    <col min="15648" max="15648" width="17.21875" style="411" customWidth="1"/>
    <col min="15649" max="15649" width="11" style="411" bestFit="1" customWidth="1"/>
    <col min="15650" max="15650" width="8.77734375" style="411" customWidth="1"/>
    <col min="15651" max="15654" width="10.21875" style="411" bestFit="1" customWidth="1"/>
    <col min="15655" max="15656" width="11.21875" style="411" bestFit="1" customWidth="1"/>
    <col min="15657" max="15867" width="8.77734375" style="411" customWidth="1"/>
    <col min="15868" max="15868" width="2.5546875" style="411" customWidth="1"/>
    <col min="15869" max="15869" width="5.5546875" style="411" customWidth="1"/>
    <col min="15870" max="15870" width="23.77734375" style="411" customWidth="1"/>
    <col min="15871" max="15871" width="3.77734375" style="411" customWidth="1"/>
    <col min="15872" max="15872" width="35.77734375" style="411" customWidth="1"/>
    <col min="15873" max="15873" width="22.21875" style="411" customWidth="1"/>
    <col min="15874" max="15874" width="17.77734375" style="411" customWidth="1"/>
    <col min="15875" max="15875" width="19" style="411" customWidth="1"/>
    <col min="15876" max="15876" width="20.77734375" style="411" customWidth="1"/>
    <col min="15877" max="15877" width="16.77734375" style="411" customWidth="1"/>
    <col min="15878" max="15878" width="18.77734375" style="411" customWidth="1"/>
    <col min="15879" max="15886" width="18.5546875" style="411"/>
    <col min="15887" max="15887" width="4" style="411" customWidth="1"/>
    <col min="15888" max="15888" width="5.5546875" style="411" customWidth="1"/>
    <col min="15889" max="15889" width="30.21875" style="411" customWidth="1"/>
    <col min="15890" max="15890" width="4.5546875" style="411" bestFit="1" customWidth="1"/>
    <col min="15891" max="15891" width="41" style="411" customWidth="1"/>
    <col min="15892" max="15893" width="14.5546875" style="411" customWidth="1"/>
    <col min="15894" max="15894" width="16.5546875" style="411" customWidth="1"/>
    <col min="15895" max="15897" width="14.5546875" style="411" customWidth="1"/>
    <col min="15898" max="15899" width="12.5546875" style="411" customWidth="1"/>
    <col min="15900" max="15900" width="16.5546875" style="411" customWidth="1"/>
    <col min="15901" max="15902" width="20.5546875" style="411" customWidth="1"/>
    <col min="15903" max="15903" width="11" style="411" bestFit="1" customWidth="1"/>
    <col min="15904" max="15904" width="17.21875" style="411" customWidth="1"/>
    <col min="15905" max="15905" width="11" style="411" bestFit="1" customWidth="1"/>
    <col min="15906" max="15906" width="8.77734375" style="411" customWidth="1"/>
    <col min="15907" max="15910" width="10.21875" style="411" bestFit="1" customWidth="1"/>
    <col min="15911" max="15912" width="11.21875" style="411" bestFit="1" customWidth="1"/>
    <col min="15913" max="16123" width="8.77734375" style="411" customWidth="1"/>
    <col min="16124" max="16124" width="2.5546875" style="411" customWidth="1"/>
    <col min="16125" max="16125" width="5.5546875" style="411" customWidth="1"/>
    <col min="16126" max="16126" width="23.77734375" style="411" customWidth="1"/>
    <col min="16127" max="16127" width="3.77734375" style="411" customWidth="1"/>
    <col min="16128" max="16128" width="35.77734375" style="411" customWidth="1"/>
    <col min="16129" max="16129" width="22.21875" style="411" customWidth="1"/>
    <col min="16130" max="16130" width="17.77734375" style="411" customWidth="1"/>
    <col min="16131" max="16131" width="19" style="411" customWidth="1"/>
    <col min="16132" max="16132" width="20.77734375" style="411" customWidth="1"/>
    <col min="16133" max="16133" width="16.77734375" style="411" customWidth="1"/>
    <col min="16134" max="16134" width="18.77734375" style="411" customWidth="1"/>
    <col min="16135" max="16142" width="18.5546875" style="411"/>
    <col min="16143" max="16143" width="4" style="411" customWidth="1"/>
    <col min="16144" max="16144" width="5.5546875" style="411" customWidth="1"/>
    <col min="16145" max="16145" width="30.21875" style="411" customWidth="1"/>
    <col min="16146" max="16146" width="4.5546875" style="411" bestFit="1" customWidth="1"/>
    <col min="16147" max="16147" width="41" style="411" customWidth="1"/>
    <col min="16148" max="16149" width="14.5546875" style="411" customWidth="1"/>
    <col min="16150" max="16150" width="16.5546875" style="411" customWidth="1"/>
    <col min="16151" max="16153" width="14.5546875" style="411" customWidth="1"/>
    <col min="16154" max="16155" width="12.5546875" style="411" customWidth="1"/>
    <col min="16156" max="16156" width="16.5546875" style="411" customWidth="1"/>
    <col min="16157" max="16158" width="20.5546875" style="411" customWidth="1"/>
    <col min="16159" max="16159" width="11" style="411" bestFit="1" customWidth="1"/>
    <col min="16160" max="16160" width="17.21875" style="411" customWidth="1"/>
    <col min="16161" max="16161" width="11" style="411" bestFit="1" customWidth="1"/>
    <col min="16162" max="16162" width="8.77734375" style="411" customWidth="1"/>
    <col min="16163" max="16166" width="10.21875" style="411" bestFit="1" customWidth="1"/>
    <col min="16167" max="16168" width="11.21875" style="411" bestFit="1" customWidth="1"/>
    <col min="16169" max="16379" width="8.77734375" style="411" customWidth="1"/>
    <col min="16380" max="16380" width="2.5546875" style="411" customWidth="1"/>
    <col min="16381" max="16381" width="5.5546875" style="411" customWidth="1"/>
    <col min="16382" max="16382" width="23.77734375" style="411" customWidth="1"/>
    <col min="16383" max="16384" width="3.77734375" style="411" customWidth="1"/>
  </cols>
  <sheetData>
    <row r="2" spans="1:43" s="401" customFormat="1" ht="18">
      <c r="B2" s="606" t="s">
        <v>896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P2" s="557"/>
      <c r="AQ2" s="560"/>
    </row>
    <row r="3" spans="1:43" s="401" customFormat="1" ht="23.25" customHeight="1">
      <c r="B3" s="606" t="s">
        <v>927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P3" s="557"/>
      <c r="AQ3" s="560"/>
    </row>
    <row r="4" spans="1:43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P4" s="557"/>
      <c r="AQ4" s="560"/>
    </row>
    <row r="5" spans="1:43" s="401" customFormat="1" ht="14.4" thickBot="1">
      <c r="D5" s="403"/>
      <c r="F5" s="545"/>
      <c r="G5" s="607" t="s">
        <v>963</v>
      </c>
      <c r="H5" s="608"/>
      <c r="I5" s="608"/>
      <c r="J5" s="608"/>
      <c r="K5" s="608"/>
      <c r="L5" s="608"/>
      <c r="M5" s="608"/>
      <c r="N5" s="609"/>
      <c r="O5" s="610" t="s">
        <v>971</v>
      </c>
      <c r="P5" s="611"/>
      <c r="Q5" s="611"/>
      <c r="R5" s="611"/>
      <c r="S5" s="611"/>
      <c r="T5" s="612"/>
      <c r="AP5" s="557"/>
      <c r="AQ5" s="560"/>
    </row>
    <row r="6" spans="1:43" s="403" customFormat="1" ht="40.950000000000003" customHeight="1" thickBot="1">
      <c r="B6" s="464" t="s">
        <v>2</v>
      </c>
      <c r="C6" s="463" t="s">
        <v>338</v>
      </c>
      <c r="D6" s="613" t="s">
        <v>898</v>
      </c>
      <c r="E6" s="614"/>
      <c r="F6" s="463" t="s">
        <v>899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964</v>
      </c>
      <c r="O6" s="462" t="s">
        <v>969</v>
      </c>
      <c r="P6" s="462" t="s">
        <v>965</v>
      </c>
      <c r="Q6" s="462" t="s">
        <v>966</v>
      </c>
      <c r="R6" s="462" t="s">
        <v>967</v>
      </c>
      <c r="S6" s="462" t="s">
        <v>968</v>
      </c>
      <c r="T6" s="462" t="s">
        <v>970</v>
      </c>
      <c r="U6" s="462" t="s">
        <v>958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  <c r="AP6" s="558"/>
      <c r="AQ6" s="561"/>
    </row>
    <row r="7" spans="1:43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43">
      <c r="A8" s="404"/>
      <c r="B8" s="412">
        <v>1</v>
      </c>
      <c r="C8" s="413" t="s">
        <v>901</v>
      </c>
      <c r="D8" s="414">
        <v>1</v>
      </c>
      <c r="E8" s="415" t="s">
        <v>902</v>
      </c>
      <c r="F8" s="416">
        <f>[2]REKAP!$F$11</f>
        <v>260845555.66666672</v>
      </c>
      <c r="G8" s="416"/>
      <c r="H8" s="416"/>
      <c r="I8" s="416">
        <f>[5]MOINIT!$E$51</f>
        <v>15900000</v>
      </c>
      <c r="J8" s="416"/>
      <c r="K8" s="416">
        <f>[6]MOINIT!$E$51</f>
        <v>23210000</v>
      </c>
      <c r="L8" s="416"/>
      <c r="M8" s="416">
        <f>[7]MOINIT!$E$53</f>
        <v>16300000</v>
      </c>
      <c r="N8" s="416">
        <f>SUM(G8:M8)</f>
        <v>55410000</v>
      </c>
      <c r="O8" s="416">
        <f>F8/12</f>
        <v>21737129.638888892</v>
      </c>
      <c r="P8" s="416">
        <f>O8</f>
        <v>21737129.638888892</v>
      </c>
      <c r="Q8" s="416">
        <f t="shared" ref="Q8:S8" si="0">P8</f>
        <v>21737129.638888892</v>
      </c>
      <c r="R8" s="416">
        <f t="shared" si="0"/>
        <v>21737129.638888892</v>
      </c>
      <c r="S8" s="416">
        <f t="shared" si="0"/>
        <v>21737129.638888892</v>
      </c>
      <c r="T8" s="416">
        <f>SUM(O8:S8)</f>
        <v>108685648.19444446</v>
      </c>
      <c r="U8" s="416">
        <f>T8+N8</f>
        <v>164095648.19444448</v>
      </c>
      <c r="V8" s="471">
        <f>U8/F8</f>
        <v>0.62909121750244235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>
        <f>AE8-N8</f>
        <v>15098220</v>
      </c>
      <c r="AG8" s="436">
        <v>18774450</v>
      </c>
      <c r="AP8" s="556">
        <f>'data Prognosa rutin'!U8</f>
        <v>179193868.19444448</v>
      </c>
      <c r="AQ8" s="562">
        <f>'data Prognosa rutin'!V8</f>
        <v>0.68697305475058756</v>
      </c>
    </row>
    <row r="9" spans="1:43">
      <c r="A9" s="404"/>
      <c r="B9" s="412"/>
      <c r="C9" s="413"/>
      <c r="D9" s="414">
        <v>2</v>
      </c>
      <c r="E9" s="418" t="s">
        <v>903</v>
      </c>
      <c r="F9" s="416">
        <v>994766768</v>
      </c>
      <c r="G9" s="416"/>
      <c r="H9" s="416"/>
      <c r="I9" s="416"/>
      <c r="J9" s="416"/>
      <c r="K9" s="416"/>
      <c r="L9" s="416"/>
      <c r="M9" s="416">
        <f>[7]MOINIT!E61</f>
        <v>337046500</v>
      </c>
      <c r="N9" s="416">
        <f t="shared" ref="N9:N12" si="1">SUM(G9:M9)</f>
        <v>337046500</v>
      </c>
      <c r="O9" s="416"/>
      <c r="P9" s="416">
        <v>23500000</v>
      </c>
      <c r="Q9" s="416"/>
      <c r="R9" s="416"/>
      <c r="S9" s="416"/>
      <c r="T9" s="416">
        <f t="shared" ref="T9:T12" si="2">SUM(O9:S9)</f>
        <v>23500000</v>
      </c>
      <c r="U9" s="416">
        <f t="shared" ref="U9:U12" si="3">T9+N9</f>
        <v>360546500</v>
      </c>
      <c r="V9" s="471">
        <f t="shared" ref="V9:V12" si="4">U9/F9</f>
        <v>0.36244324961205376</v>
      </c>
      <c r="W9" s="416"/>
      <c r="X9" s="416"/>
      <c r="Y9" s="416"/>
      <c r="Z9" s="416"/>
      <c r="AA9" s="416"/>
      <c r="AB9" s="416"/>
      <c r="AC9" s="416"/>
      <c r="AD9" s="416"/>
      <c r="AE9" s="416">
        <f>[8]Prognosa!G10</f>
        <v>801138610</v>
      </c>
      <c r="AF9" s="436">
        <f>AE9-N9</f>
        <v>464092110</v>
      </c>
      <c r="AG9" s="436">
        <v>45140920</v>
      </c>
      <c r="AP9" s="556">
        <f>'data Prognosa rutin'!U9</f>
        <v>801138610</v>
      </c>
      <c r="AQ9" s="562">
        <f>'data Prognosa rutin'!V9</f>
        <v>0.80535321019087358</v>
      </c>
    </row>
    <row r="10" spans="1:43">
      <c r="A10" s="404"/>
      <c r="B10" s="412"/>
      <c r="C10" s="413"/>
      <c r="D10" s="414">
        <v>3</v>
      </c>
      <c r="E10" s="418" t="s">
        <v>32</v>
      </c>
      <c r="F10" s="416">
        <v>294773975</v>
      </c>
      <c r="G10" s="416">
        <f>[9]MOINIT!$E$58</f>
        <v>3011000</v>
      </c>
      <c r="H10" s="416">
        <f>[10]MOINIT!$E$63</f>
        <v>9833000</v>
      </c>
      <c r="I10" s="416">
        <f>[5]MOINIT!$E$58</f>
        <v>6648000</v>
      </c>
      <c r="J10" s="416">
        <f>[11]MOINIT!$E$58</f>
        <v>100533000</v>
      </c>
      <c r="K10" s="416">
        <f>[6]MOINIT!$E$58</f>
        <v>40904920</v>
      </c>
      <c r="L10" s="416">
        <f>[12]MOINIT!$E$60</f>
        <v>3700000</v>
      </c>
      <c r="M10" s="416">
        <f>[7]MOINIT!E62</f>
        <v>15875000</v>
      </c>
      <c r="N10" s="416">
        <f t="shared" si="1"/>
        <v>180504920</v>
      </c>
      <c r="O10" s="416">
        <f>'[13]Hutang 2022'!$J$23</f>
        <v>27500000</v>
      </c>
      <c r="P10" s="416"/>
      <c r="Q10" s="416">
        <f>'[13]Outstanding V1 (SPI)'!$E$32</f>
        <v>67900000</v>
      </c>
      <c r="R10" s="416">
        <f>'[13]Hutang 2022'!$J$24</f>
        <v>133463000</v>
      </c>
      <c r="S10" s="416">
        <f>'[13]Hutang 2022'!$J$26</f>
        <v>87418050</v>
      </c>
      <c r="T10" s="416">
        <f t="shared" si="2"/>
        <v>316281050</v>
      </c>
      <c r="U10" s="416">
        <f t="shared" si="3"/>
        <v>496785970</v>
      </c>
      <c r="V10" s="471">
        <f t="shared" si="4"/>
        <v>1.6853115001078369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[8]Prognosa!G11</f>
        <v>177514920</v>
      </c>
      <c r="AF10" s="436">
        <f>AE10-N10</f>
        <v>-2990000</v>
      </c>
      <c r="AG10" s="436">
        <v>-68111800</v>
      </c>
      <c r="AP10" s="556">
        <f>'data Prognosa rutin'!U10</f>
        <v>300337409.58333337</v>
      </c>
      <c r="AQ10" s="562">
        <f>'data Prognosa rutin'!V10</f>
        <v>1.0188735609489725</v>
      </c>
    </row>
    <row r="11" spans="1:43">
      <c r="A11" s="404"/>
      <c r="B11" s="412"/>
      <c r="C11" s="413"/>
      <c r="D11" s="414">
        <v>4</v>
      </c>
      <c r="E11" s="418" t="s">
        <v>43</v>
      </c>
      <c r="F11" s="416">
        <v>306018000</v>
      </c>
      <c r="G11" s="416">
        <f>[9]MOINIT!$E$59</f>
        <v>2413000</v>
      </c>
      <c r="H11" s="416">
        <f>[10]MOINIT!$E$64</f>
        <v>6760500</v>
      </c>
      <c r="I11" s="416">
        <f>[5]MOINIT!$E$59</f>
        <v>126616078</v>
      </c>
      <c r="J11" s="416">
        <f>[11]MOINIT!$E$59</f>
        <v>2870000</v>
      </c>
      <c r="K11" s="416">
        <f>[6]MOINIT!$E$59</f>
        <v>5151000</v>
      </c>
      <c r="L11" s="416">
        <f>[12]MOINIT!$E$61</f>
        <v>14980000</v>
      </c>
      <c r="M11" s="416">
        <f>[7]MOINIT!E63</f>
        <v>12375000</v>
      </c>
      <c r="N11" s="416">
        <f t="shared" si="1"/>
        <v>171165578</v>
      </c>
      <c r="O11" s="416">
        <v>43570000</v>
      </c>
      <c r="P11" s="416">
        <f>'[13]Outstanding V1 (SPI)'!$E$17+'[13]Hutang 2022'!$J$55</f>
        <v>35486000</v>
      </c>
      <c r="Q11" s="416">
        <f>'[13]Outstanding V1 (SPI)'!$E$15+'[13]Hutang 2022'!$J$40</f>
        <v>23200000</v>
      </c>
      <c r="R11" s="416">
        <f>'[13]Outstanding V1 (SPI)'!$E$14</f>
        <v>27275000</v>
      </c>
      <c r="S11" s="416">
        <f>'[13]Outstanding V1 (SPI)'!$E$23</f>
        <v>20560400</v>
      </c>
      <c r="T11" s="416">
        <f t="shared" si="2"/>
        <v>150091400</v>
      </c>
      <c r="U11" s="416">
        <f t="shared" si="3"/>
        <v>321256978</v>
      </c>
      <c r="V11" s="471">
        <f t="shared" si="4"/>
        <v>1.0497976524256742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[8]Prognosa!G12</f>
        <v>179754078</v>
      </c>
      <c r="AF11" s="436">
        <f>AE11-N11</f>
        <v>8588500</v>
      </c>
      <c r="AG11" s="436">
        <v>68812630.5</v>
      </c>
      <c r="AP11" s="556">
        <f>'data Prognosa rutin'!U11</f>
        <v>307261578</v>
      </c>
      <c r="AQ11" s="562">
        <f>'data Prognosa rutin'!V11</f>
        <v>1.004063741348548</v>
      </c>
    </row>
    <row r="12" spans="1:43">
      <c r="A12" s="404"/>
      <c r="B12" s="412"/>
      <c r="C12" s="413"/>
      <c r="D12" s="414">
        <v>5</v>
      </c>
      <c r="E12" s="418" t="s">
        <v>904</v>
      </c>
      <c r="F12" s="416">
        <v>149477700</v>
      </c>
      <c r="G12" s="416"/>
      <c r="H12" s="416"/>
      <c r="I12" s="416"/>
      <c r="J12" s="416"/>
      <c r="K12" s="416"/>
      <c r="L12" s="416">
        <f>[12]MOINIT!$E$51</f>
        <v>167600000</v>
      </c>
      <c r="M12" s="416">
        <f>[7]MOINIT!$E$52</f>
        <v>18436000</v>
      </c>
      <c r="N12" s="416">
        <f t="shared" si="1"/>
        <v>186036000</v>
      </c>
      <c r="O12" s="416"/>
      <c r="P12" s="416"/>
      <c r="Q12" s="416"/>
      <c r="R12" s="416"/>
      <c r="S12" s="416"/>
      <c r="T12" s="416">
        <f t="shared" si="2"/>
        <v>0</v>
      </c>
      <c r="U12" s="416">
        <f t="shared" si="3"/>
        <v>186036000</v>
      </c>
      <c r="V12" s="471">
        <f t="shared" si="4"/>
        <v>1.2445736052936325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[8]Prognosa!G13</f>
        <v>186036000</v>
      </c>
      <c r="AF12" s="436">
        <f>AE12-N12</f>
        <v>0</v>
      </c>
      <c r="AG12" s="436">
        <v>0</v>
      </c>
      <c r="AP12" s="556">
        <f>'data Prognosa rutin'!U12</f>
        <v>186036000</v>
      </c>
      <c r="AQ12" s="562">
        <f>'data Prognosa rutin'!V12</f>
        <v>1.2445736052936325</v>
      </c>
    </row>
    <row r="13" spans="1:43">
      <c r="A13" s="419"/>
      <c r="B13" s="420"/>
      <c r="C13" s="421"/>
      <c r="D13" s="422"/>
      <c r="E13" s="423" t="s">
        <v>905</v>
      </c>
      <c r="F13" s="424">
        <f t="shared" ref="F13:AF13" si="5">SUM(F8:F12)</f>
        <v>2005881998.6666667</v>
      </c>
      <c r="G13" s="424">
        <f>SUM(G8:G12)</f>
        <v>5424000</v>
      </c>
      <c r="H13" s="424">
        <f t="shared" ref="H13:M13" si="6">SUM(H8:H12)</f>
        <v>16593500</v>
      </c>
      <c r="I13" s="424">
        <f t="shared" si="6"/>
        <v>149164078</v>
      </c>
      <c r="J13" s="424">
        <f t="shared" si="6"/>
        <v>103403000</v>
      </c>
      <c r="K13" s="424">
        <f t="shared" si="6"/>
        <v>69265920</v>
      </c>
      <c r="L13" s="424">
        <f t="shared" si="6"/>
        <v>186280000</v>
      </c>
      <c r="M13" s="424">
        <f t="shared" si="6"/>
        <v>400032500</v>
      </c>
      <c r="N13" s="424">
        <f t="shared" si="5"/>
        <v>930162998</v>
      </c>
      <c r="O13" s="424">
        <f t="shared" si="5"/>
        <v>92807129.638888896</v>
      </c>
      <c r="P13" s="424">
        <f t="shared" si="5"/>
        <v>80723129.638888896</v>
      </c>
      <c r="Q13" s="424">
        <f t="shared" si="5"/>
        <v>112837129.6388889</v>
      </c>
      <c r="R13" s="424">
        <f t="shared" si="5"/>
        <v>182475129.6388889</v>
      </c>
      <c r="S13" s="424">
        <f t="shared" si="5"/>
        <v>129715579.6388889</v>
      </c>
      <c r="T13" s="424">
        <f t="shared" si="5"/>
        <v>598558098.19444442</v>
      </c>
      <c r="U13" s="424">
        <f t="shared" si="5"/>
        <v>1528721096.1944444</v>
      </c>
      <c r="V13" s="472">
        <f>U13/F13</f>
        <v>0.76211915616701442</v>
      </c>
      <c r="W13" s="424"/>
      <c r="X13" s="424"/>
      <c r="Y13" s="424"/>
      <c r="Z13" s="424"/>
      <c r="AA13" s="424"/>
      <c r="AB13" s="424"/>
      <c r="AC13" s="424"/>
      <c r="AD13" s="424"/>
      <c r="AE13" s="424">
        <f t="shared" si="5"/>
        <v>1414951828</v>
      </c>
      <c r="AF13" s="424">
        <f t="shared" si="5"/>
        <v>484788830</v>
      </c>
      <c r="AG13" s="424">
        <v>64616200.5</v>
      </c>
      <c r="AP13" s="559">
        <f t="shared" ref="AP13" si="7">SUM(AP8:AP12)</f>
        <v>1773967465.7777777</v>
      </c>
      <c r="AQ13" s="472" t="e">
        <f>AP13/AA13</f>
        <v>#DIV/0!</v>
      </c>
    </row>
    <row r="14" spans="1:43">
      <c r="A14" s="404"/>
      <c r="B14" s="412"/>
      <c r="C14" s="413"/>
      <c r="D14" s="425"/>
      <c r="E14" s="426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</row>
    <row r="15" spans="1:43">
      <c r="A15" s="419"/>
      <c r="B15" s="412">
        <v>2</v>
      </c>
      <c r="C15" s="413" t="s">
        <v>906</v>
      </c>
      <c r="D15" s="414">
        <v>1</v>
      </c>
      <c r="E15" s="415" t="s">
        <v>902</v>
      </c>
      <c r="F15" s="416">
        <f>[2]REKAP!$F$18</f>
        <v>261345555.66666666</v>
      </c>
      <c r="G15" s="416"/>
      <c r="H15" s="416"/>
      <c r="I15" s="416">
        <f>'[5]TUNA TOMINI'!$E$52</f>
        <v>32284260</v>
      </c>
      <c r="J15" s="416"/>
      <c r="K15" s="416">
        <f>'[6]TUNA TOMINI'!$E$52</f>
        <v>39510000</v>
      </c>
      <c r="L15" s="416"/>
      <c r="M15" s="416"/>
      <c r="N15" s="416">
        <f>SUM(G15:M15)</f>
        <v>71794260</v>
      </c>
      <c r="O15" s="416">
        <f>F15/12</f>
        <v>21778796.305555556</v>
      </c>
      <c r="P15" s="416">
        <f>O15</f>
        <v>21778796.305555556</v>
      </c>
      <c r="Q15" s="416">
        <f t="shared" ref="Q15:S15" si="8">P15</f>
        <v>21778796.305555556</v>
      </c>
      <c r="R15" s="416">
        <f t="shared" si="8"/>
        <v>21778796.305555556</v>
      </c>
      <c r="S15" s="416">
        <f t="shared" si="8"/>
        <v>21778796.305555556</v>
      </c>
      <c r="T15" s="416">
        <f>SUM(O15:S15)</f>
        <v>108893981.52777778</v>
      </c>
      <c r="U15" s="416">
        <f>T15+N15</f>
        <v>180688241.52777779</v>
      </c>
      <c r="V15" s="471">
        <f>U15/F15</f>
        <v>0.69137675238769591</v>
      </c>
      <c r="W15" s="416"/>
      <c r="X15" s="416"/>
      <c r="Y15" s="416"/>
      <c r="Z15" s="416"/>
      <c r="AA15" s="416"/>
      <c r="AB15" s="416"/>
      <c r="AC15" s="416"/>
      <c r="AD15" s="416"/>
      <c r="AE15" s="416">
        <f>[8]Prognosa!G16</f>
        <v>94192480</v>
      </c>
      <c r="AF15" s="436">
        <f>AE15-N15</f>
        <v>22398220</v>
      </c>
      <c r="AG15" s="436">
        <v>-9500390</v>
      </c>
      <c r="AP15" s="556">
        <f>'data Prognosa rutin'!U15</f>
        <v>203086461.52777779</v>
      </c>
      <c r="AQ15" s="562">
        <f>'data Prognosa rutin'!V15</f>
        <v>0.77708021860071164</v>
      </c>
    </row>
    <row r="16" spans="1:43">
      <c r="A16" s="404"/>
      <c r="B16" s="412"/>
      <c r="C16" s="413"/>
      <c r="D16" s="414">
        <v>2</v>
      </c>
      <c r="E16" s="418" t="s">
        <v>903</v>
      </c>
      <c r="F16" s="416">
        <f>908852460</f>
        <v>908852460</v>
      </c>
      <c r="G16" s="416"/>
      <c r="H16" s="416"/>
      <c r="I16" s="416"/>
      <c r="J16" s="416"/>
      <c r="K16" s="416">
        <f>'[6]TUNA TOMINI'!E60</f>
        <v>375140000</v>
      </c>
      <c r="L16" s="416">
        <f>'[12]TUNA TOMINI'!$E$61</f>
        <v>67400000</v>
      </c>
      <c r="M16" s="416"/>
      <c r="N16" s="416">
        <f t="shared" ref="N16:N19" si="9">SUM(G16:M16)</f>
        <v>442540000</v>
      </c>
      <c r="O16" s="416">
        <f>'[13]Hutang 2022'!$J$10</f>
        <v>258001318</v>
      </c>
      <c r="P16" s="416">
        <f>'Rekap Pembayaran'!F53</f>
        <v>684198221</v>
      </c>
      <c r="Q16" s="416">
        <f>'Rekap Pembayaran'!F54+'[13]Hutang 2022'!$J$11</f>
        <v>48305367</v>
      </c>
      <c r="R16" s="416">
        <v>23400000</v>
      </c>
      <c r="S16" s="416">
        <v>75890000</v>
      </c>
      <c r="T16" s="416">
        <f t="shared" ref="T16:T19" si="10">SUM(O16:S16)</f>
        <v>1089794906</v>
      </c>
      <c r="U16" s="416">
        <f t="shared" ref="U16:U19" si="11">T16+N16</f>
        <v>1532334906</v>
      </c>
      <c r="V16" s="471">
        <f t="shared" ref="V16:V19" si="12">U16/F16</f>
        <v>1.686010627071417</v>
      </c>
      <c r="W16" s="416"/>
      <c r="X16" s="416"/>
      <c r="Y16" s="416"/>
      <c r="Z16" s="416"/>
      <c r="AA16" s="416"/>
      <c r="AB16" s="416"/>
      <c r="AC16" s="416"/>
      <c r="AD16" s="416"/>
      <c r="AE16" s="416">
        <f>[8]Prognosa!G17</f>
        <v>1661115776</v>
      </c>
      <c r="AF16" s="436">
        <f>AE16-N16</f>
        <v>1218575776</v>
      </c>
      <c r="AG16" s="436">
        <v>724034906</v>
      </c>
      <c r="AP16" s="556">
        <f>'data Prognosa rutin'!U16</f>
        <v>1661115776</v>
      </c>
      <c r="AQ16" s="562">
        <f>'data Prognosa rutin'!V16</f>
        <v>1.8277067501143145</v>
      </c>
    </row>
    <row r="17" spans="1:43">
      <c r="A17" s="419"/>
      <c r="B17" s="412"/>
      <c r="C17" s="413"/>
      <c r="D17" s="414">
        <v>3</v>
      </c>
      <c r="E17" s="418" t="s">
        <v>32</v>
      </c>
      <c r="F17" s="416">
        <f>278355450</f>
        <v>278355450</v>
      </c>
      <c r="G17" s="416">
        <f>'[9]TUNA TOMINI'!$E$62</f>
        <v>19637750</v>
      </c>
      <c r="H17" s="416">
        <f>'[14]TUNA TOMINI'!$E$63</f>
        <v>6706000</v>
      </c>
      <c r="I17" s="416">
        <f>'[5]TUNA TOMINI'!$E$61</f>
        <v>21571000</v>
      </c>
      <c r="J17" s="416">
        <f>'[11]TUNA TOMINI'!$E$61</f>
        <v>2219000</v>
      </c>
      <c r="K17" s="416">
        <f>'[6]TUNA TOMINI'!E61</f>
        <v>110510000</v>
      </c>
      <c r="L17" s="416">
        <f>'[12]TUNA TOMINI'!$E$62</f>
        <v>22944000</v>
      </c>
      <c r="M17" s="416">
        <f>'[15]TUNA TOMINI'!$E$62</f>
        <v>23780000</v>
      </c>
      <c r="N17" s="416">
        <f t="shared" si="9"/>
        <v>207367750</v>
      </c>
      <c r="O17" s="416">
        <v>15750000</v>
      </c>
      <c r="P17" s="416">
        <v>57500000</v>
      </c>
      <c r="Q17" s="416">
        <f>'[13]Hutang 2022'!$J$21</f>
        <v>54556638.75</v>
      </c>
      <c r="R17" s="416">
        <f>'[13]Outstanding V1 (SPI)'!$E$8+'[13]Outstanding V1 (SPI)'!$E$29</f>
        <v>49260000</v>
      </c>
      <c r="S17" s="416">
        <f>'[13]Hutang 2022'!$J$28</f>
        <v>58030800</v>
      </c>
      <c r="T17" s="416">
        <f t="shared" si="10"/>
        <v>235097438.75</v>
      </c>
      <c r="U17" s="416">
        <f t="shared" si="11"/>
        <v>442465188.75</v>
      </c>
      <c r="V17" s="471">
        <f t="shared" si="12"/>
        <v>1.5895689800576924</v>
      </c>
      <c r="W17" s="416"/>
      <c r="X17" s="416"/>
      <c r="Y17" s="416"/>
      <c r="Z17" s="416"/>
      <c r="AA17" s="416"/>
      <c r="AB17" s="416"/>
      <c r="AC17" s="416"/>
      <c r="AD17" s="416"/>
      <c r="AE17" s="416">
        <f>[8]Prognosa!G18</f>
        <v>315266188</v>
      </c>
      <c r="AF17" s="436">
        <f>AE17-N17</f>
        <v>107898438</v>
      </c>
      <c r="AG17" s="436">
        <v>155929758</v>
      </c>
      <c r="AP17" s="556">
        <f>'data Prognosa rutin'!U17</f>
        <v>431247625.5</v>
      </c>
      <c r="AQ17" s="562">
        <f>'data Prognosa rutin'!V17</f>
        <v>1.5492695598379698</v>
      </c>
    </row>
    <row r="18" spans="1:43">
      <c r="A18" s="419"/>
      <c r="B18" s="412"/>
      <c r="C18" s="413"/>
      <c r="D18" s="414">
        <v>4</v>
      </c>
      <c r="E18" s="418" t="s">
        <v>43</v>
      </c>
      <c r="F18" s="416">
        <f>243024000</f>
        <v>243024000</v>
      </c>
      <c r="G18" s="416">
        <f>'[9]TUNA TOMINI'!$E$63</f>
        <v>2459000</v>
      </c>
      <c r="H18" s="416">
        <f>'[14]TUNA TOMINI'!$E$64</f>
        <v>6848000</v>
      </c>
      <c r="I18" s="416">
        <f>'[5]TUNA TOMINI'!$E$62</f>
        <v>7881000</v>
      </c>
      <c r="J18" s="416">
        <f>'[11]TUNA TOMINI'!$E$62</f>
        <v>14148200</v>
      </c>
      <c r="K18" s="416">
        <f>'[6]TUNA TOMINI'!E62</f>
        <v>72743000</v>
      </c>
      <c r="L18" s="416"/>
      <c r="M18" s="416">
        <f>'[15]TUNA TOMINI'!$E$63</f>
        <v>94947500</v>
      </c>
      <c r="N18" s="416">
        <f t="shared" si="9"/>
        <v>199026700</v>
      </c>
      <c r="O18" s="416">
        <f>'[13]Non Outstanding (Belum Fidias)'!$E$17</f>
        <v>24901000</v>
      </c>
      <c r="P18" s="416">
        <f>'[13]Non Outstanding (Belum Fidias)'!$E$25</f>
        <v>48160915</v>
      </c>
      <c r="Q18" s="416">
        <f>'[13]Hutang 2022'!$J$45+'[13]Hutang 2022'!$J$46</f>
        <v>54390000</v>
      </c>
      <c r="R18" s="416">
        <f>'[13]Outstanding V1 (SPI)'!$E$21+'[13]Hutang 2022'!$J$42+'[13]Hutang 2022'!$J$44</f>
        <v>112998870</v>
      </c>
      <c r="S18" s="416">
        <f>'[13]Outstanding V1 (SPI)'!$E$20+'[13]Hutang 2022'!$J$43</f>
        <v>36089000</v>
      </c>
      <c r="T18" s="416">
        <f t="shared" si="10"/>
        <v>276539785</v>
      </c>
      <c r="U18" s="416">
        <f t="shared" si="11"/>
        <v>475566485</v>
      </c>
      <c r="V18" s="471">
        <f t="shared" si="12"/>
        <v>1.9568704531239713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[8]Prognosa!G19</f>
        <v>220917700</v>
      </c>
      <c r="AF18" s="436">
        <f>AE18-N18</f>
        <v>21891000</v>
      </c>
      <c r="AG18" s="436">
        <v>15608492.5</v>
      </c>
      <c r="AP18" s="556">
        <f>'data Prognosa rutin'!U18</f>
        <v>322177700</v>
      </c>
      <c r="AQ18" s="562">
        <f>'data Prognosa rutin'!V18</f>
        <v>1.3257032227269734</v>
      </c>
    </row>
    <row r="19" spans="1:43">
      <c r="A19" s="419"/>
      <c r="B19" s="412"/>
      <c r="C19" s="413"/>
      <c r="D19" s="414">
        <v>5</v>
      </c>
      <c r="E19" s="418" t="s">
        <v>904</v>
      </c>
      <c r="F19" s="416">
        <f>109477700</f>
        <v>109477700</v>
      </c>
      <c r="G19" s="416"/>
      <c r="H19" s="416"/>
      <c r="I19" s="416"/>
      <c r="J19" s="416"/>
      <c r="K19" s="416">
        <f>'[6]TUNA TOMINI'!$E$51</f>
        <v>115495500</v>
      </c>
      <c r="L19" s="416"/>
      <c r="M19" s="416"/>
      <c r="N19" s="416">
        <f t="shared" si="9"/>
        <v>115495500</v>
      </c>
      <c r="O19" s="416"/>
      <c r="P19" s="416"/>
      <c r="Q19" s="416"/>
      <c r="R19" s="416"/>
      <c r="S19" s="416"/>
      <c r="T19" s="416">
        <f t="shared" si="10"/>
        <v>0</v>
      </c>
      <c r="U19" s="416">
        <f t="shared" si="11"/>
        <v>115495500</v>
      </c>
      <c r="V19" s="471">
        <f t="shared" si="12"/>
        <v>1.0549682720773272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[8]Prognosa!G20</f>
        <v>115495500</v>
      </c>
      <c r="AF19" s="436">
        <f>AE19-N19</f>
        <v>0</v>
      </c>
      <c r="AG19" s="436">
        <v>0</v>
      </c>
      <c r="AP19" s="556">
        <f>'data Prognosa rutin'!U19</f>
        <v>115495500</v>
      </c>
      <c r="AQ19" s="562">
        <f>'data Prognosa rutin'!V19</f>
        <v>1.0549682720773272</v>
      </c>
    </row>
    <row r="20" spans="1:43">
      <c r="A20" s="419"/>
      <c r="B20" s="427"/>
      <c r="C20" s="428"/>
      <c r="D20" s="429"/>
      <c r="E20" s="430" t="s">
        <v>905</v>
      </c>
      <c r="F20" s="424">
        <f t="shared" ref="F20:AF20" si="13">SUM(F15:F19)</f>
        <v>1801055165.6666667</v>
      </c>
      <c r="G20" s="424">
        <f>SUM(G15:G19)</f>
        <v>22096750</v>
      </c>
      <c r="H20" s="424">
        <f t="shared" ref="H20:M20" si="14">SUM(H15:H19)</f>
        <v>13554000</v>
      </c>
      <c r="I20" s="424">
        <f t="shared" si="14"/>
        <v>61736260</v>
      </c>
      <c r="J20" s="424">
        <f t="shared" si="14"/>
        <v>16367200</v>
      </c>
      <c r="K20" s="424">
        <f t="shared" si="14"/>
        <v>713398500</v>
      </c>
      <c r="L20" s="424">
        <f t="shared" si="14"/>
        <v>90344000</v>
      </c>
      <c r="M20" s="424">
        <f t="shared" si="14"/>
        <v>118727500</v>
      </c>
      <c r="N20" s="424">
        <f t="shared" si="13"/>
        <v>1036224210</v>
      </c>
      <c r="O20" s="424">
        <f t="shared" si="13"/>
        <v>320431114.30555558</v>
      </c>
      <c r="P20" s="424">
        <f t="shared" si="13"/>
        <v>811637932.30555558</v>
      </c>
      <c r="Q20" s="424">
        <f t="shared" si="13"/>
        <v>179030802.05555555</v>
      </c>
      <c r="R20" s="424">
        <f t="shared" si="13"/>
        <v>207437666.30555555</v>
      </c>
      <c r="S20" s="424">
        <f t="shared" si="13"/>
        <v>191788596.30555555</v>
      </c>
      <c r="T20" s="424">
        <f t="shared" si="13"/>
        <v>1710326111.2777777</v>
      </c>
      <c r="U20" s="424">
        <f t="shared" si="13"/>
        <v>2746550321.2777777</v>
      </c>
      <c r="V20" s="472">
        <f>U20/F20</f>
        <v>1.5249673489379947</v>
      </c>
      <c r="W20" s="424"/>
      <c r="X20" s="424"/>
      <c r="Y20" s="424"/>
      <c r="Z20" s="424"/>
      <c r="AA20" s="424"/>
      <c r="AB20" s="424"/>
      <c r="AC20" s="424"/>
      <c r="AD20" s="424"/>
      <c r="AE20" s="424">
        <f t="shared" si="13"/>
        <v>2406987644</v>
      </c>
      <c r="AF20" s="424">
        <f t="shared" si="13"/>
        <v>1370763434</v>
      </c>
      <c r="AG20" s="424">
        <v>886072766.5</v>
      </c>
      <c r="AP20" s="559">
        <f t="shared" ref="AP20" si="15">SUM(AP15:AP19)</f>
        <v>2733123063.0277777</v>
      </c>
      <c r="AQ20" s="472" t="e">
        <f>AP20/AA20</f>
        <v>#DIV/0!</v>
      </c>
    </row>
    <row r="21" spans="1:43" s="431" customFormat="1" ht="16.5" customHeight="1">
      <c r="B21" s="432"/>
      <c r="C21" s="433"/>
      <c r="D21" s="434"/>
      <c r="E21" s="435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  <c r="AE21" s="416"/>
      <c r="AP21" s="557"/>
      <c r="AQ21" s="560"/>
    </row>
    <row r="22" spans="1:43">
      <c r="B22" s="412">
        <v>3</v>
      </c>
      <c r="C22" s="413" t="s">
        <v>907</v>
      </c>
      <c r="D22" s="414">
        <v>1</v>
      </c>
      <c r="E22" s="415" t="s">
        <v>902</v>
      </c>
      <c r="F22" s="416">
        <f>[2]REKAP!$F$25</f>
        <v>261345555.66666701</v>
      </c>
      <c r="G22" s="416"/>
      <c r="H22" s="416"/>
      <c r="I22" s="416">
        <f>'[5]CENGKIH AFO'!$E$53</f>
        <v>54894260</v>
      </c>
      <c r="J22" s="416"/>
      <c r="K22" s="416"/>
      <c r="L22" s="416"/>
      <c r="M22" s="416"/>
      <c r="N22" s="416">
        <f>SUM(G22:M22)</f>
        <v>54894260</v>
      </c>
      <c r="O22" s="416">
        <f>F22/12</f>
        <v>21778796.305555586</v>
      </c>
      <c r="P22" s="416">
        <f>O22</f>
        <v>21778796.305555586</v>
      </c>
      <c r="Q22" s="416">
        <f t="shared" ref="Q22:S22" si="16">P22</f>
        <v>21778796.305555586</v>
      </c>
      <c r="R22" s="416">
        <f t="shared" si="16"/>
        <v>21778796.305555586</v>
      </c>
      <c r="S22" s="416">
        <f t="shared" si="16"/>
        <v>21778796.305555586</v>
      </c>
      <c r="T22" s="416">
        <f>SUM(O22:S22)</f>
        <v>108893981.52777793</v>
      </c>
      <c r="U22" s="416">
        <f>T22+N22</f>
        <v>163788241.52777791</v>
      </c>
      <c r="V22" s="471">
        <f>U22/F22</f>
        <v>0.62671140938276182</v>
      </c>
      <c r="W22" s="416"/>
      <c r="X22" s="416"/>
      <c r="Y22" s="416"/>
      <c r="Z22" s="416"/>
      <c r="AA22" s="416"/>
      <c r="AB22" s="416"/>
      <c r="AC22" s="416"/>
      <c r="AD22" s="416"/>
      <c r="AE22" s="416">
        <f>[8]Prognosa!G23</f>
        <v>69992480</v>
      </c>
      <c r="AF22" s="436">
        <f>AE22-N22</f>
        <v>15098220</v>
      </c>
      <c r="AG22" s="436">
        <v>-24487390</v>
      </c>
      <c r="AP22" s="556">
        <f>'data Prognosa rutin'!U22</f>
        <v>178886461.52777791</v>
      </c>
      <c r="AQ22" s="562">
        <f>'data Prognosa rutin'!V22</f>
        <v>0.68448250849897174</v>
      </c>
    </row>
    <row r="23" spans="1:43">
      <c r="A23" s="404"/>
      <c r="B23" s="412"/>
      <c r="C23" s="413"/>
      <c r="D23" s="414">
        <v>2</v>
      </c>
      <c r="E23" s="418" t="s">
        <v>903</v>
      </c>
      <c r="F23" s="416">
        <v>849098940</v>
      </c>
      <c r="G23" s="416"/>
      <c r="H23" s="416">
        <f>'[16]CENGKIH AFO'!$E$62</f>
        <v>205305375</v>
      </c>
      <c r="I23" s="416">
        <f>'[5]CENGKIH AFO'!E60</f>
        <v>349510000</v>
      </c>
      <c r="J23" s="416"/>
      <c r="K23" s="416">
        <f>'[6]CENGKIH AFO'!$E$60</f>
        <v>6240000</v>
      </c>
      <c r="L23" s="416"/>
      <c r="M23" s="416"/>
      <c r="N23" s="416">
        <f t="shared" ref="N23:N26" si="17">SUM(G23:M23)</f>
        <v>561055375</v>
      </c>
      <c r="O23" s="416">
        <f>'Rekap Pembayaran'!F25</f>
        <v>618055064</v>
      </c>
      <c r="P23" s="416">
        <f>'Rekap Pembayaran'!F26</f>
        <v>25390140</v>
      </c>
      <c r="Q23" s="416">
        <v>176875535</v>
      </c>
      <c r="R23" s="416"/>
      <c r="S23" s="416"/>
      <c r="T23" s="416">
        <f t="shared" ref="T23:T26" si="18">SUM(O23:S23)</f>
        <v>820320739</v>
      </c>
      <c r="U23" s="416">
        <f t="shared" ref="U23:U26" si="19">T23+N23</f>
        <v>1381376114</v>
      </c>
      <c r="V23" s="471">
        <f t="shared" ref="V23:V26" si="20">U23/F23</f>
        <v>1.6268729695976301</v>
      </c>
      <c r="W23" s="416"/>
      <c r="X23" s="416"/>
      <c r="Y23" s="416"/>
      <c r="Z23" s="416"/>
      <c r="AA23" s="416"/>
      <c r="AB23" s="416"/>
      <c r="AC23" s="416"/>
      <c r="AD23" s="416"/>
      <c r="AE23" s="416">
        <f>[8]Prognosa!G24</f>
        <v>1838757695</v>
      </c>
      <c r="AF23" s="436">
        <f>AE23-N23</f>
        <v>1277702320</v>
      </c>
      <c r="AG23" s="436">
        <v>1231310195</v>
      </c>
      <c r="AP23" s="556">
        <f>'data Prognosa rutin'!U23</f>
        <v>1838757695</v>
      </c>
      <c r="AQ23" s="562">
        <f>'data Prognosa rutin'!V23</f>
        <v>2.1655399722910973</v>
      </c>
    </row>
    <row r="24" spans="1:43">
      <c r="A24" s="404"/>
      <c r="B24" s="412"/>
      <c r="C24" s="413"/>
      <c r="D24" s="414">
        <v>3</v>
      </c>
      <c r="E24" s="418" t="s">
        <v>32</v>
      </c>
      <c r="F24" s="416">
        <v>262104333</v>
      </c>
      <c r="G24" s="416">
        <f>'[9]CENGKIH AFO'!$E$61</f>
        <v>8118000</v>
      </c>
      <c r="H24" s="416">
        <f>'[16]CENGKIH AFO'!$E$63</f>
        <v>86898500</v>
      </c>
      <c r="I24" s="416">
        <f>'[5]CENGKIH AFO'!E61</f>
        <v>85021000</v>
      </c>
      <c r="J24" s="416">
        <f>'[11]CENGKIH AFO'!$E$61</f>
        <v>126214750</v>
      </c>
      <c r="K24" s="416">
        <f>'[6]CENGKIH AFO'!$E$61</f>
        <v>2678000</v>
      </c>
      <c r="L24" s="416">
        <f>'[12]CENGKIH AFO'!$E$61</f>
        <v>15075000</v>
      </c>
      <c r="M24" s="416">
        <f>'[17]CENGKIH AFO'!$E$61</f>
        <v>8978000</v>
      </c>
      <c r="N24" s="416">
        <f t="shared" si="17"/>
        <v>332983250</v>
      </c>
      <c r="O24" s="416"/>
      <c r="P24" s="416">
        <v>48500000</v>
      </c>
      <c r="Q24" s="416">
        <f>'[13]Outstanding V1 (SPI)'!$E$28</f>
        <v>20350000</v>
      </c>
      <c r="R24" s="416">
        <f>'[13]Hutang 2022'!$J$25</f>
        <v>47752375</v>
      </c>
      <c r="S24" s="416">
        <f>'[13]Hutang 2022'!$J$31</f>
        <v>80780000</v>
      </c>
      <c r="T24" s="416">
        <f t="shared" si="18"/>
        <v>197382375</v>
      </c>
      <c r="U24" s="416">
        <f t="shared" si="19"/>
        <v>530365625</v>
      </c>
      <c r="V24" s="471">
        <f t="shared" si="20"/>
        <v>2.0234904891862282</v>
      </c>
      <c r="W24" s="416"/>
      <c r="X24" s="416"/>
      <c r="Y24" s="416"/>
      <c r="Z24" s="416"/>
      <c r="AA24" s="416"/>
      <c r="AB24" s="416"/>
      <c r="AC24" s="416"/>
      <c r="AD24" s="416"/>
      <c r="AE24" s="416">
        <f>[8]Prognosa!G25</f>
        <v>249673250</v>
      </c>
      <c r="AF24" s="436">
        <f>AE24-N24</f>
        <v>-83310000</v>
      </c>
      <c r="AG24" s="436">
        <v>-44399420</v>
      </c>
      <c r="AP24" s="556">
        <f>'data Prognosa rutin'!U24</f>
        <v>358883388.75</v>
      </c>
      <c r="AQ24" s="562">
        <f>'data Prognosa rutin'!V24</f>
        <v>1.3692386716475993</v>
      </c>
    </row>
    <row r="25" spans="1:43">
      <c r="A25" s="404"/>
      <c r="B25" s="412"/>
      <c r="C25" s="413"/>
      <c r="D25" s="414">
        <v>4</v>
      </c>
      <c r="E25" s="418" t="s">
        <v>43</v>
      </c>
      <c r="F25" s="416">
        <v>316778000</v>
      </c>
      <c r="G25" s="416">
        <f>'[9]CENGKIH AFO'!$E$62</f>
        <v>2738000</v>
      </c>
      <c r="H25" s="416">
        <f>'[16]CENGKIH AFO'!$E$64</f>
        <v>73168030</v>
      </c>
      <c r="I25" s="416">
        <f>'[5]CENGKIH AFO'!E62</f>
        <v>24566500</v>
      </c>
      <c r="J25" s="416">
        <f>'[11]CENGKIH AFO'!$E$62</f>
        <v>43291000</v>
      </c>
      <c r="K25" s="416">
        <f>'[6]CENGKIH AFO'!$E$62</f>
        <v>134266900</v>
      </c>
      <c r="L25" s="416"/>
      <c r="M25" s="416">
        <f>'[17]CENGKIH AFO'!$E$62</f>
        <v>6426000</v>
      </c>
      <c r="N25" s="416">
        <f t="shared" si="17"/>
        <v>284456430</v>
      </c>
      <c r="O25" s="416">
        <f>'[13]Hutang 2022'!$J$50</f>
        <v>47300000</v>
      </c>
      <c r="P25" s="416">
        <f>'[13]Hutang 2022'!$J$47+'[13]Hutang 2022'!$J$49</f>
        <v>84920000</v>
      </c>
      <c r="Q25" s="416">
        <f>'[13]Outstanding V1 (SPI)'!$E$16+'[13]Hutang 2022'!$J$39+'[13]Hutang 2022'!$J$48</f>
        <v>100895968</v>
      </c>
      <c r="R25" s="416">
        <f>'[13]Outstanding V1 (SPI)'!$E$22+'[13]Hutang 2022'!$J$51</f>
        <v>79871920</v>
      </c>
      <c r="S25" s="416">
        <v>49870000</v>
      </c>
      <c r="T25" s="416">
        <f t="shared" si="18"/>
        <v>362857888</v>
      </c>
      <c r="U25" s="416">
        <f t="shared" si="19"/>
        <v>647314318</v>
      </c>
      <c r="V25" s="471">
        <f t="shared" si="20"/>
        <v>2.0434320502055066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[8]Prognosa!G26</f>
        <v>297756800</v>
      </c>
      <c r="AF25" s="436">
        <f>AE25-N25</f>
        <v>13300370</v>
      </c>
      <c r="AG25" s="436">
        <v>58169238.5</v>
      </c>
      <c r="AP25" s="556">
        <f>'data Prognosa rutin'!U25</f>
        <v>429747633.33333337</v>
      </c>
      <c r="AQ25" s="562">
        <f>'data Prognosa rutin'!V25</f>
        <v>1.356620830150242</v>
      </c>
    </row>
    <row r="26" spans="1:43">
      <c r="A26" s="404"/>
      <c r="B26" s="412"/>
      <c r="C26" s="413"/>
      <c r="D26" s="414">
        <v>5</v>
      </c>
      <c r="E26" s="418" t="s">
        <v>904</v>
      </c>
      <c r="F26" s="416">
        <v>126554300</v>
      </c>
      <c r="G26" s="416"/>
      <c r="H26" s="416"/>
      <c r="I26" s="416">
        <f>'[5]CENGKIH AFO'!$E$52</f>
        <v>186800000</v>
      </c>
      <c r="J26" s="416"/>
      <c r="K26" s="416"/>
      <c r="L26" s="416"/>
      <c r="M26" s="416"/>
      <c r="N26" s="416">
        <f t="shared" si="17"/>
        <v>186800000</v>
      </c>
      <c r="O26" s="416"/>
      <c r="P26" s="416"/>
      <c r="Q26" s="416"/>
      <c r="R26" s="416"/>
      <c r="S26" s="416"/>
      <c r="T26" s="416">
        <f t="shared" si="18"/>
        <v>0</v>
      </c>
      <c r="U26" s="416">
        <f t="shared" si="19"/>
        <v>186800000</v>
      </c>
      <c r="V26" s="471">
        <f t="shared" si="20"/>
        <v>1.4760462505027485</v>
      </c>
      <c r="W26" s="416"/>
      <c r="X26" s="416"/>
      <c r="Y26" s="416"/>
      <c r="Z26" s="416"/>
      <c r="AA26" s="416"/>
      <c r="AB26" s="416"/>
      <c r="AC26" s="416"/>
      <c r="AD26" s="416"/>
      <c r="AE26" s="416">
        <f>[8]Prognosa!G27</f>
        <v>186800000</v>
      </c>
      <c r="AF26" s="436">
        <f>AE26-N26</f>
        <v>0</v>
      </c>
      <c r="AG26" s="436">
        <v>186800000</v>
      </c>
      <c r="AP26" s="556">
        <f>'data Prognosa rutin'!U26</f>
        <v>186800000</v>
      </c>
      <c r="AQ26" s="562">
        <f>'data Prognosa rutin'!V26</f>
        <v>1.4760462505027485</v>
      </c>
    </row>
    <row r="27" spans="1:43">
      <c r="A27" s="419"/>
      <c r="B27" s="420"/>
      <c r="C27" s="421"/>
      <c r="D27" s="422"/>
      <c r="E27" s="423" t="s">
        <v>905</v>
      </c>
      <c r="F27" s="424">
        <f t="shared" ref="F27:AF27" si="21">SUM(F22:F26)</f>
        <v>1815881128.666667</v>
      </c>
      <c r="G27" s="424">
        <f>SUM(G22:G26)</f>
        <v>10856000</v>
      </c>
      <c r="H27" s="424">
        <f t="shared" ref="H27:M27" si="22">SUM(H22:H26)</f>
        <v>365371905</v>
      </c>
      <c r="I27" s="424">
        <f t="shared" si="22"/>
        <v>700791760</v>
      </c>
      <c r="J27" s="424">
        <f t="shared" si="22"/>
        <v>169505750</v>
      </c>
      <c r="K27" s="424">
        <f t="shared" si="22"/>
        <v>143184900</v>
      </c>
      <c r="L27" s="424">
        <f t="shared" si="22"/>
        <v>15075000</v>
      </c>
      <c r="M27" s="424">
        <f t="shared" si="22"/>
        <v>15404000</v>
      </c>
      <c r="N27" s="424">
        <f t="shared" si="21"/>
        <v>1420189315</v>
      </c>
      <c r="O27" s="424">
        <f t="shared" si="21"/>
        <v>687133860.30555558</v>
      </c>
      <c r="P27" s="424">
        <f t="shared" si="21"/>
        <v>180588936.30555558</v>
      </c>
      <c r="Q27" s="424">
        <f t="shared" si="21"/>
        <v>319900299.30555558</v>
      </c>
      <c r="R27" s="424">
        <f t="shared" si="21"/>
        <v>149403091.30555558</v>
      </c>
      <c r="S27" s="424">
        <f t="shared" si="21"/>
        <v>152428796.30555558</v>
      </c>
      <c r="T27" s="424">
        <f t="shared" si="21"/>
        <v>1489454983.5277779</v>
      </c>
      <c r="U27" s="424">
        <f t="shared" si="21"/>
        <v>2909644298.5277777</v>
      </c>
      <c r="V27" s="472">
        <f>U27/F27</f>
        <v>1.6023319217289402</v>
      </c>
      <c r="W27" s="424"/>
      <c r="X27" s="424"/>
      <c r="Y27" s="424"/>
      <c r="Z27" s="424"/>
      <c r="AA27" s="424"/>
      <c r="AB27" s="424"/>
      <c r="AC27" s="424"/>
      <c r="AD27" s="424"/>
      <c r="AE27" s="424">
        <f t="shared" si="21"/>
        <v>2642980225</v>
      </c>
      <c r="AF27" s="424">
        <f t="shared" si="21"/>
        <v>1222790910</v>
      </c>
      <c r="AG27" s="424">
        <v>1407392623.5</v>
      </c>
      <c r="AP27" s="559">
        <f t="shared" ref="AP27" si="23">SUM(AP22:AP26)</f>
        <v>2993075178.6111112</v>
      </c>
      <c r="AQ27" s="472" t="e">
        <f>AP27/AA27</f>
        <v>#DIV/0!</v>
      </c>
    </row>
    <row r="28" spans="1:43">
      <c r="A28" s="404"/>
      <c r="B28" s="412"/>
      <c r="C28" s="413"/>
      <c r="D28" s="425"/>
      <c r="E28" s="426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</row>
    <row r="29" spans="1:43">
      <c r="A29" s="404"/>
      <c r="B29" s="412">
        <v>4</v>
      </c>
      <c r="C29" s="413" t="s">
        <v>908</v>
      </c>
      <c r="D29" s="414">
        <v>1</v>
      </c>
      <c r="E29" s="415" t="s">
        <v>902</v>
      </c>
      <c r="F29" s="416">
        <f>[2]REKAP!$F$32</f>
        <v>248255101.12121215</v>
      </c>
      <c r="G29" s="416"/>
      <c r="H29" s="416"/>
      <c r="I29" s="416">
        <f>'[5]TANJUNG API'!$E$51</f>
        <v>32284260</v>
      </c>
      <c r="J29" s="416"/>
      <c r="K29" s="416">
        <f>'[6]TANJUNG API'!$E$51</f>
        <v>23210000</v>
      </c>
      <c r="L29" s="416"/>
      <c r="M29" s="416">
        <f>'[18]TANJUNG API'!$E$53</f>
        <v>16300000</v>
      </c>
      <c r="N29" s="416">
        <f>SUM(G29:M29)</f>
        <v>71794260</v>
      </c>
      <c r="O29" s="416">
        <f>F29/12</f>
        <v>20687925.093434345</v>
      </c>
      <c r="P29" s="416">
        <f>O29</f>
        <v>20687925.093434345</v>
      </c>
      <c r="Q29" s="416">
        <f t="shared" ref="Q29:S29" si="24">P29</f>
        <v>20687925.093434345</v>
      </c>
      <c r="R29" s="416">
        <f t="shared" si="24"/>
        <v>20687925.093434345</v>
      </c>
      <c r="S29" s="416">
        <f t="shared" si="24"/>
        <v>20687925.093434345</v>
      </c>
      <c r="T29" s="416">
        <f>SUM(O29:S29)</f>
        <v>103439625.46717173</v>
      </c>
      <c r="U29" s="416">
        <f>T29+N29</f>
        <v>175233885.46717173</v>
      </c>
      <c r="V29" s="471">
        <f>U29/F29</f>
        <v>0.70586217433499043</v>
      </c>
      <c r="W29" s="416"/>
      <c r="X29" s="416"/>
      <c r="Y29" s="416"/>
      <c r="Z29" s="416"/>
      <c r="AA29" s="416"/>
      <c r="AB29" s="416"/>
      <c r="AC29" s="416"/>
      <c r="AD29" s="416"/>
      <c r="AE29" s="416">
        <f>[8]Prognosa!G30</f>
        <v>86892480</v>
      </c>
      <c r="AF29" s="436">
        <f>AE29-N29</f>
        <v>15098220</v>
      </c>
      <c r="AG29" s="436">
        <v>17065710</v>
      </c>
      <c r="AP29" s="556">
        <f>'data Prognosa rutin'!U29</f>
        <v>190332105.46717173</v>
      </c>
      <c r="AQ29" s="562">
        <f>'data Prognosa rutin'!V29</f>
        <v>0.76667953491211793</v>
      </c>
    </row>
    <row r="30" spans="1:43">
      <c r="A30" s="404"/>
      <c r="B30" s="412"/>
      <c r="C30" s="413"/>
      <c r="D30" s="414">
        <v>2</v>
      </c>
      <c r="E30" s="418" t="s">
        <v>903</v>
      </c>
      <c r="F30" s="416">
        <v>790664322</v>
      </c>
      <c r="G30" s="416"/>
      <c r="H30" s="416"/>
      <c r="I30" s="416"/>
      <c r="J30" s="416">
        <f>'[11]TANJUNG API'!E59</f>
        <v>5094100</v>
      </c>
      <c r="K30" s="416"/>
      <c r="L30" s="416">
        <f>[12]TANJUNG!E61</f>
        <v>332914250</v>
      </c>
      <c r="M30" s="416">
        <f>'[18]TANJUNG API'!E61</f>
        <v>62290000</v>
      </c>
      <c r="N30" s="416">
        <f t="shared" ref="N30:N33" si="25">SUM(G30:M30)</f>
        <v>400298350</v>
      </c>
      <c r="O30" s="416">
        <f>'[13]Hutang 2022'!$J$13</f>
        <v>35791950</v>
      </c>
      <c r="P30" s="416">
        <v>24300000</v>
      </c>
      <c r="Q30" s="416">
        <f>'Rekap Pembayaran'!F66</f>
        <v>420610388</v>
      </c>
      <c r="R30" s="416"/>
      <c r="S30" s="416"/>
      <c r="T30" s="416">
        <f t="shared" ref="T30:T33" si="26">SUM(O30:S30)</f>
        <v>480702338</v>
      </c>
      <c r="U30" s="416">
        <f t="shared" ref="U30:U33" si="27">T30+N30</f>
        <v>881000688</v>
      </c>
      <c r="V30" s="471">
        <f t="shared" ref="V30:V33" si="28">U30/F30</f>
        <v>1.1142537528081355</v>
      </c>
      <c r="W30" s="416"/>
      <c r="X30" s="416"/>
      <c r="Y30" s="416"/>
      <c r="Z30" s="416"/>
      <c r="AA30" s="416"/>
      <c r="AB30" s="416"/>
      <c r="AC30" s="416"/>
      <c r="AD30" s="416"/>
      <c r="AE30" s="416">
        <f>[8]Prognosa!G31</f>
        <v>884763187</v>
      </c>
      <c r="AF30" s="436">
        <f>AE30-N30</f>
        <v>484464837</v>
      </c>
      <c r="AG30" s="436">
        <v>169125652</v>
      </c>
      <c r="AP30" s="556">
        <f>'data Prognosa rutin'!U30</f>
        <v>884763187</v>
      </c>
      <c r="AQ30" s="562">
        <f>'data Prognosa rutin'!V30</f>
        <v>1.1190124081506234</v>
      </c>
    </row>
    <row r="31" spans="1:43">
      <c r="A31" s="404"/>
      <c r="B31" s="412"/>
      <c r="C31" s="413"/>
      <c r="D31" s="414">
        <v>3</v>
      </c>
      <c r="E31" s="418" t="s">
        <v>32</v>
      </c>
      <c r="F31" s="416">
        <v>224275761</v>
      </c>
      <c r="G31" s="416">
        <f>'[9]TANJUNG API'!$E$61</f>
        <v>9902500</v>
      </c>
      <c r="H31" s="416">
        <f>'[19]TANJUNG API'!$E$65</f>
        <v>10313000</v>
      </c>
      <c r="I31" s="416">
        <f>'[5]TANJUNG API'!$E$60</f>
        <v>2282500</v>
      </c>
      <c r="J31" s="416">
        <f>'[11]TANJUNG API'!E60</f>
        <v>10734600</v>
      </c>
      <c r="K31" s="416">
        <f>'[6]TANJUNG API'!$E$60</f>
        <v>2331000</v>
      </c>
      <c r="L31" s="416">
        <f>[12]TANJUNG!E62</f>
        <v>13912500</v>
      </c>
      <c r="M31" s="416">
        <f>'[18]TANJUNG API'!E62</f>
        <v>127111000</v>
      </c>
      <c r="N31" s="416">
        <f t="shared" si="25"/>
        <v>176587100</v>
      </c>
      <c r="O31" s="416"/>
      <c r="P31" s="416">
        <f>'[13]Outstanding V1 (SPI)'!$E$27</f>
        <v>49335000</v>
      </c>
      <c r="Q31" s="416">
        <f>'Rekap Pembayaran'!F67</f>
        <v>25476082</v>
      </c>
      <c r="R31" s="416">
        <f>'[13]Non Outstanding (Belum Fidias)'!$E$22</f>
        <v>20100000</v>
      </c>
      <c r="S31" s="416">
        <f>'[13]Hutang 2022'!$J$30</f>
        <v>137900000</v>
      </c>
      <c r="T31" s="416">
        <f t="shared" si="26"/>
        <v>232811082</v>
      </c>
      <c r="U31" s="416">
        <f t="shared" si="27"/>
        <v>409398182</v>
      </c>
      <c r="V31" s="471">
        <f t="shared" si="28"/>
        <v>1.8254232208357104</v>
      </c>
      <c r="W31" s="416"/>
      <c r="X31" s="416"/>
      <c r="Y31" s="416"/>
      <c r="Z31" s="416"/>
      <c r="AA31" s="416"/>
      <c r="AB31" s="416"/>
      <c r="AC31" s="416"/>
      <c r="AD31" s="416"/>
      <c r="AE31" s="416">
        <f>[8]Prognosa!G32</f>
        <v>169048600</v>
      </c>
      <c r="AF31" s="436">
        <f>AE31-N31</f>
        <v>-7538500</v>
      </c>
      <c r="AG31" s="436">
        <v>-4097895</v>
      </c>
      <c r="AP31" s="556">
        <f>'data Prognosa rutin'!U31</f>
        <v>262496833.75</v>
      </c>
      <c r="AQ31" s="562">
        <f>'data Prognosa rutin'!V31</f>
        <v>1.1704199891222307</v>
      </c>
    </row>
    <row r="32" spans="1:43">
      <c r="A32" s="404"/>
      <c r="B32" s="412"/>
      <c r="C32" s="413"/>
      <c r="D32" s="414">
        <v>4</v>
      </c>
      <c r="E32" s="418" t="s">
        <v>43</v>
      </c>
      <c r="F32" s="416">
        <v>322506800</v>
      </c>
      <c r="G32" s="416">
        <f>'[9]TANJUNG API'!$E$62</f>
        <v>2725000</v>
      </c>
      <c r="H32" s="416">
        <f>'[19]TANJUNG API'!$E$66</f>
        <v>31656500</v>
      </c>
      <c r="I32" s="416">
        <f>'[5]TANJUNG API'!$E$61</f>
        <v>10460000</v>
      </c>
      <c r="J32" s="416">
        <f>'[11]TANJUNG API'!E61</f>
        <v>3367000</v>
      </c>
      <c r="K32" s="416">
        <f>'[6]TANJUNG API'!$E$61</f>
        <v>20946000</v>
      </c>
      <c r="L32" s="416">
        <f>[12]TANJUNG!E63</f>
        <v>64749362</v>
      </c>
      <c r="M32" s="416">
        <f>'[18]TANJUNG API'!E63</f>
        <v>30321000</v>
      </c>
      <c r="N32" s="416">
        <f t="shared" si="25"/>
        <v>164224862</v>
      </c>
      <c r="O32" s="416">
        <f>'[13]Outstanding V1 (SPI)'!$E$27</f>
        <v>49335000</v>
      </c>
      <c r="P32" s="416">
        <f>'[13]Outstanding V1 (SPI)'!$E$19+'[13]Outstanding V1 (SPI)'!$E$35</f>
        <v>48630000</v>
      </c>
      <c r="Q32" s="416"/>
      <c r="R32" s="416">
        <f>'[13]Outstanding V1 (SPI)'!$E$13+'[13]Hutang 2022'!$J$37</f>
        <v>34112666</v>
      </c>
      <c r="S32" s="416">
        <f>'[13]Non Outstanding (Belum Fidias)'!$E$26</f>
        <v>53122035</v>
      </c>
      <c r="T32" s="416">
        <f t="shared" si="26"/>
        <v>185199701</v>
      </c>
      <c r="U32" s="416">
        <f t="shared" si="27"/>
        <v>349424563</v>
      </c>
      <c r="V32" s="471">
        <f t="shared" si="28"/>
        <v>1.0834641719182356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[8]Prognosa!G33</f>
        <v>211288362</v>
      </c>
      <c r="AF32" s="436">
        <f>AE32-N32</f>
        <v>47063500</v>
      </c>
      <c r="AG32" s="436">
        <v>-33818077.319999993</v>
      </c>
      <c r="AP32" s="556">
        <f>'data Prognosa rutin'!U32</f>
        <v>345666195.33333337</v>
      </c>
      <c r="AQ32" s="562">
        <f>'data Prognosa rutin'!V32</f>
        <v>1.0718105644077376</v>
      </c>
    </row>
    <row r="33" spans="1:43">
      <c r="A33" s="404"/>
      <c r="B33" s="412"/>
      <c r="C33" s="413"/>
      <c r="D33" s="414">
        <v>5</v>
      </c>
      <c r="E33" s="418" t="s">
        <v>904</v>
      </c>
      <c r="F33" s="416">
        <v>125798050</v>
      </c>
      <c r="G33" s="416"/>
      <c r="H33" s="416"/>
      <c r="I33" s="416"/>
      <c r="J33" s="416"/>
      <c r="K33" s="416"/>
      <c r="L33" s="416">
        <f>[12]TANJUNG!$E$52</f>
        <v>18348000</v>
      </c>
      <c r="M33" s="416"/>
      <c r="N33" s="416">
        <f t="shared" si="25"/>
        <v>18348000</v>
      </c>
      <c r="O33" s="416"/>
      <c r="P33" s="416"/>
      <c r="Q33" s="416"/>
      <c r="R33" s="416"/>
      <c r="S33" s="416"/>
      <c r="T33" s="416">
        <f t="shared" si="26"/>
        <v>0</v>
      </c>
      <c r="U33" s="416">
        <f t="shared" si="27"/>
        <v>18348000</v>
      </c>
      <c r="V33" s="471">
        <f t="shared" si="28"/>
        <v>0.14585281727339972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[8]Prognosa!G34</f>
        <v>18348000</v>
      </c>
      <c r="AF33" s="436">
        <f>AE33-N33</f>
        <v>0</v>
      </c>
      <c r="AG33" s="436">
        <v>-166800000</v>
      </c>
      <c r="AP33" s="556">
        <f>'data Prognosa rutin'!U33</f>
        <v>18348000</v>
      </c>
      <c r="AQ33" s="562">
        <f>'data Prognosa rutin'!V33</f>
        <v>0.14585281727339972</v>
      </c>
    </row>
    <row r="34" spans="1:43">
      <c r="A34" s="419"/>
      <c r="B34" s="420"/>
      <c r="C34" s="421"/>
      <c r="D34" s="422"/>
      <c r="E34" s="423" t="s">
        <v>905</v>
      </c>
      <c r="F34" s="424">
        <f t="shared" ref="F34:AF34" si="29">SUM(F29:F33)</f>
        <v>1711500034.121212</v>
      </c>
      <c r="G34" s="424">
        <f>SUM(G29:G33)</f>
        <v>12627500</v>
      </c>
      <c r="H34" s="424">
        <f t="shared" ref="H34:M34" si="30">SUM(H29:H33)</f>
        <v>41969500</v>
      </c>
      <c r="I34" s="424">
        <f t="shared" si="30"/>
        <v>45026760</v>
      </c>
      <c r="J34" s="424">
        <f t="shared" si="30"/>
        <v>19195700</v>
      </c>
      <c r="K34" s="424">
        <f t="shared" si="30"/>
        <v>46487000</v>
      </c>
      <c r="L34" s="424">
        <f t="shared" si="30"/>
        <v>429924112</v>
      </c>
      <c r="M34" s="424">
        <f t="shared" si="30"/>
        <v>236022000</v>
      </c>
      <c r="N34" s="424">
        <f t="shared" si="29"/>
        <v>831252572</v>
      </c>
      <c r="O34" s="424">
        <f t="shared" si="29"/>
        <v>105814875.09343435</v>
      </c>
      <c r="P34" s="424">
        <f t="shared" si="29"/>
        <v>142952925.09343433</v>
      </c>
      <c r="Q34" s="424">
        <f t="shared" si="29"/>
        <v>466774395.09343433</v>
      </c>
      <c r="R34" s="424">
        <f t="shared" si="29"/>
        <v>74900591.093434349</v>
      </c>
      <c r="S34" s="424">
        <f t="shared" si="29"/>
        <v>211709960.09343433</v>
      </c>
      <c r="T34" s="424">
        <f t="shared" si="29"/>
        <v>1002152746.4671717</v>
      </c>
      <c r="U34" s="424">
        <f t="shared" si="29"/>
        <v>1833405318.4671717</v>
      </c>
      <c r="V34" s="472">
        <f>U34/F34</f>
        <v>1.0712271585834663</v>
      </c>
      <c r="W34" s="424"/>
      <c r="X34" s="424"/>
      <c r="Y34" s="424"/>
      <c r="Z34" s="424"/>
      <c r="AA34" s="424"/>
      <c r="AB34" s="424"/>
      <c r="AC34" s="424"/>
      <c r="AD34" s="424"/>
      <c r="AE34" s="424">
        <f t="shared" si="29"/>
        <v>1370340629</v>
      </c>
      <c r="AF34" s="424">
        <f t="shared" si="29"/>
        <v>539088057</v>
      </c>
      <c r="AG34" s="424">
        <v>-18524610.319999993</v>
      </c>
      <c r="AP34" s="559">
        <f t="shared" ref="AP34" si="31">SUM(AP29:AP33)</f>
        <v>1701606321.5505052</v>
      </c>
      <c r="AQ34" s="472" t="e">
        <f>AP34/AA34</f>
        <v>#DIV/0!</v>
      </c>
    </row>
    <row r="35" spans="1:43">
      <c r="A35" s="404"/>
      <c r="B35" s="412"/>
      <c r="C35" s="413"/>
      <c r="D35" s="425"/>
      <c r="E35" s="426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</row>
    <row r="36" spans="1:43">
      <c r="A36" s="404"/>
      <c r="B36" s="412">
        <v>5</v>
      </c>
      <c r="C36" s="413" t="s">
        <v>909</v>
      </c>
      <c r="D36" s="414">
        <v>1</v>
      </c>
      <c r="E36" s="415" t="s">
        <v>902</v>
      </c>
      <c r="F36" s="416">
        <f>[2]REKAP!$F$46</f>
        <v>261345555.6666666</v>
      </c>
      <c r="G36" s="416"/>
      <c r="H36" s="416"/>
      <c r="I36" s="416">
        <f>'[5]TELUK TOLO'!$E$50</f>
        <v>32284260</v>
      </c>
      <c r="J36" s="416"/>
      <c r="K36" s="416">
        <f>'[6]TELUK TOLO'!$E$50</f>
        <v>16300000</v>
      </c>
      <c r="L36" s="416"/>
      <c r="M36" s="416">
        <f>'[20]TELUK TOLO'!$E$52</f>
        <v>39510000</v>
      </c>
      <c r="N36" s="416">
        <f>SUM(G36:M36)</f>
        <v>88094260</v>
      </c>
      <c r="O36" s="416">
        <f>F36/12</f>
        <v>21778796.305555549</v>
      </c>
      <c r="P36" s="416">
        <f>O36</f>
        <v>21778796.305555549</v>
      </c>
      <c r="Q36" s="416">
        <f t="shared" ref="Q36:S36" si="32">P36</f>
        <v>21778796.305555549</v>
      </c>
      <c r="R36" s="416">
        <f t="shared" si="32"/>
        <v>21778796.305555549</v>
      </c>
      <c r="S36" s="416">
        <f t="shared" si="32"/>
        <v>21778796.305555549</v>
      </c>
      <c r="T36" s="416">
        <f>SUM(O36:S36)</f>
        <v>108893981.52777775</v>
      </c>
      <c r="U36" s="416">
        <f>T36+N36</f>
        <v>196988241.52777773</v>
      </c>
      <c r="V36" s="471">
        <f>U36/F36</f>
        <v>0.75374628439837155</v>
      </c>
      <c r="W36" s="416"/>
      <c r="X36" s="416"/>
      <c r="Y36" s="416"/>
      <c r="Z36" s="416"/>
      <c r="AA36" s="416"/>
      <c r="AB36" s="416"/>
      <c r="AC36" s="416"/>
      <c r="AD36" s="416"/>
      <c r="AE36" s="416">
        <f>[8]Prognosa!G37</f>
        <v>103192480</v>
      </c>
      <c r="AF36" s="436">
        <f>AE36-N36</f>
        <v>15098220</v>
      </c>
      <c r="AG36" s="436">
        <v>7602610</v>
      </c>
      <c r="AP36" s="556">
        <f>'data Prognosa rutin'!U36</f>
        <v>212086461.52777773</v>
      </c>
      <c r="AQ36" s="562">
        <f>'data Prognosa rutin'!V36</f>
        <v>0.81151738351458169</v>
      </c>
    </row>
    <row r="37" spans="1:43">
      <c r="A37" s="404"/>
      <c r="B37" s="412"/>
      <c r="C37" s="413"/>
      <c r="D37" s="414">
        <v>2</v>
      </c>
      <c r="E37" s="418" t="s">
        <v>903</v>
      </c>
      <c r="F37" s="416">
        <v>847824785</v>
      </c>
      <c r="G37" s="416"/>
      <c r="H37" s="416"/>
      <c r="I37" s="416"/>
      <c r="J37" s="416"/>
      <c r="K37" s="416"/>
      <c r="L37" s="416"/>
      <c r="M37" s="416">
        <f>'[20]TELUK TOLO'!E60</f>
        <v>235960203</v>
      </c>
      <c r="N37" s="416">
        <f t="shared" ref="N37:N40" si="33">SUM(G37:M37)</f>
        <v>235960203</v>
      </c>
      <c r="O37" s="416">
        <f>'[13]Hutang 2022'!$J$9+'[13]Hutang 2022'!$J$12</f>
        <v>50239710</v>
      </c>
      <c r="P37" s="416">
        <f>'[13]Outstanding V1 (SPI)'!$E$4+'[13]Hutang 2022'!$J$14</f>
        <v>392773082</v>
      </c>
      <c r="Q37" s="416">
        <f>(('Rekap Pembayaran'!F91*50%)+'[21]RL Tambahan Docking'!$U$260)*95%+'[13]Hutang 2022'!$J$15</f>
        <v>431075848.48650002</v>
      </c>
      <c r="R37" s="416">
        <v>24500000</v>
      </c>
      <c r="S37" s="416"/>
      <c r="T37" s="416">
        <f t="shared" ref="T37:T40" si="34">SUM(O37:S37)</f>
        <v>898588640.48650002</v>
      </c>
      <c r="U37" s="416">
        <f t="shared" ref="U37:U40" si="35">T37+N37</f>
        <v>1134548843.4865</v>
      </c>
      <c r="V37" s="471">
        <f t="shared" ref="V37:V40" si="36">U37/F37</f>
        <v>1.3381878703705272</v>
      </c>
      <c r="W37" s="416"/>
      <c r="X37" s="416"/>
      <c r="Y37" s="416"/>
      <c r="Z37" s="416"/>
      <c r="AA37" s="416"/>
      <c r="AB37" s="416"/>
      <c r="AC37" s="416"/>
      <c r="AD37" s="416"/>
      <c r="AE37" s="416">
        <f>[8]Prognosa!G38</f>
        <v>1252641038</v>
      </c>
      <c r="AF37" s="436">
        <f>AE37-N37</f>
        <v>1016680835</v>
      </c>
      <c r="AG37" s="436">
        <v>634775737.33999991</v>
      </c>
      <c r="AP37" s="556">
        <f>'data Prognosa rutin'!U37</f>
        <v>1252641038</v>
      </c>
      <c r="AQ37" s="562">
        <f>'data Prognosa rutin'!V37</f>
        <v>1.4774763136937545</v>
      </c>
    </row>
    <row r="38" spans="1:43">
      <c r="A38" s="404"/>
      <c r="B38" s="412"/>
      <c r="C38" s="413"/>
      <c r="D38" s="414">
        <v>3</v>
      </c>
      <c r="E38" s="418" t="s">
        <v>32</v>
      </c>
      <c r="F38" s="416">
        <v>315284392</v>
      </c>
      <c r="G38" s="416">
        <f>'[9]TELUK TOLO'!$E$58</f>
        <v>2546000</v>
      </c>
      <c r="H38" s="416">
        <f>'[22]TELUK TOLO'!$E$63</f>
        <v>6881500</v>
      </c>
      <c r="I38" s="416">
        <f>'[5]TELUK TOLO'!$E$58</f>
        <v>2708000</v>
      </c>
      <c r="J38" s="416">
        <f>'[11]TELUK TOLO'!$E$58</f>
        <v>5375500</v>
      </c>
      <c r="K38" s="416">
        <f>'[6]TELUK TOLO'!$E$58</f>
        <v>2681500</v>
      </c>
      <c r="L38" s="416"/>
      <c r="M38" s="416">
        <f>'[20]TELUK TOLO'!E61</f>
        <v>12777500</v>
      </c>
      <c r="N38" s="416">
        <f t="shared" si="33"/>
        <v>32970000</v>
      </c>
      <c r="O38" s="416">
        <v>125700000</v>
      </c>
      <c r="P38" s="416">
        <f>'[13]Outstanding V1 (SPI)'!$E$7+'[13]Outstanding V1 (SPI)'!$E$9</f>
        <v>44020000</v>
      </c>
      <c r="Q38" s="416"/>
      <c r="R38" s="416">
        <f>(('Rekap Pembayaran'!F91*50%)+('[21]RL Tambahan Docking'!$U$260))*5%+'[13]Hutang 2022'!$J$20+'[13]Outstanding V1 (SPI)'!$E$31</f>
        <v>127749181.18350001</v>
      </c>
      <c r="S38" s="416">
        <f>'[13]Hutang 2022'!$J$27+'[13]Outstanding V1 (SPI)'!$E$30</f>
        <v>95052500</v>
      </c>
      <c r="T38" s="416">
        <f t="shared" si="34"/>
        <v>392521681.18349999</v>
      </c>
      <c r="U38" s="416">
        <f t="shared" si="35"/>
        <v>425491681.18349999</v>
      </c>
      <c r="V38" s="471">
        <f t="shared" si="36"/>
        <v>1.3495488263291511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[8]Prognosa!G39</f>
        <v>36200500</v>
      </c>
      <c r="AF38" s="436">
        <f>AE38-N38</f>
        <v>3230500</v>
      </c>
      <c r="AG38" s="436">
        <v>-86896650</v>
      </c>
      <c r="AP38" s="556">
        <f>'data Prognosa rutin'!U38</f>
        <v>167568996.66666666</v>
      </c>
      <c r="AQ38" s="562">
        <f>'data Prognosa rutin'!V38</f>
        <v>0.53148522704754331</v>
      </c>
    </row>
    <row r="39" spans="1:43">
      <c r="A39" s="404"/>
      <c r="B39" s="412"/>
      <c r="C39" s="413"/>
      <c r="D39" s="414">
        <v>4</v>
      </c>
      <c r="E39" s="418" t="s">
        <v>43</v>
      </c>
      <c r="F39" s="416">
        <v>319556100</v>
      </c>
      <c r="G39" s="416">
        <f>'[9]TELUK TOLO'!$E$59</f>
        <v>2600000</v>
      </c>
      <c r="H39" s="416">
        <f>'[22]TELUK TOLO'!$E$64</f>
        <v>24132200</v>
      </c>
      <c r="I39" s="416">
        <f>'[5]TELUK TOLO'!$E$59</f>
        <v>7210000</v>
      </c>
      <c r="J39" s="416">
        <f>'[11]TELUK TOLO'!$E$59</f>
        <v>6228000</v>
      </c>
      <c r="K39" s="416">
        <f>'[6]TELUK TOLO'!$E$59</f>
        <v>3131000</v>
      </c>
      <c r="L39" s="416">
        <f>'[12]TELUK TOLO'!$E$59</f>
        <v>26265000</v>
      </c>
      <c r="M39" s="416">
        <f>'[20]TELUK TOLO'!E62</f>
        <v>27481000</v>
      </c>
      <c r="N39" s="416">
        <f t="shared" si="33"/>
        <v>97047200</v>
      </c>
      <c r="O39" s="416">
        <f>'[13]Non Outstanding (Belum Fidias)'!$E$18+'[13]Non Outstanding (Belum Fidias)'!$E$19</f>
        <v>26265000</v>
      </c>
      <c r="P39" s="416"/>
      <c r="Q39" s="416"/>
      <c r="R39" s="416">
        <f>'[13]Outstanding V1 (SPI)'!$E$12</f>
        <v>29220000</v>
      </c>
      <c r="S39" s="416">
        <f>'[13]Hutang 2022'!$J$36+'[13]Hutang 2022'!$J$38</f>
        <v>60310296</v>
      </c>
      <c r="T39" s="416">
        <f t="shared" si="34"/>
        <v>115795296</v>
      </c>
      <c r="U39" s="416">
        <f t="shared" si="35"/>
        <v>212842496</v>
      </c>
      <c r="V39" s="471">
        <f t="shared" si="36"/>
        <v>0.66605674559177563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[8]Prognosa!G40</f>
        <v>80313000</v>
      </c>
      <c r="AF39" s="436">
        <f>AE39-N39</f>
        <v>-16734200</v>
      </c>
      <c r="AG39" s="436">
        <v>-35307097.5</v>
      </c>
      <c r="AP39" s="556">
        <f>'data Prognosa rutin'!U39</f>
        <v>213461375</v>
      </c>
      <c r="AQ39" s="562">
        <f>'data Prognosa rutin'!V39</f>
        <v>0.66799342900980452</v>
      </c>
    </row>
    <row r="40" spans="1:43">
      <c r="A40" s="404"/>
      <c r="B40" s="412"/>
      <c r="C40" s="413"/>
      <c r="D40" s="414">
        <v>5</v>
      </c>
      <c r="E40" s="418" t="s">
        <v>904</v>
      </c>
      <c r="F40" s="416">
        <v>222399646</v>
      </c>
      <c r="G40" s="416"/>
      <c r="H40" s="416"/>
      <c r="I40" s="416"/>
      <c r="J40" s="416"/>
      <c r="K40" s="416"/>
      <c r="L40" s="416"/>
      <c r="M40" s="416">
        <f>'[20]TELUK TOLO'!$E$51</f>
        <v>116550000</v>
      </c>
      <c r="N40" s="416">
        <f t="shared" si="33"/>
        <v>116550000</v>
      </c>
      <c r="O40" s="416"/>
      <c r="P40" s="416"/>
      <c r="Q40" s="416"/>
      <c r="R40" s="416"/>
      <c r="S40" s="416"/>
      <c r="T40" s="416">
        <f t="shared" si="34"/>
        <v>0</v>
      </c>
      <c r="U40" s="416">
        <f t="shared" si="35"/>
        <v>116550000</v>
      </c>
      <c r="V40" s="471">
        <f t="shared" si="36"/>
        <v>0.52405658955050671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[8]Prognosa!G41</f>
        <v>116550000</v>
      </c>
      <c r="AF40" s="436">
        <f>AE40-N40</f>
        <v>0</v>
      </c>
      <c r="AG40" s="436">
        <v>0</v>
      </c>
      <c r="AP40" s="556">
        <f>'data Prognosa rutin'!U40</f>
        <v>116550000</v>
      </c>
      <c r="AQ40" s="562">
        <f>'data Prognosa rutin'!V40</f>
        <v>0.52405658955050671</v>
      </c>
    </row>
    <row r="41" spans="1:43">
      <c r="A41" s="419"/>
      <c r="B41" s="420"/>
      <c r="C41" s="421"/>
      <c r="D41" s="422"/>
      <c r="E41" s="423" t="s">
        <v>905</v>
      </c>
      <c r="F41" s="424">
        <f t="shared" ref="F41:AF41" si="37">SUM(F36:F40)</f>
        <v>1966410478.6666665</v>
      </c>
      <c r="G41" s="424">
        <f>SUM(G36:G40)</f>
        <v>5146000</v>
      </c>
      <c r="H41" s="424">
        <f t="shared" ref="H41:M41" si="38">SUM(H36:H40)</f>
        <v>31013700</v>
      </c>
      <c r="I41" s="424">
        <f t="shared" si="38"/>
        <v>42202260</v>
      </c>
      <c r="J41" s="424">
        <f t="shared" si="38"/>
        <v>11603500</v>
      </c>
      <c r="K41" s="424">
        <f t="shared" si="38"/>
        <v>22112500</v>
      </c>
      <c r="L41" s="424">
        <f t="shared" si="38"/>
        <v>26265000</v>
      </c>
      <c r="M41" s="424">
        <f t="shared" si="38"/>
        <v>432278703</v>
      </c>
      <c r="N41" s="424">
        <f t="shared" si="37"/>
        <v>570621663</v>
      </c>
      <c r="O41" s="424">
        <f t="shared" si="37"/>
        <v>223983506.30555555</v>
      </c>
      <c r="P41" s="424">
        <f t="shared" si="37"/>
        <v>458571878.30555552</v>
      </c>
      <c r="Q41" s="424">
        <f t="shared" si="37"/>
        <v>452854644.79205555</v>
      </c>
      <c r="R41" s="424">
        <f t="shared" si="37"/>
        <v>203247977.48905557</v>
      </c>
      <c r="S41" s="424">
        <f t="shared" si="37"/>
        <v>177141592.30555555</v>
      </c>
      <c r="T41" s="424">
        <f t="shared" si="37"/>
        <v>1515799599.1977777</v>
      </c>
      <c r="U41" s="424">
        <f t="shared" si="37"/>
        <v>2086421262.1977777</v>
      </c>
      <c r="V41" s="472">
        <f>U41/F41</f>
        <v>1.0610303824318945</v>
      </c>
      <c r="W41" s="424"/>
      <c r="X41" s="424"/>
      <c r="Y41" s="424"/>
      <c r="Z41" s="424"/>
      <c r="AA41" s="424"/>
      <c r="AB41" s="424"/>
      <c r="AC41" s="424"/>
      <c r="AD41" s="424"/>
      <c r="AE41" s="424">
        <f t="shared" si="37"/>
        <v>1588897018</v>
      </c>
      <c r="AF41" s="424">
        <f t="shared" si="37"/>
        <v>1018275355</v>
      </c>
      <c r="AG41" s="424">
        <v>164503365.83999991</v>
      </c>
      <c r="AP41" s="559">
        <f t="shared" ref="AP41" si="39">SUM(AP36:AP40)</f>
        <v>1962307871.1944444</v>
      </c>
      <c r="AQ41" s="472" t="e">
        <f>AP41/AA41</f>
        <v>#DIV/0!</v>
      </c>
    </row>
    <row r="42" spans="1:43">
      <c r="A42" s="404"/>
      <c r="B42" s="412"/>
      <c r="C42" s="413"/>
      <c r="D42" s="425"/>
      <c r="E42" s="426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36">
        <f>N42-AE42</f>
        <v>0</v>
      </c>
      <c r="AG42" s="436">
        <v>0</v>
      </c>
    </row>
    <row r="43" spans="1:43">
      <c r="A43" s="419"/>
      <c r="B43" s="412">
        <v>6</v>
      </c>
      <c r="C43" s="413" t="s">
        <v>910</v>
      </c>
      <c r="D43" s="414">
        <v>1</v>
      </c>
      <c r="E43" s="415" t="s">
        <v>902</v>
      </c>
      <c r="F43" s="416">
        <f>[2]REKAP!$F$39</f>
        <v>246262676.87878782</v>
      </c>
      <c r="G43" s="416"/>
      <c r="H43" s="416"/>
      <c r="I43" s="416">
        <f>[5]DOLOSI!$E$53</f>
        <v>15900000</v>
      </c>
      <c r="J43" s="416"/>
      <c r="K43" s="416">
        <f>[6]DOLOSI!$E$53</f>
        <v>16300000</v>
      </c>
      <c r="L43" s="416"/>
      <c r="M43" s="416">
        <f>[23]DOLOSI!$E$53</f>
        <v>23210000</v>
      </c>
      <c r="N43" s="416">
        <f>SUM(G43:M43)</f>
        <v>55410000</v>
      </c>
      <c r="O43" s="416">
        <f>F43/12</f>
        <v>20521889.739898983</v>
      </c>
      <c r="P43" s="416">
        <f>O43</f>
        <v>20521889.739898983</v>
      </c>
      <c r="Q43" s="416">
        <f t="shared" ref="Q43:S43" si="40">P43</f>
        <v>20521889.739898983</v>
      </c>
      <c r="R43" s="416">
        <f t="shared" si="40"/>
        <v>20521889.739898983</v>
      </c>
      <c r="S43" s="416">
        <f t="shared" si="40"/>
        <v>20521889.739898983</v>
      </c>
      <c r="T43" s="416">
        <f>SUM(O43:S43)</f>
        <v>102609448.69949491</v>
      </c>
      <c r="U43" s="416">
        <f>T43+N43</f>
        <v>158019448.6994949</v>
      </c>
      <c r="V43" s="471">
        <f>U43/F43</f>
        <v>0.64167031197047031</v>
      </c>
      <c r="W43" s="416"/>
      <c r="X43" s="416"/>
      <c r="Y43" s="416"/>
      <c r="Z43" s="416"/>
      <c r="AA43" s="416"/>
      <c r="AB43" s="416"/>
      <c r="AC43" s="416"/>
      <c r="AD43" s="416"/>
      <c r="AE43" s="416">
        <f>[8]Prognosa!G44</f>
        <v>70508220</v>
      </c>
      <c r="AF43" s="436">
        <f>AE43-N43</f>
        <v>15098220</v>
      </c>
      <c r="AG43" s="436">
        <v>18774450</v>
      </c>
      <c r="AI43" s="411" t="s">
        <v>821</v>
      </c>
      <c r="AJ43" s="411" t="s">
        <v>822</v>
      </c>
      <c r="AK43" s="411" t="s">
        <v>835</v>
      </c>
      <c r="AL43" s="411" t="s">
        <v>842</v>
      </c>
      <c r="AP43" s="556">
        <f>'data Prognosa rutin'!U43</f>
        <v>173117668.6994949</v>
      </c>
      <c r="AQ43" s="562">
        <f>'data Prognosa rutin'!V43</f>
        <v>0.70297972430757183</v>
      </c>
    </row>
    <row r="44" spans="1:43" ht="14.25" customHeight="1">
      <c r="A44" s="404"/>
      <c r="B44" s="412"/>
      <c r="C44" s="591"/>
      <c r="D44" s="414">
        <v>2</v>
      </c>
      <c r="E44" s="418" t="s">
        <v>903</v>
      </c>
      <c r="F44" s="416">
        <v>876755778</v>
      </c>
      <c r="G44" s="416"/>
      <c r="H44" s="416">
        <f>[24]DOLOSI!E62</f>
        <v>26400000</v>
      </c>
      <c r="I44" s="416">
        <f>[5]DOLOSI!E60</f>
        <v>360403461</v>
      </c>
      <c r="J44" s="416"/>
      <c r="K44" s="416"/>
      <c r="L44" s="416"/>
      <c r="M44" s="416"/>
      <c r="N44" s="416">
        <f t="shared" ref="N44:N47" si="41">SUM(G44:M44)</f>
        <v>386803461</v>
      </c>
      <c r="O44" s="416">
        <v>25540000</v>
      </c>
      <c r="P44" s="416"/>
      <c r="Q44" s="416"/>
      <c r="R44" s="416">
        <v>23400000</v>
      </c>
      <c r="S44" s="416"/>
      <c r="T44" s="416">
        <f t="shared" ref="T44:T47" si="42">SUM(O44:S44)</f>
        <v>48940000</v>
      </c>
      <c r="U44" s="416">
        <f t="shared" ref="U44:U47" si="43">T44+N44</f>
        <v>435743461</v>
      </c>
      <c r="V44" s="471">
        <f t="shared" ref="V44:V47" si="44">U44/F44</f>
        <v>0.49699525447552856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[8]Prognosa!G45</f>
        <v>653548850</v>
      </c>
      <c r="AF44" s="436">
        <f>AE44-N44</f>
        <v>266745389</v>
      </c>
      <c r="AG44" s="436">
        <v>-334025189</v>
      </c>
      <c r="AI44" s="436">
        <v>28744815.000000004</v>
      </c>
      <c r="AJ44" s="436">
        <v>21600000</v>
      </c>
      <c r="AK44" s="436">
        <v>32400000</v>
      </c>
      <c r="AL44" s="436">
        <v>45040000</v>
      </c>
      <c r="AM44" s="436">
        <f>SUM(AI44:AL44)</f>
        <v>127784815</v>
      </c>
      <c r="AN44" s="436">
        <f>SUM(AJ44:AL44)</f>
        <v>99040000</v>
      </c>
      <c r="AP44" s="556">
        <f>'data Prognosa rutin'!U44</f>
        <v>653548850</v>
      </c>
      <c r="AQ44" s="562">
        <f>'data Prognosa rutin'!V44</f>
        <v>0.74541721468985855</v>
      </c>
    </row>
    <row r="45" spans="1:43">
      <c r="A45" s="419"/>
      <c r="B45" s="412"/>
      <c r="C45" s="591"/>
      <c r="D45" s="414">
        <v>3</v>
      </c>
      <c r="E45" s="418" t="s">
        <v>32</v>
      </c>
      <c r="F45" s="416">
        <v>299803810</v>
      </c>
      <c r="G45" s="416">
        <f>[9]DOLOSI!$E$61</f>
        <v>3105500</v>
      </c>
      <c r="H45" s="416">
        <f>[24]DOLOSI!E63</f>
        <v>15822500</v>
      </c>
      <c r="I45" s="416">
        <f>[5]DOLOSI!E61</f>
        <v>121596250</v>
      </c>
      <c r="J45" s="416">
        <f>[11]DOLOSI!$E$61</f>
        <v>62191500</v>
      </c>
      <c r="K45" s="416">
        <f>[6]DOLOSI!$E$61</f>
        <v>3352500</v>
      </c>
      <c r="L45" s="416"/>
      <c r="M45" s="416">
        <f>[23]DOLOSI!$E$62</f>
        <v>7376500</v>
      </c>
      <c r="N45" s="416">
        <f t="shared" si="41"/>
        <v>213444750</v>
      </c>
      <c r="O45" s="416">
        <f>'[13]Non Outstanding (Belum Fidias)'!$E$10+'[13]Non Outstanding (Belum Fidias)'!$E$11</f>
        <v>15750000</v>
      </c>
      <c r="P45" s="416">
        <f>'[13]Hutang 2022'!$J$22</f>
        <v>54062113</v>
      </c>
      <c r="Q45" s="416"/>
      <c r="R45" s="416"/>
      <c r="S45" s="416">
        <f>'[13]Hutang 2022'!$J$29</f>
        <v>99090000</v>
      </c>
      <c r="T45" s="416">
        <f t="shared" si="42"/>
        <v>168902113</v>
      </c>
      <c r="U45" s="416">
        <f t="shared" si="43"/>
        <v>382346863</v>
      </c>
      <c r="V45" s="471">
        <f t="shared" si="44"/>
        <v>1.2753235624323787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[8]Prognosa!G46</f>
        <v>213177250</v>
      </c>
      <c r="AF45" s="436">
        <f>AE45-N45</f>
        <v>-267500</v>
      </c>
      <c r="AG45" s="436">
        <v>-28336365</v>
      </c>
      <c r="AI45" s="436">
        <v>0</v>
      </c>
      <c r="AJ45" s="436">
        <v>0</v>
      </c>
      <c r="AK45" s="436">
        <v>0</v>
      </c>
      <c r="AL45" s="436">
        <v>0</v>
      </c>
      <c r="AM45" s="436">
        <f>SUM(AI45:AL45)</f>
        <v>0</v>
      </c>
      <c r="AP45" s="556">
        <f>'data Prognosa rutin'!U45</f>
        <v>338095504.16666663</v>
      </c>
      <c r="AQ45" s="562">
        <f>'data Prognosa rutin'!V45</f>
        <v>1.1277225068175973</v>
      </c>
    </row>
    <row r="46" spans="1:43">
      <c r="A46" s="419"/>
      <c r="B46" s="412"/>
      <c r="C46" s="591"/>
      <c r="D46" s="414">
        <v>4</v>
      </c>
      <c r="E46" s="418" t="s">
        <v>43</v>
      </c>
      <c r="F46" s="416">
        <v>338927600</v>
      </c>
      <c r="G46" s="416">
        <f>[9]DOLOSI!$E$62</f>
        <v>2570000</v>
      </c>
      <c r="H46" s="416">
        <f>[24]DOLOSI!E64</f>
        <v>82247200</v>
      </c>
      <c r="I46" s="416">
        <f>[5]DOLOSI!E62</f>
        <v>89905000</v>
      </c>
      <c r="J46" s="416">
        <f>[11]DOLOSI!$E$62</f>
        <v>1857000</v>
      </c>
      <c r="K46" s="416">
        <f>[6]DOLOSI!$E$62</f>
        <v>3168000</v>
      </c>
      <c r="L46" s="416">
        <f>[12]DOLOSI!$E$63</f>
        <v>17500000</v>
      </c>
      <c r="M46" s="416">
        <f>[23]DOLOSI!$E$63</f>
        <v>19687500</v>
      </c>
      <c r="N46" s="416">
        <f t="shared" si="41"/>
        <v>216934700</v>
      </c>
      <c r="O46" s="416">
        <f>'[13]Non Outstanding (Belum Fidias)'!$E$14+'[13]Non Outstanding (Belum Fidias)'!$E$15+'[13]Non Outstanding (Belum Fidias)'!$E$16+'[13]Outstanding V1 (SPI)'!$E$36</f>
        <v>88056265</v>
      </c>
      <c r="P46" s="416">
        <f>'[13]Outstanding V1 (SPI)'!$E$18+'[13]Hutang 2022'!$J$54</f>
        <v>40526200</v>
      </c>
      <c r="Q46" s="416">
        <f>'[13]Hutang 2022'!$J$41+'[13]Hutang 2022'!$J$52</f>
        <v>75459000</v>
      </c>
      <c r="R46" s="416">
        <f>'[13]Outstanding V1 (SPI)'!$E$24+'[13]Hutang 2022'!$J$53</f>
        <v>51170000</v>
      </c>
      <c r="S46" s="416">
        <v>43500000</v>
      </c>
      <c r="T46" s="416">
        <f t="shared" si="42"/>
        <v>298711465</v>
      </c>
      <c r="U46" s="416">
        <f t="shared" si="43"/>
        <v>515646165</v>
      </c>
      <c r="V46" s="471">
        <f t="shared" si="44"/>
        <v>1.5214050581894187</v>
      </c>
      <c r="W46" s="416"/>
      <c r="X46" s="416"/>
      <c r="Y46" s="416"/>
      <c r="Z46" s="416"/>
      <c r="AA46" s="416"/>
      <c r="AB46" s="416"/>
      <c r="AC46" s="416"/>
      <c r="AD46" s="416"/>
      <c r="AE46" s="416">
        <f>[8]Prognosa!G47</f>
        <v>232968700</v>
      </c>
      <c r="AF46" s="436">
        <f>AE46-N46</f>
        <v>16034000</v>
      </c>
      <c r="AG46" s="436">
        <v>-204326400.5</v>
      </c>
      <c r="AI46" s="436">
        <v>15583450</v>
      </c>
      <c r="AJ46" s="436">
        <v>4572000</v>
      </c>
      <c r="AK46" s="436">
        <v>65747000</v>
      </c>
      <c r="AL46" s="436">
        <v>37969018.814999998</v>
      </c>
      <c r="AM46" s="436">
        <f>SUM(AI46:AL46)</f>
        <v>123871468.815</v>
      </c>
      <c r="AN46" s="436">
        <f>SUM(AJ46:AL46)</f>
        <v>108288018.815</v>
      </c>
      <c r="AP46" s="556">
        <f>'data Prognosa rutin'!U46</f>
        <v>374188533.33333337</v>
      </c>
      <c r="AQ46" s="562">
        <f>'data Prognosa rutin'!V46</f>
        <v>1.1040367716684429</v>
      </c>
    </row>
    <row r="47" spans="1:43" ht="14.25" customHeight="1">
      <c r="A47" s="419"/>
      <c r="B47" s="412"/>
      <c r="C47" s="413"/>
      <c r="D47" s="414">
        <v>5</v>
      </c>
      <c r="E47" s="418" t="s">
        <v>904</v>
      </c>
      <c r="F47" s="416">
        <v>189877700</v>
      </c>
      <c r="G47" s="416">
        <v>127080222</v>
      </c>
      <c r="H47" s="416"/>
      <c r="I47" s="416"/>
      <c r="J47" s="416"/>
      <c r="K47" s="416"/>
      <c r="L47" s="416"/>
      <c r="M47" s="416"/>
      <c r="N47" s="416">
        <f t="shared" si="41"/>
        <v>127080222</v>
      </c>
      <c r="O47" s="416"/>
      <c r="P47" s="416"/>
      <c r="Q47" s="416"/>
      <c r="R47" s="416"/>
      <c r="S47" s="416"/>
      <c r="T47" s="416">
        <f t="shared" si="42"/>
        <v>0</v>
      </c>
      <c r="U47" s="416">
        <f t="shared" si="43"/>
        <v>127080222</v>
      </c>
      <c r="V47" s="471">
        <f t="shared" si="44"/>
        <v>0.66927407483869883</v>
      </c>
      <c r="W47" s="416"/>
      <c r="X47" s="416"/>
      <c r="Y47" s="416"/>
      <c r="Z47" s="416"/>
      <c r="AA47" s="416"/>
      <c r="AB47" s="416"/>
      <c r="AC47" s="416"/>
      <c r="AD47" s="416"/>
      <c r="AE47" s="416">
        <f>[8]Prognosa!G48</f>
        <v>20548000</v>
      </c>
      <c r="AF47" s="436">
        <f>AE47-N47</f>
        <v>-106532222</v>
      </c>
      <c r="AG47" s="436">
        <v>-394148000</v>
      </c>
      <c r="AI47" s="436">
        <v>68002600</v>
      </c>
      <c r="AJ47" s="436">
        <v>32028000</v>
      </c>
      <c r="AK47" s="436">
        <v>22585500</v>
      </c>
      <c r="AL47" s="436">
        <v>73692000</v>
      </c>
      <c r="AM47" s="436">
        <f>SUM(AI47:AL47)</f>
        <v>196308100</v>
      </c>
      <c r="AN47" s="436">
        <f>SUM(AJ47:AL47)</f>
        <v>128305500</v>
      </c>
      <c r="AP47" s="556">
        <f>'data Prognosa rutin'!U47</f>
        <v>20548000</v>
      </c>
      <c r="AQ47" s="562">
        <f>'data Prognosa rutin'!V47</f>
        <v>0.10821702601200668</v>
      </c>
    </row>
    <row r="48" spans="1:43">
      <c r="A48" s="419"/>
      <c r="B48" s="427"/>
      <c r="C48" s="428"/>
      <c r="D48" s="429"/>
      <c r="E48" s="430" t="s">
        <v>905</v>
      </c>
      <c r="F48" s="424">
        <f t="shared" ref="F48:AF48" si="45">SUM(F43:F47)</f>
        <v>1951627564.8787878</v>
      </c>
      <c r="G48" s="424">
        <f>SUM(G43:G47)</f>
        <v>132755722</v>
      </c>
      <c r="H48" s="424">
        <f t="shared" ref="H48:M48" si="46">SUM(H43:H47)</f>
        <v>124469700</v>
      </c>
      <c r="I48" s="424">
        <f t="shared" si="46"/>
        <v>587804711</v>
      </c>
      <c r="J48" s="424">
        <f t="shared" si="46"/>
        <v>64048500</v>
      </c>
      <c r="K48" s="424">
        <f t="shared" si="46"/>
        <v>22820500</v>
      </c>
      <c r="L48" s="424">
        <f t="shared" si="46"/>
        <v>17500000</v>
      </c>
      <c r="M48" s="424">
        <f t="shared" si="46"/>
        <v>50274000</v>
      </c>
      <c r="N48" s="424">
        <f t="shared" si="45"/>
        <v>999673133</v>
      </c>
      <c r="O48" s="424">
        <f t="shared" si="45"/>
        <v>149868154.73989898</v>
      </c>
      <c r="P48" s="424">
        <f t="shared" si="45"/>
        <v>115110202.73989898</v>
      </c>
      <c r="Q48" s="424">
        <f t="shared" si="45"/>
        <v>95980889.73989898</v>
      </c>
      <c r="R48" s="424">
        <f t="shared" si="45"/>
        <v>95091889.73989898</v>
      </c>
      <c r="S48" s="424">
        <f t="shared" si="45"/>
        <v>163111889.73989898</v>
      </c>
      <c r="T48" s="424">
        <f t="shared" si="45"/>
        <v>619163026.69949484</v>
      </c>
      <c r="U48" s="424">
        <f t="shared" si="45"/>
        <v>1618836159.6994948</v>
      </c>
      <c r="V48" s="472">
        <f>U48/F48</f>
        <v>0.82948006516808859</v>
      </c>
      <c r="W48" s="424"/>
      <c r="X48" s="424"/>
      <c r="Y48" s="424"/>
      <c r="Z48" s="424"/>
      <c r="AA48" s="424"/>
      <c r="AB48" s="424"/>
      <c r="AC48" s="424"/>
      <c r="AD48" s="424"/>
      <c r="AE48" s="424">
        <f t="shared" si="45"/>
        <v>1190751020</v>
      </c>
      <c r="AF48" s="424">
        <f t="shared" si="45"/>
        <v>191077887</v>
      </c>
      <c r="AG48" s="424">
        <v>-942061504.5</v>
      </c>
      <c r="AI48" s="436">
        <v>0</v>
      </c>
      <c r="AJ48" s="436"/>
      <c r="AK48" s="436">
        <v>0</v>
      </c>
      <c r="AL48" s="436"/>
      <c r="AM48" s="436">
        <f>SUM(AI48:AL48)</f>
        <v>0</v>
      </c>
      <c r="AP48" s="559">
        <f t="shared" ref="AP48" si="47">SUM(AP43:AP47)</f>
        <v>1559498556.1994948</v>
      </c>
      <c r="AQ48" s="472" t="e">
        <f>AP48/AA48</f>
        <v>#DIV/0!</v>
      </c>
    </row>
    <row r="49" spans="1:263" ht="8.25" customHeight="1">
      <c r="A49" s="419"/>
      <c r="B49" s="593"/>
      <c r="C49" s="594"/>
      <c r="D49" s="594"/>
      <c r="E49" s="594"/>
      <c r="F49" s="594"/>
      <c r="G49" s="594"/>
      <c r="H49" s="594"/>
      <c r="I49" s="594"/>
      <c r="J49" s="594"/>
      <c r="K49" s="594"/>
      <c r="L49" s="594"/>
      <c r="M49" s="594"/>
      <c r="N49" s="594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F49" s="468"/>
      <c r="AG49" s="468"/>
      <c r="AI49" s="436"/>
      <c r="AJ49" s="436"/>
      <c r="AK49" s="436"/>
      <c r="AL49" s="436"/>
      <c r="AM49" s="436"/>
    </row>
    <row r="50" spans="1:263" ht="10.050000000000001" customHeight="1">
      <c r="A50" s="419"/>
      <c r="B50" s="595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438"/>
      <c r="P50" s="438"/>
      <c r="Q50" s="438"/>
      <c r="R50" s="438"/>
      <c r="S50" s="438"/>
      <c r="T50" s="438"/>
      <c r="U50" s="438"/>
      <c r="V50" s="438"/>
      <c r="W50" s="470"/>
      <c r="X50" s="470"/>
      <c r="Y50" s="470"/>
      <c r="Z50" s="470"/>
      <c r="AA50" s="470"/>
      <c r="AB50" s="470"/>
      <c r="AC50" s="470"/>
      <c r="AD50" s="470"/>
      <c r="AF50" s="468"/>
      <c r="AG50" s="468"/>
      <c r="AI50" s="436"/>
      <c r="AJ50" s="436"/>
      <c r="AK50" s="436"/>
      <c r="AL50" s="436"/>
      <c r="AM50" s="436"/>
    </row>
    <row r="51" spans="1:263" ht="8.25" customHeight="1">
      <c r="A51" s="419"/>
      <c r="B51" s="412"/>
      <c r="C51" s="413"/>
      <c r="D51" s="439"/>
      <c r="E51" s="440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68"/>
      <c r="AG51" s="468"/>
    </row>
    <row r="52" spans="1:263" ht="16.5" customHeight="1">
      <c r="A52" s="419"/>
      <c r="B52" s="441"/>
      <c r="C52" s="442" t="s">
        <v>911</v>
      </c>
      <c r="D52" s="443">
        <v>1</v>
      </c>
      <c r="E52" s="444" t="s">
        <v>902</v>
      </c>
      <c r="F52" s="416">
        <f t="shared" ref="F52:M56" si="48">F8+F15+F22+F29+F36+F43</f>
        <v>1539400000.6666667</v>
      </c>
      <c r="G52" s="416">
        <f>G8+G15+G22+G29+G36+G43</f>
        <v>0</v>
      </c>
      <c r="H52" s="416">
        <f t="shared" ref="H52:M52" si="49">H8+H15+H22+H29+H36+H43</f>
        <v>0</v>
      </c>
      <c r="I52" s="416">
        <f t="shared" si="49"/>
        <v>183547040</v>
      </c>
      <c r="J52" s="416">
        <f t="shared" si="49"/>
        <v>0</v>
      </c>
      <c r="K52" s="416">
        <f t="shared" si="49"/>
        <v>118530000</v>
      </c>
      <c r="L52" s="416">
        <f t="shared" si="49"/>
        <v>0</v>
      </c>
      <c r="M52" s="416">
        <f t="shared" si="49"/>
        <v>95320000</v>
      </c>
      <c r="N52" s="416">
        <f>SUM(G52:M52)</f>
        <v>397397040</v>
      </c>
      <c r="O52" s="416">
        <f t="shared" ref="O52:U56" si="50">O8+O15+O22+O29+O36+O43</f>
        <v>128283333.38888891</v>
      </c>
      <c r="P52" s="416">
        <f t="shared" si="50"/>
        <v>128283333.38888891</v>
      </c>
      <c r="Q52" s="416">
        <f t="shared" si="50"/>
        <v>128283333.38888891</v>
      </c>
      <c r="R52" s="416">
        <f t="shared" si="50"/>
        <v>128283333.38888891</v>
      </c>
      <c r="S52" s="416">
        <f t="shared" si="50"/>
        <v>128283333.38888891</v>
      </c>
      <c r="T52" s="416">
        <f t="shared" si="50"/>
        <v>641416666.94444466</v>
      </c>
      <c r="U52" s="416">
        <f>U8+U15+U22+U29+U36+U43</f>
        <v>1038813706.9444444</v>
      </c>
      <c r="V52" s="471">
        <f>U52/F52</f>
        <v>0.67481727068634934</v>
      </c>
      <c r="W52" s="416"/>
      <c r="X52" s="416"/>
      <c r="Y52" s="416"/>
      <c r="Z52" s="416"/>
      <c r="AA52" s="416"/>
      <c r="AB52" s="416"/>
      <c r="AC52" s="416"/>
      <c r="AD52" s="416"/>
      <c r="AE52" s="416">
        <f t="shared" ref="AE52:AE56" si="51">AE8+AE15+AE22+AE29+AE36+AE43</f>
        <v>495286360</v>
      </c>
      <c r="AF52" s="436"/>
      <c r="AG52" s="436"/>
      <c r="AP52" s="556">
        <f>'data Prognosa rutin'!U52</f>
        <v>1136703026.9444444</v>
      </c>
    </row>
    <row r="53" spans="1:263" ht="16.5" customHeight="1">
      <c r="A53" s="404"/>
      <c r="B53" s="445"/>
      <c r="C53" s="446" t="s">
        <v>912</v>
      </c>
      <c r="D53" s="443">
        <v>2</v>
      </c>
      <c r="E53" s="447" t="s">
        <v>903</v>
      </c>
      <c r="F53" s="416">
        <f t="shared" si="48"/>
        <v>5267963053</v>
      </c>
      <c r="G53" s="416">
        <f t="shared" si="48"/>
        <v>0</v>
      </c>
      <c r="H53" s="416">
        <f t="shared" si="48"/>
        <v>231705375</v>
      </c>
      <c r="I53" s="416">
        <f t="shared" si="48"/>
        <v>709913461</v>
      </c>
      <c r="J53" s="416">
        <f t="shared" si="48"/>
        <v>5094100</v>
      </c>
      <c r="K53" s="416">
        <f t="shared" si="48"/>
        <v>381380000</v>
      </c>
      <c r="L53" s="416">
        <f t="shared" si="48"/>
        <v>400314250</v>
      </c>
      <c r="M53" s="416">
        <f t="shared" si="48"/>
        <v>635296703</v>
      </c>
      <c r="N53" s="416">
        <f t="shared" ref="N53:N56" si="52">SUM(G53:M53)</f>
        <v>2363703889</v>
      </c>
      <c r="O53" s="416">
        <f t="shared" si="50"/>
        <v>987628042</v>
      </c>
      <c r="P53" s="416">
        <f t="shared" si="50"/>
        <v>1150161443</v>
      </c>
      <c r="Q53" s="416">
        <f t="shared" si="50"/>
        <v>1076867138.4865</v>
      </c>
      <c r="R53" s="416">
        <f t="shared" si="50"/>
        <v>71300000</v>
      </c>
      <c r="S53" s="416">
        <f t="shared" si="50"/>
        <v>75890000</v>
      </c>
      <c r="T53" s="416">
        <f t="shared" si="50"/>
        <v>3361846623.4864998</v>
      </c>
      <c r="U53" s="416">
        <f t="shared" si="50"/>
        <v>5725550512.4864998</v>
      </c>
      <c r="V53" s="471">
        <f t="shared" ref="V53:V56" si="53">U53/F53</f>
        <v>1.0868623137411553</v>
      </c>
      <c r="W53" s="416"/>
      <c r="X53" s="416"/>
      <c r="Y53" s="416"/>
      <c r="Z53" s="416"/>
      <c r="AA53" s="416"/>
      <c r="AB53" s="416"/>
      <c r="AC53" s="416"/>
      <c r="AD53" s="416"/>
      <c r="AE53" s="416">
        <f t="shared" si="51"/>
        <v>7091965156</v>
      </c>
      <c r="AP53" s="556">
        <f>'data Prognosa rutin'!U53</f>
        <v>7091965156</v>
      </c>
    </row>
    <row r="54" spans="1:263" ht="16.5" customHeight="1">
      <c r="A54" s="419"/>
      <c r="B54" s="441"/>
      <c r="C54" s="583"/>
      <c r="D54" s="443">
        <v>3</v>
      </c>
      <c r="E54" s="447" t="s">
        <v>32</v>
      </c>
      <c r="F54" s="416">
        <f t="shared" si="48"/>
        <v>1674597721</v>
      </c>
      <c r="G54" s="416">
        <f t="shared" si="48"/>
        <v>46320750</v>
      </c>
      <c r="H54" s="416">
        <f t="shared" si="48"/>
        <v>136454500</v>
      </c>
      <c r="I54" s="416">
        <f t="shared" si="48"/>
        <v>239826750</v>
      </c>
      <c r="J54" s="416">
        <f t="shared" si="48"/>
        <v>307268350</v>
      </c>
      <c r="K54" s="416">
        <f t="shared" si="48"/>
        <v>162457920</v>
      </c>
      <c r="L54" s="416">
        <f t="shared" si="48"/>
        <v>55631500</v>
      </c>
      <c r="M54" s="416">
        <f t="shared" si="48"/>
        <v>195898000</v>
      </c>
      <c r="N54" s="416">
        <f t="shared" si="52"/>
        <v>1143857770</v>
      </c>
      <c r="O54" s="416">
        <f t="shared" si="50"/>
        <v>184700000</v>
      </c>
      <c r="P54" s="416">
        <f t="shared" si="50"/>
        <v>253417113</v>
      </c>
      <c r="Q54" s="416">
        <f t="shared" si="50"/>
        <v>168282720.75</v>
      </c>
      <c r="R54" s="416">
        <f t="shared" si="50"/>
        <v>378324556.18349999</v>
      </c>
      <c r="S54" s="416">
        <f t="shared" si="50"/>
        <v>558271350</v>
      </c>
      <c r="T54" s="416">
        <f t="shared" si="50"/>
        <v>1542995739.9335001</v>
      </c>
      <c r="U54" s="416">
        <f t="shared" si="50"/>
        <v>2686853509.9334998</v>
      </c>
      <c r="V54" s="471">
        <f t="shared" si="53"/>
        <v>1.6044769894521431</v>
      </c>
      <c r="W54" s="416"/>
      <c r="X54" s="416"/>
      <c r="Y54" s="416"/>
      <c r="Z54" s="416"/>
      <c r="AA54" s="416"/>
      <c r="AB54" s="416"/>
      <c r="AC54" s="416"/>
      <c r="AD54" s="416"/>
      <c r="AE54" s="416">
        <f t="shared" si="51"/>
        <v>1160880708</v>
      </c>
      <c r="AP54" s="556">
        <f>'data Prognosa rutin'!U54</f>
        <v>1858629758.416667</v>
      </c>
    </row>
    <row r="55" spans="1:263" ht="16.5" customHeight="1">
      <c r="A55" s="419"/>
      <c r="B55" s="441"/>
      <c r="C55" s="583"/>
      <c r="D55" s="443">
        <v>4</v>
      </c>
      <c r="E55" s="447" t="s">
        <v>43</v>
      </c>
      <c r="F55" s="416">
        <f t="shared" si="48"/>
        <v>1846810500</v>
      </c>
      <c r="G55" s="416">
        <f t="shared" si="48"/>
        <v>15505000</v>
      </c>
      <c r="H55" s="416">
        <f t="shared" si="48"/>
        <v>224812430</v>
      </c>
      <c r="I55" s="416">
        <f t="shared" si="48"/>
        <v>266638578</v>
      </c>
      <c r="J55" s="416">
        <f t="shared" si="48"/>
        <v>71761200</v>
      </c>
      <c r="K55" s="416">
        <f t="shared" si="48"/>
        <v>239405900</v>
      </c>
      <c r="L55" s="416">
        <f t="shared" si="48"/>
        <v>123494362</v>
      </c>
      <c r="M55" s="416">
        <f t="shared" si="48"/>
        <v>191238000</v>
      </c>
      <c r="N55" s="416">
        <f t="shared" si="52"/>
        <v>1132855470</v>
      </c>
      <c r="O55" s="416">
        <f t="shared" si="50"/>
        <v>279427265</v>
      </c>
      <c r="P55" s="416">
        <f t="shared" si="50"/>
        <v>257723115</v>
      </c>
      <c r="Q55" s="416">
        <f t="shared" si="50"/>
        <v>253944968</v>
      </c>
      <c r="R55" s="416">
        <f t="shared" si="50"/>
        <v>334648456</v>
      </c>
      <c r="S55" s="416">
        <f t="shared" si="50"/>
        <v>263451731</v>
      </c>
      <c r="T55" s="416">
        <f t="shared" si="50"/>
        <v>1389195535</v>
      </c>
      <c r="U55" s="416">
        <f t="shared" si="50"/>
        <v>2522051005</v>
      </c>
      <c r="V55" s="471">
        <f t="shared" si="53"/>
        <v>1.3656252252193715</v>
      </c>
      <c r="W55" s="416"/>
      <c r="X55" s="416"/>
      <c r="Y55" s="416"/>
      <c r="Z55" s="416"/>
      <c r="AA55" s="416"/>
      <c r="AB55" s="416"/>
      <c r="AC55" s="416"/>
      <c r="AD55" s="416"/>
      <c r="AE55" s="416">
        <f t="shared" si="51"/>
        <v>1222998640</v>
      </c>
      <c r="AP55" s="556">
        <f>'data Prognosa rutin'!U55</f>
        <v>1992503015</v>
      </c>
    </row>
    <row r="56" spans="1:263" ht="16.5" customHeight="1" thickBot="1">
      <c r="A56" s="419"/>
      <c r="B56" s="448"/>
      <c r="C56" s="584"/>
      <c r="D56" s="449">
        <v>5</v>
      </c>
      <c r="E56" s="450" t="s">
        <v>904</v>
      </c>
      <c r="F56" s="451">
        <f t="shared" si="48"/>
        <v>923585096</v>
      </c>
      <c r="G56" s="451">
        <f t="shared" si="48"/>
        <v>127080222</v>
      </c>
      <c r="H56" s="451">
        <f t="shared" si="48"/>
        <v>0</v>
      </c>
      <c r="I56" s="451">
        <f t="shared" si="48"/>
        <v>186800000</v>
      </c>
      <c r="J56" s="451">
        <f t="shared" si="48"/>
        <v>0</v>
      </c>
      <c r="K56" s="451">
        <f t="shared" si="48"/>
        <v>115495500</v>
      </c>
      <c r="L56" s="451">
        <f t="shared" si="48"/>
        <v>185948000</v>
      </c>
      <c r="M56" s="451">
        <f t="shared" si="48"/>
        <v>134986000</v>
      </c>
      <c r="N56" s="416">
        <f t="shared" si="52"/>
        <v>750309722</v>
      </c>
      <c r="O56" s="451">
        <f t="shared" si="50"/>
        <v>0</v>
      </c>
      <c r="P56" s="451">
        <f t="shared" si="50"/>
        <v>0</v>
      </c>
      <c r="Q56" s="451">
        <f t="shared" si="50"/>
        <v>0</v>
      </c>
      <c r="R56" s="451">
        <f t="shared" si="50"/>
        <v>0</v>
      </c>
      <c r="S56" s="451">
        <f t="shared" si="50"/>
        <v>0</v>
      </c>
      <c r="T56" s="451">
        <f t="shared" si="50"/>
        <v>0</v>
      </c>
      <c r="U56" s="451">
        <f t="shared" si="50"/>
        <v>750309722</v>
      </c>
      <c r="V56" s="471">
        <f t="shared" si="53"/>
        <v>0.81238829562056947</v>
      </c>
      <c r="W56" s="416"/>
      <c r="X56" s="416"/>
      <c r="Y56" s="416"/>
      <c r="Z56" s="416"/>
      <c r="AA56" s="416"/>
      <c r="AB56" s="416"/>
      <c r="AC56" s="416"/>
      <c r="AD56" s="416"/>
      <c r="AE56" s="451">
        <f t="shared" si="51"/>
        <v>643777500</v>
      </c>
      <c r="AP56" s="556">
        <f>'data Prognosa rutin'!U56</f>
        <v>643777500</v>
      </c>
    </row>
    <row r="57" spans="1:263" ht="16.5" customHeight="1" thickBot="1">
      <c r="A57" s="419"/>
      <c r="B57" s="452"/>
      <c r="C57" s="453"/>
      <c r="D57" s="454"/>
      <c r="E57" s="455" t="s">
        <v>905</v>
      </c>
      <c r="F57" s="456">
        <f t="shared" ref="F57:U57" si="54">SUM(F52:F56)</f>
        <v>11252356370.666668</v>
      </c>
      <c r="G57" s="456">
        <f t="shared" si="54"/>
        <v>188905972</v>
      </c>
      <c r="H57" s="456">
        <f t="shared" si="54"/>
        <v>592972305</v>
      </c>
      <c r="I57" s="456">
        <f t="shared" si="54"/>
        <v>1586725829</v>
      </c>
      <c r="J57" s="456">
        <f t="shared" si="54"/>
        <v>384123650</v>
      </c>
      <c r="K57" s="456">
        <f t="shared" si="54"/>
        <v>1017269320</v>
      </c>
      <c r="L57" s="456">
        <f t="shared" si="54"/>
        <v>765388112</v>
      </c>
      <c r="M57" s="456">
        <f t="shared" si="54"/>
        <v>1252738703</v>
      </c>
      <c r="N57" s="456">
        <f t="shared" si="54"/>
        <v>5788123891</v>
      </c>
      <c r="O57" s="456">
        <f t="shared" si="54"/>
        <v>1580038640.3888888</v>
      </c>
      <c r="P57" s="456">
        <f t="shared" si="54"/>
        <v>1789585004.3888888</v>
      </c>
      <c r="Q57" s="456">
        <f t="shared" si="54"/>
        <v>1627378160.6253889</v>
      </c>
      <c r="R57" s="456">
        <f t="shared" si="54"/>
        <v>912556345.57238889</v>
      </c>
      <c r="S57" s="456">
        <f t="shared" si="54"/>
        <v>1025896414.3888888</v>
      </c>
      <c r="T57" s="456">
        <f t="shared" si="54"/>
        <v>6935454565.3644447</v>
      </c>
      <c r="U57" s="456">
        <f t="shared" si="54"/>
        <v>12723578456.364445</v>
      </c>
      <c r="V57" s="473">
        <f>U57/F57</f>
        <v>1.1307479106805618</v>
      </c>
      <c r="W57" s="456"/>
      <c r="X57" s="456"/>
      <c r="Y57" s="456"/>
      <c r="Z57" s="456"/>
      <c r="AA57" s="456"/>
      <c r="AB57" s="456"/>
      <c r="AC57" s="456"/>
      <c r="AD57" s="456"/>
      <c r="AE57" s="456">
        <f>SUM(AE52:AE56)</f>
        <v>10614908364</v>
      </c>
      <c r="AP57" s="559">
        <f t="shared" ref="AP57" si="55">SUM(AP52:AP56)</f>
        <v>12723578456.361111</v>
      </c>
    </row>
    <row r="58" spans="1:263" s="460" customFormat="1">
      <c r="A58" s="411"/>
      <c r="B58" s="411"/>
      <c r="C58" s="411"/>
      <c r="D58" s="457"/>
      <c r="E58" s="458"/>
      <c r="F58" s="436"/>
      <c r="G58" s="436"/>
      <c r="H58" s="436"/>
      <c r="I58" s="436"/>
      <c r="J58" s="436"/>
      <c r="K58" s="436"/>
      <c r="L58" s="436"/>
      <c r="M58" s="436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11"/>
      <c r="AG58" s="411"/>
      <c r="AH58" s="411"/>
      <c r="AI58" s="411"/>
      <c r="AJ58" s="411"/>
      <c r="AK58" s="411"/>
      <c r="AL58" s="411"/>
      <c r="AM58" s="411"/>
      <c r="AN58" s="411"/>
      <c r="AO58" s="411"/>
      <c r="AP58" s="556"/>
      <c r="AQ58" s="562"/>
      <c r="AR58" s="411"/>
      <c r="AS58" s="411"/>
      <c r="AT58" s="411"/>
      <c r="AU58" s="411"/>
      <c r="AV58" s="411"/>
      <c r="AW58" s="411"/>
      <c r="AX58" s="411"/>
      <c r="AY58" s="411"/>
      <c r="AZ58" s="411"/>
      <c r="BA58" s="411"/>
      <c r="BB58" s="411"/>
      <c r="BC58" s="411"/>
      <c r="BD58" s="411"/>
      <c r="BE58" s="411"/>
      <c r="BF58" s="411"/>
      <c r="BG58" s="411"/>
      <c r="BH58" s="411"/>
      <c r="BI58" s="411"/>
      <c r="BJ58" s="411"/>
      <c r="BK58" s="411"/>
      <c r="BL58" s="411"/>
      <c r="BM58" s="411"/>
      <c r="BN58" s="411"/>
      <c r="BO58" s="411"/>
      <c r="BP58" s="411"/>
      <c r="BQ58" s="411"/>
      <c r="BR58" s="411"/>
      <c r="BS58" s="411"/>
      <c r="BT58" s="411"/>
      <c r="BU58" s="411"/>
      <c r="BV58" s="411"/>
      <c r="BW58" s="411"/>
      <c r="BX58" s="411"/>
      <c r="BY58" s="411"/>
      <c r="BZ58" s="411"/>
      <c r="CA58" s="411"/>
      <c r="CB58" s="411"/>
      <c r="CC58" s="411"/>
      <c r="CD58" s="411"/>
      <c r="CE58" s="411"/>
      <c r="CF58" s="411"/>
      <c r="CG58" s="411"/>
      <c r="CH58" s="411"/>
      <c r="CI58" s="411"/>
      <c r="CJ58" s="411"/>
      <c r="CK58" s="411"/>
      <c r="CL58" s="411"/>
      <c r="CM58" s="411"/>
      <c r="CN58" s="411"/>
      <c r="CO58" s="411"/>
      <c r="CP58" s="411"/>
      <c r="CQ58" s="411"/>
      <c r="CR58" s="411"/>
      <c r="CS58" s="411"/>
      <c r="CT58" s="411"/>
      <c r="CU58" s="411"/>
      <c r="CV58" s="411"/>
      <c r="CW58" s="411"/>
      <c r="CX58" s="411"/>
      <c r="CY58" s="411"/>
      <c r="CZ58" s="411"/>
      <c r="DA58" s="411"/>
      <c r="DB58" s="411"/>
      <c r="DC58" s="411"/>
      <c r="DD58" s="411"/>
      <c r="DE58" s="411"/>
      <c r="DF58" s="411"/>
      <c r="DG58" s="411"/>
      <c r="DH58" s="411"/>
      <c r="DI58" s="411"/>
      <c r="DJ58" s="411"/>
      <c r="DK58" s="411"/>
      <c r="DL58" s="411"/>
      <c r="DM58" s="411"/>
      <c r="DN58" s="411"/>
      <c r="DO58" s="411"/>
      <c r="DP58" s="411"/>
      <c r="DQ58" s="411"/>
      <c r="DR58" s="411"/>
      <c r="DS58" s="411"/>
      <c r="DT58" s="411"/>
      <c r="DU58" s="411"/>
      <c r="DV58" s="411"/>
      <c r="DW58" s="411"/>
      <c r="DX58" s="411"/>
      <c r="DY58" s="411"/>
      <c r="DZ58" s="411"/>
      <c r="EA58" s="411"/>
      <c r="EB58" s="411"/>
      <c r="EC58" s="411"/>
      <c r="ED58" s="411"/>
      <c r="EE58" s="411"/>
      <c r="EF58" s="411"/>
      <c r="EG58" s="411"/>
      <c r="EH58" s="411"/>
      <c r="EI58" s="411"/>
      <c r="EJ58" s="411"/>
      <c r="EK58" s="411"/>
      <c r="EL58" s="411"/>
      <c r="EM58" s="411"/>
      <c r="EN58" s="411"/>
      <c r="EO58" s="411"/>
      <c r="EP58" s="411"/>
      <c r="EQ58" s="411"/>
      <c r="ER58" s="411"/>
      <c r="ES58" s="411"/>
      <c r="ET58" s="411"/>
      <c r="EU58" s="411"/>
      <c r="EV58" s="411"/>
      <c r="EW58" s="411"/>
      <c r="EX58" s="411"/>
      <c r="EY58" s="411"/>
      <c r="EZ58" s="411"/>
      <c r="FA58" s="411"/>
      <c r="FB58" s="411"/>
      <c r="FC58" s="411"/>
      <c r="FD58" s="411"/>
      <c r="FE58" s="411"/>
      <c r="FF58" s="411"/>
      <c r="FG58" s="411"/>
      <c r="FH58" s="411"/>
      <c r="FI58" s="411"/>
      <c r="FJ58" s="411"/>
      <c r="FK58" s="411"/>
      <c r="FL58" s="411"/>
      <c r="FM58" s="411"/>
      <c r="FN58" s="411"/>
      <c r="FO58" s="411"/>
      <c r="FP58" s="411"/>
      <c r="FQ58" s="411"/>
      <c r="FR58" s="411"/>
      <c r="FS58" s="411"/>
      <c r="FT58" s="411"/>
      <c r="FU58" s="411"/>
      <c r="FV58" s="411"/>
      <c r="FW58" s="411"/>
      <c r="FX58" s="411"/>
      <c r="FY58" s="411"/>
      <c r="FZ58" s="411"/>
      <c r="GA58" s="411"/>
      <c r="GB58" s="411"/>
      <c r="GC58" s="411"/>
      <c r="GD58" s="411"/>
      <c r="GE58" s="411"/>
      <c r="GF58" s="411"/>
      <c r="GG58" s="411"/>
      <c r="GH58" s="411"/>
      <c r="GI58" s="411"/>
      <c r="GJ58" s="411"/>
      <c r="GK58" s="411"/>
      <c r="GL58" s="411"/>
      <c r="GM58" s="411"/>
      <c r="GN58" s="411"/>
      <c r="GO58" s="411"/>
      <c r="GP58" s="411"/>
      <c r="GQ58" s="411"/>
      <c r="GR58" s="411"/>
      <c r="GS58" s="411"/>
      <c r="GT58" s="411"/>
      <c r="GU58" s="411"/>
      <c r="GV58" s="411"/>
      <c r="GW58" s="411"/>
      <c r="GX58" s="411"/>
      <c r="GY58" s="411"/>
      <c r="GZ58" s="411"/>
      <c r="HA58" s="411"/>
      <c r="HB58" s="411"/>
      <c r="HC58" s="411"/>
      <c r="HD58" s="411"/>
      <c r="HE58" s="411"/>
      <c r="HF58" s="411"/>
      <c r="HG58" s="411"/>
      <c r="HH58" s="411"/>
      <c r="HI58" s="411"/>
      <c r="HJ58" s="411"/>
      <c r="HK58" s="411"/>
      <c r="HL58" s="411"/>
      <c r="HM58" s="411"/>
      <c r="HN58" s="411"/>
      <c r="HO58" s="411"/>
      <c r="HP58" s="411"/>
      <c r="HQ58" s="411"/>
      <c r="HR58" s="411"/>
      <c r="HS58" s="411"/>
      <c r="HT58" s="411"/>
      <c r="HU58" s="411"/>
      <c r="HV58" s="411"/>
      <c r="HW58" s="411"/>
      <c r="HX58" s="411"/>
      <c r="HY58" s="411"/>
      <c r="HZ58" s="411"/>
      <c r="IA58" s="411"/>
      <c r="IB58" s="411"/>
      <c r="IC58" s="411"/>
      <c r="ID58" s="411"/>
      <c r="IE58" s="411"/>
      <c r="IF58" s="411"/>
      <c r="IG58" s="411"/>
      <c r="IH58" s="411"/>
      <c r="II58" s="411"/>
      <c r="IJ58" s="411"/>
      <c r="IK58" s="411"/>
      <c r="IL58" s="411"/>
      <c r="IM58" s="411"/>
      <c r="IN58" s="411"/>
      <c r="IO58" s="411"/>
      <c r="IP58" s="411"/>
      <c r="IQ58" s="411"/>
      <c r="IR58" s="411"/>
      <c r="IS58" s="411"/>
      <c r="IT58" s="411"/>
      <c r="IU58" s="411"/>
      <c r="IV58" s="411"/>
      <c r="IW58" s="411"/>
      <c r="IX58" s="411"/>
      <c r="IY58" s="411"/>
      <c r="IZ58" s="411"/>
      <c r="JA58" s="411"/>
      <c r="JB58" s="411"/>
      <c r="JC58" s="411"/>
    </row>
    <row r="59" spans="1:263" s="460" customFormat="1" hidden="1">
      <c r="A59" s="411"/>
      <c r="B59" s="411"/>
      <c r="C59" s="411"/>
      <c r="D59" s="457"/>
      <c r="E59" s="458"/>
      <c r="F59" s="436"/>
      <c r="G59" s="436"/>
      <c r="H59" s="436"/>
      <c r="I59" s="436"/>
      <c r="J59" s="436"/>
      <c r="K59" s="436"/>
      <c r="L59" s="436"/>
      <c r="M59" s="436"/>
      <c r="N59" s="563">
        <f>'[25]PENDAPATAN HURAAAAY'!$DG$32</f>
        <v>5788123891</v>
      </c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11"/>
      <c r="AG59" s="411"/>
      <c r="AH59" s="411"/>
      <c r="AI59" s="411"/>
      <c r="AJ59" s="411"/>
      <c r="AK59" s="411"/>
      <c r="AL59" s="411"/>
      <c r="AM59" s="411"/>
      <c r="AN59" s="411"/>
      <c r="AO59" s="411"/>
      <c r="AP59" s="556">
        <f>'[25]PENDAPATAN HURAAAAY'!$DH$32</f>
        <v>6935454565</v>
      </c>
      <c r="AQ59" s="562"/>
      <c r="AR59" s="411"/>
      <c r="AS59" s="411"/>
      <c r="AT59" s="411"/>
      <c r="AU59" s="411"/>
      <c r="AV59" s="411"/>
      <c r="AW59" s="411"/>
      <c r="AX59" s="411"/>
      <c r="AY59" s="411"/>
      <c r="AZ59" s="411"/>
      <c r="BA59" s="411"/>
      <c r="BB59" s="411"/>
      <c r="BC59" s="411"/>
      <c r="BD59" s="411"/>
      <c r="BE59" s="411"/>
      <c r="BF59" s="411"/>
      <c r="BG59" s="411"/>
      <c r="BH59" s="411"/>
      <c r="BI59" s="411"/>
      <c r="BJ59" s="411"/>
      <c r="BK59" s="411"/>
      <c r="BL59" s="411"/>
      <c r="BM59" s="411"/>
      <c r="BN59" s="411"/>
      <c r="BO59" s="411"/>
      <c r="BP59" s="411"/>
      <c r="BQ59" s="411"/>
      <c r="BR59" s="411"/>
      <c r="BS59" s="411"/>
      <c r="BT59" s="411"/>
      <c r="BU59" s="411"/>
      <c r="BV59" s="411"/>
      <c r="BW59" s="411"/>
      <c r="BX59" s="411"/>
      <c r="BY59" s="411"/>
      <c r="BZ59" s="411"/>
      <c r="CA59" s="411"/>
      <c r="CB59" s="411"/>
      <c r="CC59" s="411"/>
      <c r="CD59" s="411"/>
      <c r="CE59" s="411"/>
      <c r="CF59" s="411"/>
      <c r="CG59" s="411"/>
      <c r="CH59" s="411"/>
      <c r="CI59" s="411"/>
      <c r="CJ59" s="411"/>
      <c r="CK59" s="411"/>
      <c r="CL59" s="411"/>
      <c r="CM59" s="411"/>
      <c r="CN59" s="411"/>
      <c r="CO59" s="411"/>
      <c r="CP59" s="411"/>
      <c r="CQ59" s="411"/>
      <c r="CR59" s="411"/>
      <c r="CS59" s="411"/>
      <c r="CT59" s="411"/>
      <c r="CU59" s="411"/>
      <c r="CV59" s="411"/>
      <c r="CW59" s="411"/>
      <c r="CX59" s="411"/>
      <c r="CY59" s="411"/>
      <c r="CZ59" s="411"/>
      <c r="DA59" s="411"/>
      <c r="DB59" s="411"/>
      <c r="DC59" s="411"/>
      <c r="DD59" s="411"/>
      <c r="DE59" s="411"/>
      <c r="DF59" s="411"/>
      <c r="DG59" s="411"/>
      <c r="DH59" s="411"/>
      <c r="DI59" s="411"/>
      <c r="DJ59" s="411"/>
      <c r="DK59" s="411"/>
      <c r="DL59" s="411"/>
      <c r="DM59" s="411"/>
      <c r="DN59" s="411"/>
      <c r="DO59" s="411"/>
      <c r="DP59" s="411"/>
      <c r="DQ59" s="411"/>
      <c r="DR59" s="411"/>
      <c r="DS59" s="411"/>
      <c r="DT59" s="411"/>
      <c r="DU59" s="411"/>
      <c r="DV59" s="411"/>
      <c r="DW59" s="411"/>
      <c r="DX59" s="411"/>
      <c r="DY59" s="411"/>
      <c r="DZ59" s="411"/>
      <c r="EA59" s="411"/>
      <c r="EB59" s="411"/>
      <c r="EC59" s="411"/>
      <c r="ED59" s="411"/>
      <c r="EE59" s="411"/>
      <c r="EF59" s="411"/>
      <c r="EG59" s="411"/>
      <c r="EH59" s="411"/>
      <c r="EI59" s="411"/>
      <c r="EJ59" s="411"/>
      <c r="EK59" s="411"/>
      <c r="EL59" s="411"/>
      <c r="EM59" s="411"/>
      <c r="EN59" s="411"/>
      <c r="EO59" s="411"/>
      <c r="EP59" s="411"/>
      <c r="EQ59" s="411"/>
      <c r="ER59" s="411"/>
      <c r="ES59" s="411"/>
      <c r="ET59" s="411"/>
      <c r="EU59" s="411"/>
      <c r="EV59" s="411"/>
      <c r="EW59" s="411"/>
      <c r="EX59" s="411"/>
      <c r="EY59" s="411"/>
      <c r="EZ59" s="411"/>
      <c r="FA59" s="411"/>
      <c r="FB59" s="411"/>
      <c r="FC59" s="411"/>
      <c r="FD59" s="411"/>
      <c r="FE59" s="411"/>
      <c r="FF59" s="411"/>
      <c r="FG59" s="411"/>
      <c r="FH59" s="411"/>
      <c r="FI59" s="411"/>
      <c r="FJ59" s="411"/>
      <c r="FK59" s="411"/>
      <c r="FL59" s="411"/>
      <c r="FM59" s="411"/>
      <c r="FN59" s="411"/>
      <c r="FO59" s="411"/>
      <c r="FP59" s="411"/>
      <c r="FQ59" s="411"/>
      <c r="FR59" s="411"/>
      <c r="FS59" s="411"/>
      <c r="FT59" s="411"/>
      <c r="FU59" s="411"/>
      <c r="FV59" s="411"/>
      <c r="FW59" s="411"/>
      <c r="FX59" s="411"/>
      <c r="FY59" s="411"/>
      <c r="FZ59" s="411"/>
      <c r="GA59" s="411"/>
      <c r="GB59" s="411"/>
      <c r="GC59" s="411"/>
      <c r="GD59" s="411"/>
      <c r="GE59" s="411"/>
      <c r="GF59" s="411"/>
      <c r="GG59" s="411"/>
      <c r="GH59" s="411"/>
      <c r="GI59" s="411"/>
      <c r="GJ59" s="411"/>
      <c r="GK59" s="411"/>
      <c r="GL59" s="411"/>
      <c r="GM59" s="411"/>
      <c r="GN59" s="411"/>
      <c r="GO59" s="411"/>
      <c r="GP59" s="411"/>
      <c r="GQ59" s="411"/>
      <c r="GR59" s="411"/>
      <c r="GS59" s="411"/>
      <c r="GT59" s="411"/>
      <c r="GU59" s="411"/>
      <c r="GV59" s="411"/>
      <c r="GW59" s="411"/>
      <c r="GX59" s="411"/>
      <c r="GY59" s="411"/>
      <c r="GZ59" s="411"/>
      <c r="HA59" s="411"/>
      <c r="HB59" s="411"/>
      <c r="HC59" s="411"/>
      <c r="HD59" s="411"/>
      <c r="HE59" s="411"/>
      <c r="HF59" s="411"/>
      <c r="HG59" s="411"/>
      <c r="HH59" s="411"/>
      <c r="HI59" s="411"/>
      <c r="HJ59" s="411"/>
      <c r="HK59" s="411"/>
      <c r="HL59" s="411"/>
      <c r="HM59" s="411"/>
      <c r="HN59" s="411"/>
      <c r="HO59" s="411"/>
      <c r="HP59" s="411"/>
      <c r="HQ59" s="411"/>
      <c r="HR59" s="411"/>
      <c r="HS59" s="411"/>
      <c r="HT59" s="411"/>
      <c r="HU59" s="411"/>
      <c r="HV59" s="411"/>
      <c r="HW59" s="411"/>
      <c r="HX59" s="411"/>
      <c r="HY59" s="411"/>
      <c r="HZ59" s="411"/>
      <c r="IA59" s="411"/>
      <c r="IB59" s="411"/>
      <c r="IC59" s="411"/>
      <c r="ID59" s="411"/>
      <c r="IE59" s="411"/>
      <c r="IF59" s="411"/>
      <c r="IG59" s="411"/>
      <c r="IH59" s="411"/>
      <c r="II59" s="411"/>
      <c r="IJ59" s="411"/>
      <c r="IK59" s="411"/>
      <c r="IL59" s="411"/>
      <c r="IM59" s="411"/>
      <c r="IN59" s="411"/>
      <c r="IO59" s="411"/>
      <c r="IP59" s="411"/>
      <c r="IQ59" s="411"/>
      <c r="IR59" s="411"/>
      <c r="IS59" s="411"/>
      <c r="IT59" s="411"/>
      <c r="IU59" s="411"/>
      <c r="IV59" s="411"/>
      <c r="IW59" s="411"/>
      <c r="IX59" s="411"/>
      <c r="IY59" s="411"/>
      <c r="IZ59" s="411"/>
      <c r="JA59" s="411"/>
      <c r="JB59" s="411"/>
      <c r="JC59" s="411"/>
    </row>
    <row r="60" spans="1:263" s="460" customFormat="1" hidden="1">
      <c r="A60" s="411"/>
      <c r="B60" s="411"/>
      <c r="C60" s="401"/>
      <c r="D60" s="457"/>
      <c r="E60" s="411"/>
      <c r="F60" s="411"/>
      <c r="G60" s="411"/>
      <c r="H60" s="411"/>
      <c r="I60" s="411"/>
      <c r="J60" s="411"/>
      <c r="K60" s="411"/>
      <c r="L60" s="411"/>
      <c r="M60" s="41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556"/>
      <c r="AQ60" s="562"/>
      <c r="AR60" s="411"/>
      <c r="AS60" s="411"/>
      <c r="AT60" s="411"/>
      <c r="AU60" s="411"/>
      <c r="AV60" s="411"/>
      <c r="AW60" s="411"/>
      <c r="AX60" s="411"/>
      <c r="AY60" s="411"/>
      <c r="AZ60" s="411"/>
      <c r="BA60" s="411"/>
      <c r="BB60" s="411"/>
      <c r="BC60" s="411"/>
      <c r="BD60" s="411"/>
      <c r="BE60" s="411"/>
      <c r="BF60" s="411"/>
      <c r="BG60" s="411"/>
      <c r="BH60" s="411"/>
      <c r="BI60" s="411"/>
      <c r="BJ60" s="411"/>
      <c r="BK60" s="411"/>
      <c r="BL60" s="411"/>
      <c r="BM60" s="411"/>
      <c r="BN60" s="411"/>
      <c r="BO60" s="411"/>
      <c r="BP60" s="411"/>
      <c r="BQ60" s="411"/>
      <c r="BR60" s="411"/>
      <c r="BS60" s="411"/>
      <c r="BT60" s="411"/>
      <c r="BU60" s="411"/>
      <c r="BV60" s="411"/>
      <c r="BW60" s="411"/>
      <c r="BX60" s="411"/>
      <c r="BY60" s="411"/>
      <c r="BZ60" s="411"/>
      <c r="CA60" s="411"/>
      <c r="CB60" s="411"/>
      <c r="CC60" s="411"/>
      <c r="CD60" s="411"/>
      <c r="CE60" s="411"/>
      <c r="CF60" s="411"/>
      <c r="CG60" s="411"/>
      <c r="CH60" s="411"/>
      <c r="CI60" s="411"/>
      <c r="CJ60" s="411"/>
      <c r="CK60" s="411"/>
      <c r="CL60" s="411"/>
      <c r="CM60" s="411"/>
      <c r="CN60" s="411"/>
      <c r="CO60" s="411"/>
      <c r="CP60" s="411"/>
      <c r="CQ60" s="411"/>
      <c r="CR60" s="411"/>
      <c r="CS60" s="411"/>
      <c r="CT60" s="411"/>
      <c r="CU60" s="411"/>
      <c r="CV60" s="411"/>
      <c r="CW60" s="411"/>
      <c r="CX60" s="411"/>
      <c r="CY60" s="411"/>
      <c r="CZ60" s="411"/>
      <c r="DA60" s="411"/>
      <c r="DB60" s="411"/>
      <c r="DC60" s="411"/>
      <c r="DD60" s="411"/>
      <c r="DE60" s="411"/>
      <c r="DF60" s="411"/>
      <c r="DG60" s="411"/>
      <c r="DH60" s="411"/>
      <c r="DI60" s="411"/>
      <c r="DJ60" s="411"/>
      <c r="DK60" s="411"/>
      <c r="DL60" s="411"/>
      <c r="DM60" s="411"/>
      <c r="DN60" s="411"/>
      <c r="DO60" s="411"/>
      <c r="DP60" s="411"/>
      <c r="DQ60" s="411"/>
      <c r="DR60" s="411"/>
      <c r="DS60" s="411"/>
      <c r="DT60" s="411"/>
      <c r="DU60" s="411"/>
      <c r="DV60" s="411"/>
      <c r="DW60" s="411"/>
      <c r="DX60" s="411"/>
      <c r="DY60" s="411"/>
      <c r="DZ60" s="411"/>
      <c r="EA60" s="411"/>
      <c r="EB60" s="411"/>
      <c r="EC60" s="411"/>
      <c r="ED60" s="411"/>
      <c r="EE60" s="411"/>
      <c r="EF60" s="411"/>
      <c r="EG60" s="411"/>
      <c r="EH60" s="411"/>
      <c r="EI60" s="411"/>
      <c r="EJ60" s="411"/>
      <c r="EK60" s="411"/>
      <c r="EL60" s="411"/>
      <c r="EM60" s="411"/>
      <c r="EN60" s="411"/>
      <c r="EO60" s="411"/>
      <c r="EP60" s="411"/>
      <c r="EQ60" s="411"/>
      <c r="ER60" s="411"/>
      <c r="ES60" s="411"/>
      <c r="ET60" s="411"/>
      <c r="EU60" s="411"/>
      <c r="EV60" s="411"/>
      <c r="EW60" s="411"/>
      <c r="EX60" s="411"/>
      <c r="EY60" s="411"/>
      <c r="EZ60" s="411"/>
      <c r="FA60" s="411"/>
      <c r="FB60" s="411"/>
      <c r="FC60" s="411"/>
      <c r="FD60" s="411"/>
      <c r="FE60" s="411"/>
      <c r="FF60" s="411"/>
      <c r="FG60" s="411"/>
      <c r="FH60" s="411"/>
      <c r="FI60" s="411"/>
      <c r="FJ60" s="411"/>
      <c r="FK60" s="411"/>
      <c r="FL60" s="411"/>
      <c r="FM60" s="411"/>
      <c r="FN60" s="411"/>
      <c r="FO60" s="411"/>
      <c r="FP60" s="411"/>
      <c r="FQ60" s="411"/>
      <c r="FR60" s="411"/>
      <c r="FS60" s="411"/>
      <c r="FT60" s="411"/>
      <c r="FU60" s="411"/>
      <c r="FV60" s="411"/>
      <c r="FW60" s="411"/>
      <c r="FX60" s="411"/>
      <c r="FY60" s="411"/>
      <c r="FZ60" s="411"/>
      <c r="GA60" s="411"/>
      <c r="GB60" s="411"/>
      <c r="GC60" s="411"/>
      <c r="GD60" s="411"/>
      <c r="GE60" s="411"/>
      <c r="GF60" s="411"/>
      <c r="GG60" s="411"/>
      <c r="GH60" s="411"/>
      <c r="GI60" s="411"/>
      <c r="GJ60" s="411"/>
      <c r="GK60" s="411"/>
      <c r="GL60" s="411"/>
      <c r="GM60" s="411"/>
      <c r="GN60" s="411"/>
      <c r="GO60" s="411"/>
      <c r="GP60" s="411"/>
      <c r="GQ60" s="411"/>
      <c r="GR60" s="411"/>
      <c r="GS60" s="411"/>
      <c r="GT60" s="411"/>
      <c r="GU60" s="411"/>
      <c r="GV60" s="411"/>
      <c r="GW60" s="411"/>
      <c r="GX60" s="411"/>
      <c r="GY60" s="411"/>
      <c r="GZ60" s="411"/>
      <c r="HA60" s="411"/>
      <c r="HB60" s="411"/>
      <c r="HC60" s="411"/>
      <c r="HD60" s="411"/>
      <c r="HE60" s="411"/>
      <c r="HF60" s="411"/>
      <c r="HG60" s="411"/>
      <c r="HH60" s="411"/>
      <c r="HI60" s="411"/>
      <c r="HJ60" s="411"/>
      <c r="HK60" s="411"/>
      <c r="HL60" s="411"/>
      <c r="HM60" s="411"/>
      <c r="HN60" s="411"/>
      <c r="HO60" s="411"/>
      <c r="HP60" s="411"/>
      <c r="HQ60" s="411"/>
      <c r="HR60" s="411"/>
      <c r="HS60" s="411"/>
      <c r="HT60" s="411"/>
      <c r="HU60" s="411"/>
      <c r="HV60" s="411"/>
      <c r="HW60" s="411"/>
      <c r="HX60" s="411"/>
      <c r="HY60" s="411"/>
      <c r="HZ60" s="411"/>
      <c r="IA60" s="411"/>
      <c r="IB60" s="411"/>
      <c r="IC60" s="411"/>
      <c r="ID60" s="411"/>
      <c r="IE60" s="411"/>
      <c r="IF60" s="411"/>
      <c r="IG60" s="411"/>
      <c r="IH60" s="411"/>
      <c r="II60" s="411"/>
      <c r="IJ60" s="411"/>
      <c r="IK60" s="411"/>
      <c r="IL60" s="411"/>
      <c r="IM60" s="411"/>
      <c r="IN60" s="411"/>
      <c r="IO60" s="411"/>
      <c r="IP60" s="411"/>
      <c r="IQ60" s="411"/>
      <c r="IR60" s="411"/>
      <c r="IS60" s="411"/>
      <c r="IT60" s="411"/>
      <c r="IU60" s="411"/>
      <c r="IV60" s="411"/>
      <c r="IW60" s="411"/>
      <c r="IX60" s="411"/>
      <c r="IY60" s="411"/>
      <c r="IZ60" s="411"/>
      <c r="JA60" s="411"/>
      <c r="JB60" s="411"/>
      <c r="JC60" s="411"/>
    </row>
    <row r="61" spans="1:263" hidden="1">
      <c r="N61" s="436">
        <f>N57-N59</f>
        <v>0</v>
      </c>
      <c r="AP61" s="556">
        <f>AP59-T57</f>
        <v>-0.36444473266601563</v>
      </c>
    </row>
    <row r="62" spans="1:263" hidden="1"/>
    <row r="63" spans="1:263" hidden="1"/>
    <row r="64" spans="1:263" hidden="1">
      <c r="N64" s="556">
        <v>16778318</v>
      </c>
    </row>
    <row r="65" hidden="1"/>
  </sheetData>
  <mergeCells count="9">
    <mergeCell ref="C54:C56"/>
    <mergeCell ref="B2:N2"/>
    <mergeCell ref="B3:N3"/>
    <mergeCell ref="G5:N5"/>
    <mergeCell ref="O5:T5"/>
    <mergeCell ref="D6:E6"/>
    <mergeCell ref="C44:C46"/>
    <mergeCell ref="B49:N49"/>
    <mergeCell ref="B50:N50"/>
  </mergeCells>
  <printOptions horizontalCentered="1"/>
  <pageMargins left="0.5" right="0" top="0.25" bottom="0" header="0.3" footer="0.3"/>
  <pageSetup paperSize="9" scale="4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1E8E-E42E-4FC3-AC4B-BA8D30E429F6}">
  <sheetPr>
    <tabColor rgb="FFFF0000"/>
    <pageSetUpPr fitToPage="1"/>
  </sheetPr>
  <dimension ref="A2:JC157"/>
  <sheetViews>
    <sheetView showGridLines="0" tabSelected="1" view="pageBreakPreview" topLeftCell="A3" zoomScale="85" zoomScaleNormal="100" zoomScaleSheetLayoutView="85" workbookViewId="0">
      <pane xSplit="6" ySplit="4" topLeftCell="P7" activePane="bottomRight" state="frozen"/>
      <selection activeCell="A3" sqref="A3"/>
      <selection pane="topRight" activeCell="G3" sqref="G3"/>
      <selection pane="bottomLeft" activeCell="A7" sqref="A7"/>
      <selection pane="bottomRight" activeCell="S14" sqref="S14"/>
    </sheetView>
  </sheetViews>
  <sheetFormatPr defaultColWidth="18.5546875" defaultRowHeight="13.8"/>
  <cols>
    <col min="1" max="1" width="4" style="411" customWidth="1"/>
    <col min="2" max="2" width="5.5546875" style="411" customWidth="1"/>
    <col min="3" max="3" width="30.21875" style="411" customWidth="1"/>
    <col min="4" max="4" width="4.5546875" style="457" bestFit="1" customWidth="1"/>
    <col min="5" max="5" width="41" style="411" customWidth="1"/>
    <col min="6" max="15" width="14.5546875" style="411" customWidth="1"/>
    <col min="16" max="16" width="16.77734375" style="411" customWidth="1"/>
    <col min="17" max="22" width="14.5546875" style="411" customWidth="1"/>
    <col min="23" max="31" width="14.5546875" style="411" hidden="1" customWidth="1"/>
    <col min="32" max="32" width="17.21875" style="411" hidden="1" customWidth="1"/>
    <col min="33" max="33" width="17.88671875" style="411" hidden="1" customWidth="1"/>
    <col min="34" max="34" width="8.77734375" style="411" hidden="1" customWidth="1"/>
    <col min="35" max="38" width="10.21875" style="411" hidden="1" customWidth="1"/>
    <col min="39" max="40" width="11.21875" style="411" hidden="1" customWidth="1"/>
    <col min="41" max="41" width="11.5546875" style="411" bestFit="1" customWidth="1"/>
    <col min="42" max="42" width="13.21875" style="556" hidden="1" customWidth="1"/>
    <col min="43" max="43" width="8.77734375" style="562" hidden="1" customWidth="1"/>
    <col min="44" max="44" width="8.77734375" style="411" hidden="1" customWidth="1"/>
    <col min="45" max="45" width="13" style="411" bestFit="1" customWidth="1"/>
    <col min="46" max="46" width="12.33203125" style="411" bestFit="1" customWidth="1"/>
    <col min="47" max="47" width="8.77734375" style="411" customWidth="1"/>
    <col min="48" max="48" width="12.33203125" style="411" bestFit="1" customWidth="1"/>
    <col min="49" max="251" width="8.77734375" style="411" customWidth="1"/>
    <col min="252" max="252" width="2.5546875" style="411" customWidth="1"/>
    <col min="253" max="253" width="5.5546875" style="411" customWidth="1"/>
    <col min="254" max="254" width="23.77734375" style="411" customWidth="1"/>
    <col min="255" max="255" width="3.77734375" style="411" customWidth="1"/>
    <col min="256" max="256" width="35.77734375" style="411" customWidth="1"/>
    <col min="257" max="257" width="22.21875" style="411" customWidth="1"/>
    <col min="258" max="258" width="17.77734375" style="411" customWidth="1"/>
    <col min="259" max="259" width="19" style="411" customWidth="1"/>
    <col min="260" max="260" width="20.77734375" style="411" customWidth="1"/>
    <col min="261" max="261" width="16.77734375" style="411" customWidth="1"/>
    <col min="262" max="262" width="18.77734375" style="411" customWidth="1"/>
    <col min="263" max="270" width="18.5546875" style="411"/>
    <col min="271" max="271" width="4" style="411" customWidth="1"/>
    <col min="272" max="272" width="5.5546875" style="411" customWidth="1"/>
    <col min="273" max="273" width="30.21875" style="411" customWidth="1"/>
    <col min="274" max="274" width="4.5546875" style="411" bestFit="1" customWidth="1"/>
    <col min="275" max="275" width="41" style="411" customWidth="1"/>
    <col min="276" max="277" width="14.5546875" style="411" customWidth="1"/>
    <col min="278" max="278" width="16.5546875" style="411" customWidth="1"/>
    <col min="279" max="281" width="14.5546875" style="411" customWidth="1"/>
    <col min="282" max="283" width="12.5546875" style="411" customWidth="1"/>
    <col min="284" max="284" width="16.5546875" style="411" customWidth="1"/>
    <col min="285" max="286" width="20.5546875" style="411" customWidth="1"/>
    <col min="287" max="287" width="11" style="411" bestFit="1" customWidth="1"/>
    <col min="288" max="288" width="17.21875" style="411" customWidth="1"/>
    <col min="289" max="289" width="11" style="411" bestFit="1" customWidth="1"/>
    <col min="290" max="290" width="8.77734375" style="411" customWidth="1"/>
    <col min="291" max="294" width="10.21875" style="411" bestFit="1" customWidth="1"/>
    <col min="295" max="296" width="11.21875" style="411" bestFit="1" customWidth="1"/>
    <col min="297" max="507" width="8.77734375" style="411" customWidth="1"/>
    <col min="508" max="508" width="2.5546875" style="411" customWidth="1"/>
    <col min="509" max="509" width="5.5546875" style="411" customWidth="1"/>
    <col min="510" max="510" width="23.77734375" style="411" customWidth="1"/>
    <col min="511" max="511" width="3.77734375" style="411" customWidth="1"/>
    <col min="512" max="512" width="35.77734375" style="411" customWidth="1"/>
    <col min="513" max="513" width="22.21875" style="411" customWidth="1"/>
    <col min="514" max="514" width="17.77734375" style="411" customWidth="1"/>
    <col min="515" max="515" width="19" style="411" customWidth="1"/>
    <col min="516" max="516" width="20.77734375" style="411" customWidth="1"/>
    <col min="517" max="517" width="16.77734375" style="411" customWidth="1"/>
    <col min="518" max="518" width="18.77734375" style="411" customWidth="1"/>
    <col min="519" max="526" width="18.5546875" style="411"/>
    <col min="527" max="527" width="4" style="411" customWidth="1"/>
    <col min="528" max="528" width="5.5546875" style="411" customWidth="1"/>
    <col min="529" max="529" width="30.21875" style="411" customWidth="1"/>
    <col min="530" max="530" width="4.5546875" style="411" bestFit="1" customWidth="1"/>
    <col min="531" max="531" width="41" style="411" customWidth="1"/>
    <col min="532" max="533" width="14.5546875" style="411" customWidth="1"/>
    <col min="534" max="534" width="16.5546875" style="411" customWidth="1"/>
    <col min="535" max="537" width="14.5546875" style="411" customWidth="1"/>
    <col min="538" max="539" width="12.5546875" style="411" customWidth="1"/>
    <col min="540" max="540" width="16.5546875" style="411" customWidth="1"/>
    <col min="541" max="542" width="20.5546875" style="411" customWidth="1"/>
    <col min="543" max="543" width="11" style="411" bestFit="1" customWidth="1"/>
    <col min="544" max="544" width="17.21875" style="411" customWidth="1"/>
    <col min="545" max="545" width="11" style="411" bestFit="1" customWidth="1"/>
    <col min="546" max="546" width="8.77734375" style="411" customWidth="1"/>
    <col min="547" max="550" width="10.21875" style="411" bestFit="1" customWidth="1"/>
    <col min="551" max="552" width="11.21875" style="411" bestFit="1" customWidth="1"/>
    <col min="553" max="763" width="8.77734375" style="411" customWidth="1"/>
    <col min="764" max="764" width="2.5546875" style="411" customWidth="1"/>
    <col min="765" max="765" width="5.5546875" style="411" customWidth="1"/>
    <col min="766" max="766" width="23.77734375" style="411" customWidth="1"/>
    <col min="767" max="767" width="3.77734375" style="411" customWidth="1"/>
    <col min="768" max="768" width="35.77734375" style="411" customWidth="1"/>
    <col min="769" max="769" width="22.21875" style="411" customWidth="1"/>
    <col min="770" max="770" width="17.77734375" style="411" customWidth="1"/>
    <col min="771" max="771" width="19" style="411" customWidth="1"/>
    <col min="772" max="772" width="20.77734375" style="411" customWidth="1"/>
    <col min="773" max="773" width="16.77734375" style="411" customWidth="1"/>
    <col min="774" max="774" width="18.77734375" style="411" customWidth="1"/>
    <col min="775" max="782" width="18.5546875" style="411"/>
    <col min="783" max="783" width="4" style="411" customWidth="1"/>
    <col min="784" max="784" width="5.5546875" style="411" customWidth="1"/>
    <col min="785" max="785" width="30.21875" style="411" customWidth="1"/>
    <col min="786" max="786" width="4.5546875" style="411" bestFit="1" customWidth="1"/>
    <col min="787" max="787" width="41" style="411" customWidth="1"/>
    <col min="788" max="789" width="14.5546875" style="411" customWidth="1"/>
    <col min="790" max="790" width="16.5546875" style="411" customWidth="1"/>
    <col min="791" max="793" width="14.5546875" style="411" customWidth="1"/>
    <col min="794" max="795" width="12.5546875" style="411" customWidth="1"/>
    <col min="796" max="796" width="16.5546875" style="411" customWidth="1"/>
    <col min="797" max="798" width="20.5546875" style="411" customWidth="1"/>
    <col min="799" max="799" width="11" style="411" bestFit="1" customWidth="1"/>
    <col min="800" max="800" width="17.21875" style="411" customWidth="1"/>
    <col min="801" max="801" width="11" style="411" bestFit="1" customWidth="1"/>
    <col min="802" max="802" width="8.77734375" style="411" customWidth="1"/>
    <col min="803" max="806" width="10.21875" style="411" bestFit="1" customWidth="1"/>
    <col min="807" max="808" width="11.21875" style="411" bestFit="1" customWidth="1"/>
    <col min="809" max="1019" width="8.77734375" style="411" customWidth="1"/>
    <col min="1020" max="1020" width="2.5546875" style="411" customWidth="1"/>
    <col min="1021" max="1021" width="5.5546875" style="411" customWidth="1"/>
    <col min="1022" max="1022" width="23.77734375" style="411" customWidth="1"/>
    <col min="1023" max="1023" width="3.77734375" style="411" customWidth="1"/>
    <col min="1024" max="1024" width="35.77734375" style="411" customWidth="1"/>
    <col min="1025" max="1025" width="22.21875" style="411" customWidth="1"/>
    <col min="1026" max="1026" width="17.77734375" style="411" customWidth="1"/>
    <col min="1027" max="1027" width="19" style="411" customWidth="1"/>
    <col min="1028" max="1028" width="20.77734375" style="411" customWidth="1"/>
    <col min="1029" max="1029" width="16.77734375" style="411" customWidth="1"/>
    <col min="1030" max="1030" width="18.77734375" style="411" customWidth="1"/>
    <col min="1031" max="1038" width="18.5546875" style="411"/>
    <col min="1039" max="1039" width="4" style="411" customWidth="1"/>
    <col min="1040" max="1040" width="5.5546875" style="411" customWidth="1"/>
    <col min="1041" max="1041" width="30.21875" style="411" customWidth="1"/>
    <col min="1042" max="1042" width="4.5546875" style="411" bestFit="1" customWidth="1"/>
    <col min="1043" max="1043" width="41" style="411" customWidth="1"/>
    <col min="1044" max="1045" width="14.5546875" style="411" customWidth="1"/>
    <col min="1046" max="1046" width="16.5546875" style="411" customWidth="1"/>
    <col min="1047" max="1049" width="14.5546875" style="411" customWidth="1"/>
    <col min="1050" max="1051" width="12.5546875" style="411" customWidth="1"/>
    <col min="1052" max="1052" width="16.5546875" style="411" customWidth="1"/>
    <col min="1053" max="1054" width="20.5546875" style="411" customWidth="1"/>
    <col min="1055" max="1055" width="11" style="411" bestFit="1" customWidth="1"/>
    <col min="1056" max="1056" width="17.21875" style="411" customWidth="1"/>
    <col min="1057" max="1057" width="11" style="411" bestFit="1" customWidth="1"/>
    <col min="1058" max="1058" width="8.77734375" style="411" customWidth="1"/>
    <col min="1059" max="1062" width="10.21875" style="411" bestFit="1" customWidth="1"/>
    <col min="1063" max="1064" width="11.21875" style="411" bestFit="1" customWidth="1"/>
    <col min="1065" max="1275" width="8.77734375" style="411" customWidth="1"/>
    <col min="1276" max="1276" width="2.5546875" style="411" customWidth="1"/>
    <col min="1277" max="1277" width="5.5546875" style="411" customWidth="1"/>
    <col min="1278" max="1278" width="23.77734375" style="411" customWidth="1"/>
    <col min="1279" max="1279" width="3.77734375" style="411" customWidth="1"/>
    <col min="1280" max="1280" width="35.77734375" style="411" customWidth="1"/>
    <col min="1281" max="1281" width="22.21875" style="411" customWidth="1"/>
    <col min="1282" max="1282" width="17.77734375" style="411" customWidth="1"/>
    <col min="1283" max="1283" width="19" style="411" customWidth="1"/>
    <col min="1284" max="1284" width="20.77734375" style="411" customWidth="1"/>
    <col min="1285" max="1285" width="16.77734375" style="411" customWidth="1"/>
    <col min="1286" max="1286" width="18.77734375" style="411" customWidth="1"/>
    <col min="1287" max="1294" width="18.5546875" style="411"/>
    <col min="1295" max="1295" width="4" style="411" customWidth="1"/>
    <col min="1296" max="1296" width="5.5546875" style="411" customWidth="1"/>
    <col min="1297" max="1297" width="30.21875" style="411" customWidth="1"/>
    <col min="1298" max="1298" width="4.5546875" style="411" bestFit="1" customWidth="1"/>
    <col min="1299" max="1299" width="41" style="411" customWidth="1"/>
    <col min="1300" max="1301" width="14.5546875" style="411" customWidth="1"/>
    <col min="1302" max="1302" width="16.5546875" style="411" customWidth="1"/>
    <col min="1303" max="1305" width="14.5546875" style="411" customWidth="1"/>
    <col min="1306" max="1307" width="12.5546875" style="411" customWidth="1"/>
    <col min="1308" max="1308" width="16.5546875" style="411" customWidth="1"/>
    <col min="1309" max="1310" width="20.5546875" style="411" customWidth="1"/>
    <col min="1311" max="1311" width="11" style="411" bestFit="1" customWidth="1"/>
    <col min="1312" max="1312" width="17.21875" style="411" customWidth="1"/>
    <col min="1313" max="1313" width="11" style="411" bestFit="1" customWidth="1"/>
    <col min="1314" max="1314" width="8.77734375" style="411" customWidth="1"/>
    <col min="1315" max="1318" width="10.21875" style="411" bestFit="1" customWidth="1"/>
    <col min="1319" max="1320" width="11.21875" style="411" bestFit="1" customWidth="1"/>
    <col min="1321" max="1531" width="8.77734375" style="411" customWidth="1"/>
    <col min="1532" max="1532" width="2.5546875" style="411" customWidth="1"/>
    <col min="1533" max="1533" width="5.5546875" style="411" customWidth="1"/>
    <col min="1534" max="1534" width="23.77734375" style="411" customWidth="1"/>
    <col min="1535" max="1535" width="3.77734375" style="411" customWidth="1"/>
    <col min="1536" max="1536" width="35.77734375" style="411" customWidth="1"/>
    <col min="1537" max="1537" width="22.21875" style="411" customWidth="1"/>
    <col min="1538" max="1538" width="17.77734375" style="411" customWidth="1"/>
    <col min="1539" max="1539" width="19" style="411" customWidth="1"/>
    <col min="1540" max="1540" width="20.77734375" style="411" customWidth="1"/>
    <col min="1541" max="1541" width="16.77734375" style="411" customWidth="1"/>
    <col min="1542" max="1542" width="18.77734375" style="411" customWidth="1"/>
    <col min="1543" max="1550" width="18.5546875" style="411"/>
    <col min="1551" max="1551" width="4" style="411" customWidth="1"/>
    <col min="1552" max="1552" width="5.5546875" style="411" customWidth="1"/>
    <col min="1553" max="1553" width="30.21875" style="411" customWidth="1"/>
    <col min="1554" max="1554" width="4.5546875" style="411" bestFit="1" customWidth="1"/>
    <col min="1555" max="1555" width="41" style="411" customWidth="1"/>
    <col min="1556" max="1557" width="14.5546875" style="411" customWidth="1"/>
    <col min="1558" max="1558" width="16.5546875" style="411" customWidth="1"/>
    <col min="1559" max="1561" width="14.5546875" style="411" customWidth="1"/>
    <col min="1562" max="1563" width="12.5546875" style="411" customWidth="1"/>
    <col min="1564" max="1564" width="16.5546875" style="411" customWidth="1"/>
    <col min="1565" max="1566" width="20.5546875" style="411" customWidth="1"/>
    <col min="1567" max="1567" width="11" style="411" bestFit="1" customWidth="1"/>
    <col min="1568" max="1568" width="17.21875" style="411" customWidth="1"/>
    <col min="1569" max="1569" width="11" style="411" bestFit="1" customWidth="1"/>
    <col min="1570" max="1570" width="8.77734375" style="411" customWidth="1"/>
    <col min="1571" max="1574" width="10.21875" style="411" bestFit="1" customWidth="1"/>
    <col min="1575" max="1576" width="11.21875" style="411" bestFit="1" customWidth="1"/>
    <col min="1577" max="1787" width="8.77734375" style="411" customWidth="1"/>
    <col min="1788" max="1788" width="2.5546875" style="411" customWidth="1"/>
    <col min="1789" max="1789" width="5.5546875" style="411" customWidth="1"/>
    <col min="1790" max="1790" width="23.77734375" style="411" customWidth="1"/>
    <col min="1791" max="1791" width="3.77734375" style="411" customWidth="1"/>
    <col min="1792" max="1792" width="35.77734375" style="411" customWidth="1"/>
    <col min="1793" max="1793" width="22.21875" style="411" customWidth="1"/>
    <col min="1794" max="1794" width="17.77734375" style="411" customWidth="1"/>
    <col min="1795" max="1795" width="19" style="411" customWidth="1"/>
    <col min="1796" max="1796" width="20.77734375" style="411" customWidth="1"/>
    <col min="1797" max="1797" width="16.77734375" style="411" customWidth="1"/>
    <col min="1798" max="1798" width="18.77734375" style="411" customWidth="1"/>
    <col min="1799" max="1806" width="18.5546875" style="411"/>
    <col min="1807" max="1807" width="4" style="411" customWidth="1"/>
    <col min="1808" max="1808" width="5.5546875" style="411" customWidth="1"/>
    <col min="1809" max="1809" width="30.21875" style="411" customWidth="1"/>
    <col min="1810" max="1810" width="4.5546875" style="411" bestFit="1" customWidth="1"/>
    <col min="1811" max="1811" width="41" style="411" customWidth="1"/>
    <col min="1812" max="1813" width="14.5546875" style="411" customWidth="1"/>
    <col min="1814" max="1814" width="16.5546875" style="411" customWidth="1"/>
    <col min="1815" max="1817" width="14.5546875" style="411" customWidth="1"/>
    <col min="1818" max="1819" width="12.5546875" style="411" customWidth="1"/>
    <col min="1820" max="1820" width="16.5546875" style="411" customWidth="1"/>
    <col min="1821" max="1822" width="20.5546875" style="411" customWidth="1"/>
    <col min="1823" max="1823" width="11" style="411" bestFit="1" customWidth="1"/>
    <col min="1824" max="1824" width="17.21875" style="411" customWidth="1"/>
    <col min="1825" max="1825" width="11" style="411" bestFit="1" customWidth="1"/>
    <col min="1826" max="1826" width="8.77734375" style="411" customWidth="1"/>
    <col min="1827" max="1830" width="10.21875" style="411" bestFit="1" customWidth="1"/>
    <col min="1831" max="1832" width="11.21875" style="411" bestFit="1" customWidth="1"/>
    <col min="1833" max="2043" width="8.77734375" style="411" customWidth="1"/>
    <col min="2044" max="2044" width="2.5546875" style="411" customWidth="1"/>
    <col min="2045" max="2045" width="5.5546875" style="411" customWidth="1"/>
    <col min="2046" max="2046" width="23.77734375" style="411" customWidth="1"/>
    <col min="2047" max="2047" width="3.77734375" style="411" customWidth="1"/>
    <col min="2048" max="2048" width="35.77734375" style="411" customWidth="1"/>
    <col min="2049" max="2049" width="22.21875" style="411" customWidth="1"/>
    <col min="2050" max="2050" width="17.77734375" style="411" customWidth="1"/>
    <col min="2051" max="2051" width="19" style="411" customWidth="1"/>
    <col min="2052" max="2052" width="20.77734375" style="411" customWidth="1"/>
    <col min="2053" max="2053" width="16.77734375" style="411" customWidth="1"/>
    <col min="2054" max="2054" width="18.77734375" style="411" customWidth="1"/>
    <col min="2055" max="2062" width="18.5546875" style="411"/>
    <col min="2063" max="2063" width="4" style="411" customWidth="1"/>
    <col min="2064" max="2064" width="5.5546875" style="411" customWidth="1"/>
    <col min="2065" max="2065" width="30.21875" style="411" customWidth="1"/>
    <col min="2066" max="2066" width="4.5546875" style="411" bestFit="1" customWidth="1"/>
    <col min="2067" max="2067" width="41" style="411" customWidth="1"/>
    <col min="2068" max="2069" width="14.5546875" style="411" customWidth="1"/>
    <col min="2070" max="2070" width="16.5546875" style="411" customWidth="1"/>
    <col min="2071" max="2073" width="14.5546875" style="411" customWidth="1"/>
    <col min="2074" max="2075" width="12.5546875" style="411" customWidth="1"/>
    <col min="2076" max="2076" width="16.5546875" style="411" customWidth="1"/>
    <col min="2077" max="2078" width="20.5546875" style="411" customWidth="1"/>
    <col min="2079" max="2079" width="11" style="411" bestFit="1" customWidth="1"/>
    <col min="2080" max="2080" width="17.21875" style="411" customWidth="1"/>
    <col min="2081" max="2081" width="11" style="411" bestFit="1" customWidth="1"/>
    <col min="2082" max="2082" width="8.77734375" style="411" customWidth="1"/>
    <col min="2083" max="2086" width="10.21875" style="411" bestFit="1" customWidth="1"/>
    <col min="2087" max="2088" width="11.21875" style="411" bestFit="1" customWidth="1"/>
    <col min="2089" max="2299" width="8.77734375" style="411" customWidth="1"/>
    <col min="2300" max="2300" width="2.5546875" style="411" customWidth="1"/>
    <col min="2301" max="2301" width="5.5546875" style="411" customWidth="1"/>
    <col min="2302" max="2302" width="23.77734375" style="411" customWidth="1"/>
    <col min="2303" max="2303" width="3.77734375" style="411" customWidth="1"/>
    <col min="2304" max="2304" width="35.77734375" style="411" customWidth="1"/>
    <col min="2305" max="2305" width="22.21875" style="411" customWidth="1"/>
    <col min="2306" max="2306" width="17.77734375" style="411" customWidth="1"/>
    <col min="2307" max="2307" width="19" style="411" customWidth="1"/>
    <col min="2308" max="2308" width="20.77734375" style="411" customWidth="1"/>
    <col min="2309" max="2309" width="16.77734375" style="411" customWidth="1"/>
    <col min="2310" max="2310" width="18.77734375" style="411" customWidth="1"/>
    <col min="2311" max="2318" width="18.5546875" style="411"/>
    <col min="2319" max="2319" width="4" style="411" customWidth="1"/>
    <col min="2320" max="2320" width="5.5546875" style="411" customWidth="1"/>
    <col min="2321" max="2321" width="30.21875" style="411" customWidth="1"/>
    <col min="2322" max="2322" width="4.5546875" style="411" bestFit="1" customWidth="1"/>
    <col min="2323" max="2323" width="41" style="411" customWidth="1"/>
    <col min="2324" max="2325" width="14.5546875" style="411" customWidth="1"/>
    <col min="2326" max="2326" width="16.5546875" style="411" customWidth="1"/>
    <col min="2327" max="2329" width="14.5546875" style="411" customWidth="1"/>
    <col min="2330" max="2331" width="12.5546875" style="411" customWidth="1"/>
    <col min="2332" max="2332" width="16.5546875" style="411" customWidth="1"/>
    <col min="2333" max="2334" width="20.5546875" style="411" customWidth="1"/>
    <col min="2335" max="2335" width="11" style="411" bestFit="1" customWidth="1"/>
    <col min="2336" max="2336" width="17.21875" style="411" customWidth="1"/>
    <col min="2337" max="2337" width="11" style="411" bestFit="1" customWidth="1"/>
    <col min="2338" max="2338" width="8.77734375" style="411" customWidth="1"/>
    <col min="2339" max="2342" width="10.21875" style="411" bestFit="1" customWidth="1"/>
    <col min="2343" max="2344" width="11.21875" style="411" bestFit="1" customWidth="1"/>
    <col min="2345" max="2555" width="8.77734375" style="411" customWidth="1"/>
    <col min="2556" max="2556" width="2.5546875" style="411" customWidth="1"/>
    <col min="2557" max="2557" width="5.5546875" style="411" customWidth="1"/>
    <col min="2558" max="2558" width="23.77734375" style="411" customWidth="1"/>
    <col min="2559" max="2559" width="3.77734375" style="411" customWidth="1"/>
    <col min="2560" max="2560" width="35.77734375" style="411" customWidth="1"/>
    <col min="2561" max="2561" width="22.21875" style="411" customWidth="1"/>
    <col min="2562" max="2562" width="17.77734375" style="411" customWidth="1"/>
    <col min="2563" max="2563" width="19" style="411" customWidth="1"/>
    <col min="2564" max="2564" width="20.77734375" style="411" customWidth="1"/>
    <col min="2565" max="2565" width="16.77734375" style="411" customWidth="1"/>
    <col min="2566" max="2566" width="18.77734375" style="411" customWidth="1"/>
    <col min="2567" max="2574" width="18.5546875" style="411"/>
    <col min="2575" max="2575" width="4" style="411" customWidth="1"/>
    <col min="2576" max="2576" width="5.5546875" style="411" customWidth="1"/>
    <col min="2577" max="2577" width="30.21875" style="411" customWidth="1"/>
    <col min="2578" max="2578" width="4.5546875" style="411" bestFit="1" customWidth="1"/>
    <col min="2579" max="2579" width="41" style="411" customWidth="1"/>
    <col min="2580" max="2581" width="14.5546875" style="411" customWidth="1"/>
    <col min="2582" max="2582" width="16.5546875" style="411" customWidth="1"/>
    <col min="2583" max="2585" width="14.5546875" style="411" customWidth="1"/>
    <col min="2586" max="2587" width="12.5546875" style="411" customWidth="1"/>
    <col min="2588" max="2588" width="16.5546875" style="411" customWidth="1"/>
    <col min="2589" max="2590" width="20.5546875" style="411" customWidth="1"/>
    <col min="2591" max="2591" width="11" style="411" bestFit="1" customWidth="1"/>
    <col min="2592" max="2592" width="17.21875" style="411" customWidth="1"/>
    <col min="2593" max="2593" width="11" style="411" bestFit="1" customWidth="1"/>
    <col min="2594" max="2594" width="8.77734375" style="411" customWidth="1"/>
    <col min="2595" max="2598" width="10.21875" style="411" bestFit="1" customWidth="1"/>
    <col min="2599" max="2600" width="11.21875" style="411" bestFit="1" customWidth="1"/>
    <col min="2601" max="2811" width="8.77734375" style="411" customWidth="1"/>
    <col min="2812" max="2812" width="2.5546875" style="411" customWidth="1"/>
    <col min="2813" max="2813" width="5.5546875" style="411" customWidth="1"/>
    <col min="2814" max="2814" width="23.77734375" style="411" customWidth="1"/>
    <col min="2815" max="2815" width="3.77734375" style="411" customWidth="1"/>
    <col min="2816" max="2816" width="35.77734375" style="411" customWidth="1"/>
    <col min="2817" max="2817" width="22.21875" style="411" customWidth="1"/>
    <col min="2818" max="2818" width="17.77734375" style="411" customWidth="1"/>
    <col min="2819" max="2819" width="19" style="411" customWidth="1"/>
    <col min="2820" max="2820" width="20.77734375" style="411" customWidth="1"/>
    <col min="2821" max="2821" width="16.77734375" style="411" customWidth="1"/>
    <col min="2822" max="2822" width="18.77734375" style="411" customWidth="1"/>
    <col min="2823" max="2830" width="18.5546875" style="411"/>
    <col min="2831" max="2831" width="4" style="411" customWidth="1"/>
    <col min="2832" max="2832" width="5.5546875" style="411" customWidth="1"/>
    <col min="2833" max="2833" width="30.21875" style="411" customWidth="1"/>
    <col min="2834" max="2834" width="4.5546875" style="411" bestFit="1" customWidth="1"/>
    <col min="2835" max="2835" width="41" style="411" customWidth="1"/>
    <col min="2836" max="2837" width="14.5546875" style="411" customWidth="1"/>
    <col min="2838" max="2838" width="16.5546875" style="411" customWidth="1"/>
    <col min="2839" max="2841" width="14.5546875" style="411" customWidth="1"/>
    <col min="2842" max="2843" width="12.5546875" style="411" customWidth="1"/>
    <col min="2844" max="2844" width="16.5546875" style="411" customWidth="1"/>
    <col min="2845" max="2846" width="20.5546875" style="411" customWidth="1"/>
    <col min="2847" max="2847" width="11" style="411" bestFit="1" customWidth="1"/>
    <col min="2848" max="2848" width="17.21875" style="411" customWidth="1"/>
    <col min="2849" max="2849" width="11" style="411" bestFit="1" customWidth="1"/>
    <col min="2850" max="2850" width="8.77734375" style="411" customWidth="1"/>
    <col min="2851" max="2854" width="10.21875" style="411" bestFit="1" customWidth="1"/>
    <col min="2855" max="2856" width="11.21875" style="411" bestFit="1" customWidth="1"/>
    <col min="2857" max="3067" width="8.77734375" style="411" customWidth="1"/>
    <col min="3068" max="3068" width="2.5546875" style="411" customWidth="1"/>
    <col min="3069" max="3069" width="5.5546875" style="411" customWidth="1"/>
    <col min="3070" max="3070" width="23.77734375" style="411" customWidth="1"/>
    <col min="3071" max="3071" width="3.77734375" style="411" customWidth="1"/>
    <col min="3072" max="3072" width="35.77734375" style="411" customWidth="1"/>
    <col min="3073" max="3073" width="22.21875" style="411" customWidth="1"/>
    <col min="3074" max="3074" width="17.77734375" style="411" customWidth="1"/>
    <col min="3075" max="3075" width="19" style="411" customWidth="1"/>
    <col min="3076" max="3076" width="20.77734375" style="411" customWidth="1"/>
    <col min="3077" max="3077" width="16.77734375" style="411" customWidth="1"/>
    <col min="3078" max="3078" width="18.77734375" style="411" customWidth="1"/>
    <col min="3079" max="3086" width="18.5546875" style="411"/>
    <col min="3087" max="3087" width="4" style="411" customWidth="1"/>
    <col min="3088" max="3088" width="5.5546875" style="411" customWidth="1"/>
    <col min="3089" max="3089" width="30.21875" style="411" customWidth="1"/>
    <col min="3090" max="3090" width="4.5546875" style="411" bestFit="1" customWidth="1"/>
    <col min="3091" max="3091" width="41" style="411" customWidth="1"/>
    <col min="3092" max="3093" width="14.5546875" style="411" customWidth="1"/>
    <col min="3094" max="3094" width="16.5546875" style="411" customWidth="1"/>
    <col min="3095" max="3097" width="14.5546875" style="411" customWidth="1"/>
    <col min="3098" max="3099" width="12.5546875" style="411" customWidth="1"/>
    <col min="3100" max="3100" width="16.5546875" style="411" customWidth="1"/>
    <col min="3101" max="3102" width="20.5546875" style="411" customWidth="1"/>
    <col min="3103" max="3103" width="11" style="411" bestFit="1" customWidth="1"/>
    <col min="3104" max="3104" width="17.21875" style="411" customWidth="1"/>
    <col min="3105" max="3105" width="11" style="411" bestFit="1" customWidth="1"/>
    <col min="3106" max="3106" width="8.77734375" style="411" customWidth="1"/>
    <col min="3107" max="3110" width="10.21875" style="411" bestFit="1" customWidth="1"/>
    <col min="3111" max="3112" width="11.21875" style="411" bestFit="1" customWidth="1"/>
    <col min="3113" max="3323" width="8.77734375" style="411" customWidth="1"/>
    <col min="3324" max="3324" width="2.5546875" style="411" customWidth="1"/>
    <col min="3325" max="3325" width="5.5546875" style="411" customWidth="1"/>
    <col min="3326" max="3326" width="23.77734375" style="411" customWidth="1"/>
    <col min="3327" max="3327" width="3.77734375" style="411" customWidth="1"/>
    <col min="3328" max="3328" width="35.77734375" style="411" customWidth="1"/>
    <col min="3329" max="3329" width="22.21875" style="411" customWidth="1"/>
    <col min="3330" max="3330" width="17.77734375" style="411" customWidth="1"/>
    <col min="3331" max="3331" width="19" style="411" customWidth="1"/>
    <col min="3332" max="3332" width="20.77734375" style="411" customWidth="1"/>
    <col min="3333" max="3333" width="16.77734375" style="411" customWidth="1"/>
    <col min="3334" max="3334" width="18.77734375" style="411" customWidth="1"/>
    <col min="3335" max="3342" width="18.5546875" style="411"/>
    <col min="3343" max="3343" width="4" style="411" customWidth="1"/>
    <col min="3344" max="3344" width="5.5546875" style="411" customWidth="1"/>
    <col min="3345" max="3345" width="30.21875" style="411" customWidth="1"/>
    <col min="3346" max="3346" width="4.5546875" style="411" bestFit="1" customWidth="1"/>
    <col min="3347" max="3347" width="41" style="411" customWidth="1"/>
    <col min="3348" max="3349" width="14.5546875" style="411" customWidth="1"/>
    <col min="3350" max="3350" width="16.5546875" style="411" customWidth="1"/>
    <col min="3351" max="3353" width="14.5546875" style="411" customWidth="1"/>
    <col min="3354" max="3355" width="12.5546875" style="411" customWidth="1"/>
    <col min="3356" max="3356" width="16.5546875" style="411" customWidth="1"/>
    <col min="3357" max="3358" width="20.5546875" style="411" customWidth="1"/>
    <col min="3359" max="3359" width="11" style="411" bestFit="1" customWidth="1"/>
    <col min="3360" max="3360" width="17.21875" style="411" customWidth="1"/>
    <col min="3361" max="3361" width="11" style="411" bestFit="1" customWidth="1"/>
    <col min="3362" max="3362" width="8.77734375" style="411" customWidth="1"/>
    <col min="3363" max="3366" width="10.21875" style="411" bestFit="1" customWidth="1"/>
    <col min="3367" max="3368" width="11.21875" style="411" bestFit="1" customWidth="1"/>
    <col min="3369" max="3579" width="8.77734375" style="411" customWidth="1"/>
    <col min="3580" max="3580" width="2.5546875" style="411" customWidth="1"/>
    <col min="3581" max="3581" width="5.5546875" style="411" customWidth="1"/>
    <col min="3582" max="3582" width="23.77734375" style="411" customWidth="1"/>
    <col min="3583" max="3583" width="3.77734375" style="411" customWidth="1"/>
    <col min="3584" max="3584" width="35.77734375" style="411" customWidth="1"/>
    <col min="3585" max="3585" width="22.21875" style="411" customWidth="1"/>
    <col min="3586" max="3586" width="17.77734375" style="411" customWidth="1"/>
    <col min="3587" max="3587" width="19" style="411" customWidth="1"/>
    <col min="3588" max="3588" width="20.77734375" style="411" customWidth="1"/>
    <col min="3589" max="3589" width="16.77734375" style="411" customWidth="1"/>
    <col min="3590" max="3590" width="18.77734375" style="411" customWidth="1"/>
    <col min="3591" max="3598" width="18.5546875" style="411"/>
    <col min="3599" max="3599" width="4" style="411" customWidth="1"/>
    <col min="3600" max="3600" width="5.5546875" style="411" customWidth="1"/>
    <col min="3601" max="3601" width="30.21875" style="411" customWidth="1"/>
    <col min="3602" max="3602" width="4.5546875" style="411" bestFit="1" customWidth="1"/>
    <col min="3603" max="3603" width="41" style="411" customWidth="1"/>
    <col min="3604" max="3605" width="14.5546875" style="411" customWidth="1"/>
    <col min="3606" max="3606" width="16.5546875" style="411" customWidth="1"/>
    <col min="3607" max="3609" width="14.5546875" style="411" customWidth="1"/>
    <col min="3610" max="3611" width="12.5546875" style="411" customWidth="1"/>
    <col min="3612" max="3612" width="16.5546875" style="411" customWidth="1"/>
    <col min="3613" max="3614" width="20.5546875" style="411" customWidth="1"/>
    <col min="3615" max="3615" width="11" style="411" bestFit="1" customWidth="1"/>
    <col min="3616" max="3616" width="17.21875" style="411" customWidth="1"/>
    <col min="3617" max="3617" width="11" style="411" bestFit="1" customWidth="1"/>
    <col min="3618" max="3618" width="8.77734375" style="411" customWidth="1"/>
    <col min="3619" max="3622" width="10.21875" style="411" bestFit="1" customWidth="1"/>
    <col min="3623" max="3624" width="11.21875" style="411" bestFit="1" customWidth="1"/>
    <col min="3625" max="3835" width="8.77734375" style="411" customWidth="1"/>
    <col min="3836" max="3836" width="2.5546875" style="411" customWidth="1"/>
    <col min="3837" max="3837" width="5.5546875" style="411" customWidth="1"/>
    <col min="3838" max="3838" width="23.77734375" style="411" customWidth="1"/>
    <col min="3839" max="3839" width="3.77734375" style="411" customWidth="1"/>
    <col min="3840" max="3840" width="35.77734375" style="411" customWidth="1"/>
    <col min="3841" max="3841" width="22.21875" style="411" customWidth="1"/>
    <col min="3842" max="3842" width="17.77734375" style="411" customWidth="1"/>
    <col min="3843" max="3843" width="19" style="411" customWidth="1"/>
    <col min="3844" max="3844" width="20.77734375" style="411" customWidth="1"/>
    <col min="3845" max="3845" width="16.77734375" style="411" customWidth="1"/>
    <col min="3846" max="3846" width="18.77734375" style="411" customWidth="1"/>
    <col min="3847" max="3854" width="18.5546875" style="411"/>
    <col min="3855" max="3855" width="4" style="411" customWidth="1"/>
    <col min="3856" max="3856" width="5.5546875" style="411" customWidth="1"/>
    <col min="3857" max="3857" width="30.21875" style="411" customWidth="1"/>
    <col min="3858" max="3858" width="4.5546875" style="411" bestFit="1" customWidth="1"/>
    <col min="3859" max="3859" width="41" style="411" customWidth="1"/>
    <col min="3860" max="3861" width="14.5546875" style="411" customWidth="1"/>
    <col min="3862" max="3862" width="16.5546875" style="411" customWidth="1"/>
    <col min="3863" max="3865" width="14.5546875" style="411" customWidth="1"/>
    <col min="3866" max="3867" width="12.5546875" style="411" customWidth="1"/>
    <col min="3868" max="3868" width="16.5546875" style="411" customWidth="1"/>
    <col min="3869" max="3870" width="20.5546875" style="411" customWidth="1"/>
    <col min="3871" max="3871" width="11" style="411" bestFit="1" customWidth="1"/>
    <col min="3872" max="3872" width="17.21875" style="411" customWidth="1"/>
    <col min="3873" max="3873" width="11" style="411" bestFit="1" customWidth="1"/>
    <col min="3874" max="3874" width="8.77734375" style="411" customWidth="1"/>
    <col min="3875" max="3878" width="10.21875" style="411" bestFit="1" customWidth="1"/>
    <col min="3879" max="3880" width="11.21875" style="411" bestFit="1" customWidth="1"/>
    <col min="3881" max="4091" width="8.77734375" style="411" customWidth="1"/>
    <col min="4092" max="4092" width="2.5546875" style="411" customWidth="1"/>
    <col min="4093" max="4093" width="5.5546875" style="411" customWidth="1"/>
    <col min="4094" max="4094" width="23.77734375" style="411" customWidth="1"/>
    <col min="4095" max="4095" width="3.77734375" style="411" customWidth="1"/>
    <col min="4096" max="4096" width="35.77734375" style="411" customWidth="1"/>
    <col min="4097" max="4097" width="22.21875" style="411" customWidth="1"/>
    <col min="4098" max="4098" width="17.77734375" style="411" customWidth="1"/>
    <col min="4099" max="4099" width="19" style="411" customWidth="1"/>
    <col min="4100" max="4100" width="20.77734375" style="411" customWidth="1"/>
    <col min="4101" max="4101" width="16.77734375" style="411" customWidth="1"/>
    <col min="4102" max="4102" width="18.77734375" style="411" customWidth="1"/>
    <col min="4103" max="4110" width="18.5546875" style="411"/>
    <col min="4111" max="4111" width="4" style="411" customWidth="1"/>
    <col min="4112" max="4112" width="5.5546875" style="411" customWidth="1"/>
    <col min="4113" max="4113" width="30.21875" style="411" customWidth="1"/>
    <col min="4114" max="4114" width="4.5546875" style="411" bestFit="1" customWidth="1"/>
    <col min="4115" max="4115" width="41" style="411" customWidth="1"/>
    <col min="4116" max="4117" width="14.5546875" style="411" customWidth="1"/>
    <col min="4118" max="4118" width="16.5546875" style="411" customWidth="1"/>
    <col min="4119" max="4121" width="14.5546875" style="411" customWidth="1"/>
    <col min="4122" max="4123" width="12.5546875" style="411" customWidth="1"/>
    <col min="4124" max="4124" width="16.5546875" style="411" customWidth="1"/>
    <col min="4125" max="4126" width="20.5546875" style="411" customWidth="1"/>
    <col min="4127" max="4127" width="11" style="411" bestFit="1" customWidth="1"/>
    <col min="4128" max="4128" width="17.21875" style="411" customWidth="1"/>
    <col min="4129" max="4129" width="11" style="411" bestFit="1" customWidth="1"/>
    <col min="4130" max="4130" width="8.77734375" style="411" customWidth="1"/>
    <col min="4131" max="4134" width="10.21875" style="411" bestFit="1" customWidth="1"/>
    <col min="4135" max="4136" width="11.21875" style="411" bestFit="1" customWidth="1"/>
    <col min="4137" max="4347" width="8.77734375" style="411" customWidth="1"/>
    <col min="4348" max="4348" width="2.5546875" style="411" customWidth="1"/>
    <col min="4349" max="4349" width="5.5546875" style="411" customWidth="1"/>
    <col min="4350" max="4350" width="23.77734375" style="411" customWidth="1"/>
    <col min="4351" max="4351" width="3.77734375" style="411" customWidth="1"/>
    <col min="4352" max="4352" width="35.77734375" style="411" customWidth="1"/>
    <col min="4353" max="4353" width="22.21875" style="411" customWidth="1"/>
    <col min="4354" max="4354" width="17.77734375" style="411" customWidth="1"/>
    <col min="4355" max="4355" width="19" style="411" customWidth="1"/>
    <col min="4356" max="4356" width="20.77734375" style="411" customWidth="1"/>
    <col min="4357" max="4357" width="16.77734375" style="411" customWidth="1"/>
    <col min="4358" max="4358" width="18.77734375" style="411" customWidth="1"/>
    <col min="4359" max="4366" width="18.5546875" style="411"/>
    <col min="4367" max="4367" width="4" style="411" customWidth="1"/>
    <col min="4368" max="4368" width="5.5546875" style="411" customWidth="1"/>
    <col min="4369" max="4369" width="30.21875" style="411" customWidth="1"/>
    <col min="4370" max="4370" width="4.5546875" style="411" bestFit="1" customWidth="1"/>
    <col min="4371" max="4371" width="41" style="411" customWidth="1"/>
    <col min="4372" max="4373" width="14.5546875" style="411" customWidth="1"/>
    <col min="4374" max="4374" width="16.5546875" style="411" customWidth="1"/>
    <col min="4375" max="4377" width="14.5546875" style="411" customWidth="1"/>
    <col min="4378" max="4379" width="12.5546875" style="411" customWidth="1"/>
    <col min="4380" max="4380" width="16.5546875" style="411" customWidth="1"/>
    <col min="4381" max="4382" width="20.5546875" style="411" customWidth="1"/>
    <col min="4383" max="4383" width="11" style="411" bestFit="1" customWidth="1"/>
    <col min="4384" max="4384" width="17.21875" style="411" customWidth="1"/>
    <col min="4385" max="4385" width="11" style="411" bestFit="1" customWidth="1"/>
    <col min="4386" max="4386" width="8.77734375" style="411" customWidth="1"/>
    <col min="4387" max="4390" width="10.21875" style="411" bestFit="1" customWidth="1"/>
    <col min="4391" max="4392" width="11.21875" style="411" bestFit="1" customWidth="1"/>
    <col min="4393" max="4603" width="8.77734375" style="411" customWidth="1"/>
    <col min="4604" max="4604" width="2.5546875" style="411" customWidth="1"/>
    <col min="4605" max="4605" width="5.5546875" style="411" customWidth="1"/>
    <col min="4606" max="4606" width="23.77734375" style="411" customWidth="1"/>
    <col min="4607" max="4607" width="3.77734375" style="411" customWidth="1"/>
    <col min="4608" max="4608" width="35.77734375" style="411" customWidth="1"/>
    <col min="4609" max="4609" width="22.21875" style="411" customWidth="1"/>
    <col min="4610" max="4610" width="17.77734375" style="411" customWidth="1"/>
    <col min="4611" max="4611" width="19" style="411" customWidth="1"/>
    <col min="4612" max="4612" width="20.77734375" style="411" customWidth="1"/>
    <col min="4613" max="4613" width="16.77734375" style="411" customWidth="1"/>
    <col min="4614" max="4614" width="18.77734375" style="411" customWidth="1"/>
    <col min="4615" max="4622" width="18.5546875" style="411"/>
    <col min="4623" max="4623" width="4" style="411" customWidth="1"/>
    <col min="4624" max="4624" width="5.5546875" style="411" customWidth="1"/>
    <col min="4625" max="4625" width="30.21875" style="411" customWidth="1"/>
    <col min="4626" max="4626" width="4.5546875" style="411" bestFit="1" customWidth="1"/>
    <col min="4627" max="4627" width="41" style="411" customWidth="1"/>
    <col min="4628" max="4629" width="14.5546875" style="411" customWidth="1"/>
    <col min="4630" max="4630" width="16.5546875" style="411" customWidth="1"/>
    <col min="4631" max="4633" width="14.5546875" style="411" customWidth="1"/>
    <col min="4634" max="4635" width="12.5546875" style="411" customWidth="1"/>
    <col min="4636" max="4636" width="16.5546875" style="411" customWidth="1"/>
    <col min="4637" max="4638" width="20.5546875" style="411" customWidth="1"/>
    <col min="4639" max="4639" width="11" style="411" bestFit="1" customWidth="1"/>
    <col min="4640" max="4640" width="17.21875" style="411" customWidth="1"/>
    <col min="4641" max="4641" width="11" style="411" bestFit="1" customWidth="1"/>
    <col min="4642" max="4642" width="8.77734375" style="411" customWidth="1"/>
    <col min="4643" max="4646" width="10.21875" style="411" bestFit="1" customWidth="1"/>
    <col min="4647" max="4648" width="11.21875" style="411" bestFit="1" customWidth="1"/>
    <col min="4649" max="4859" width="8.77734375" style="411" customWidth="1"/>
    <col min="4860" max="4860" width="2.5546875" style="411" customWidth="1"/>
    <col min="4861" max="4861" width="5.5546875" style="411" customWidth="1"/>
    <col min="4862" max="4862" width="23.77734375" style="411" customWidth="1"/>
    <col min="4863" max="4863" width="3.77734375" style="411" customWidth="1"/>
    <col min="4864" max="4864" width="35.77734375" style="411" customWidth="1"/>
    <col min="4865" max="4865" width="22.21875" style="411" customWidth="1"/>
    <col min="4866" max="4866" width="17.77734375" style="411" customWidth="1"/>
    <col min="4867" max="4867" width="19" style="411" customWidth="1"/>
    <col min="4868" max="4868" width="20.77734375" style="411" customWidth="1"/>
    <col min="4869" max="4869" width="16.77734375" style="411" customWidth="1"/>
    <col min="4870" max="4870" width="18.77734375" style="411" customWidth="1"/>
    <col min="4871" max="4878" width="18.5546875" style="411"/>
    <col min="4879" max="4879" width="4" style="411" customWidth="1"/>
    <col min="4880" max="4880" width="5.5546875" style="411" customWidth="1"/>
    <col min="4881" max="4881" width="30.21875" style="411" customWidth="1"/>
    <col min="4882" max="4882" width="4.5546875" style="411" bestFit="1" customWidth="1"/>
    <col min="4883" max="4883" width="41" style="411" customWidth="1"/>
    <col min="4884" max="4885" width="14.5546875" style="411" customWidth="1"/>
    <col min="4886" max="4886" width="16.5546875" style="411" customWidth="1"/>
    <col min="4887" max="4889" width="14.5546875" style="411" customWidth="1"/>
    <col min="4890" max="4891" width="12.5546875" style="411" customWidth="1"/>
    <col min="4892" max="4892" width="16.5546875" style="411" customWidth="1"/>
    <col min="4893" max="4894" width="20.5546875" style="411" customWidth="1"/>
    <col min="4895" max="4895" width="11" style="411" bestFit="1" customWidth="1"/>
    <col min="4896" max="4896" width="17.21875" style="411" customWidth="1"/>
    <col min="4897" max="4897" width="11" style="411" bestFit="1" customWidth="1"/>
    <col min="4898" max="4898" width="8.77734375" style="411" customWidth="1"/>
    <col min="4899" max="4902" width="10.21875" style="411" bestFit="1" customWidth="1"/>
    <col min="4903" max="4904" width="11.21875" style="411" bestFit="1" customWidth="1"/>
    <col min="4905" max="5115" width="8.77734375" style="411" customWidth="1"/>
    <col min="5116" max="5116" width="2.5546875" style="411" customWidth="1"/>
    <col min="5117" max="5117" width="5.5546875" style="411" customWidth="1"/>
    <col min="5118" max="5118" width="23.77734375" style="411" customWidth="1"/>
    <col min="5119" max="5119" width="3.77734375" style="411" customWidth="1"/>
    <col min="5120" max="5120" width="35.77734375" style="411" customWidth="1"/>
    <col min="5121" max="5121" width="22.21875" style="411" customWidth="1"/>
    <col min="5122" max="5122" width="17.77734375" style="411" customWidth="1"/>
    <col min="5123" max="5123" width="19" style="411" customWidth="1"/>
    <col min="5124" max="5124" width="20.77734375" style="411" customWidth="1"/>
    <col min="5125" max="5125" width="16.77734375" style="411" customWidth="1"/>
    <col min="5126" max="5126" width="18.77734375" style="411" customWidth="1"/>
    <col min="5127" max="5134" width="18.5546875" style="411"/>
    <col min="5135" max="5135" width="4" style="411" customWidth="1"/>
    <col min="5136" max="5136" width="5.5546875" style="411" customWidth="1"/>
    <col min="5137" max="5137" width="30.21875" style="411" customWidth="1"/>
    <col min="5138" max="5138" width="4.5546875" style="411" bestFit="1" customWidth="1"/>
    <col min="5139" max="5139" width="41" style="411" customWidth="1"/>
    <col min="5140" max="5141" width="14.5546875" style="411" customWidth="1"/>
    <col min="5142" max="5142" width="16.5546875" style="411" customWidth="1"/>
    <col min="5143" max="5145" width="14.5546875" style="411" customWidth="1"/>
    <col min="5146" max="5147" width="12.5546875" style="411" customWidth="1"/>
    <col min="5148" max="5148" width="16.5546875" style="411" customWidth="1"/>
    <col min="5149" max="5150" width="20.5546875" style="411" customWidth="1"/>
    <col min="5151" max="5151" width="11" style="411" bestFit="1" customWidth="1"/>
    <col min="5152" max="5152" width="17.21875" style="411" customWidth="1"/>
    <col min="5153" max="5153" width="11" style="411" bestFit="1" customWidth="1"/>
    <col min="5154" max="5154" width="8.77734375" style="411" customWidth="1"/>
    <col min="5155" max="5158" width="10.21875" style="411" bestFit="1" customWidth="1"/>
    <col min="5159" max="5160" width="11.21875" style="411" bestFit="1" customWidth="1"/>
    <col min="5161" max="5371" width="8.77734375" style="411" customWidth="1"/>
    <col min="5372" max="5372" width="2.5546875" style="411" customWidth="1"/>
    <col min="5373" max="5373" width="5.5546875" style="411" customWidth="1"/>
    <col min="5374" max="5374" width="23.77734375" style="411" customWidth="1"/>
    <col min="5375" max="5375" width="3.77734375" style="411" customWidth="1"/>
    <col min="5376" max="5376" width="35.77734375" style="411" customWidth="1"/>
    <col min="5377" max="5377" width="22.21875" style="411" customWidth="1"/>
    <col min="5378" max="5378" width="17.77734375" style="411" customWidth="1"/>
    <col min="5379" max="5379" width="19" style="411" customWidth="1"/>
    <col min="5380" max="5380" width="20.77734375" style="411" customWidth="1"/>
    <col min="5381" max="5381" width="16.77734375" style="411" customWidth="1"/>
    <col min="5382" max="5382" width="18.77734375" style="411" customWidth="1"/>
    <col min="5383" max="5390" width="18.5546875" style="411"/>
    <col min="5391" max="5391" width="4" style="411" customWidth="1"/>
    <col min="5392" max="5392" width="5.5546875" style="411" customWidth="1"/>
    <col min="5393" max="5393" width="30.21875" style="411" customWidth="1"/>
    <col min="5394" max="5394" width="4.5546875" style="411" bestFit="1" customWidth="1"/>
    <col min="5395" max="5395" width="41" style="411" customWidth="1"/>
    <col min="5396" max="5397" width="14.5546875" style="411" customWidth="1"/>
    <col min="5398" max="5398" width="16.5546875" style="411" customWidth="1"/>
    <col min="5399" max="5401" width="14.5546875" style="411" customWidth="1"/>
    <col min="5402" max="5403" width="12.5546875" style="411" customWidth="1"/>
    <col min="5404" max="5404" width="16.5546875" style="411" customWidth="1"/>
    <col min="5405" max="5406" width="20.5546875" style="411" customWidth="1"/>
    <col min="5407" max="5407" width="11" style="411" bestFit="1" customWidth="1"/>
    <col min="5408" max="5408" width="17.21875" style="411" customWidth="1"/>
    <col min="5409" max="5409" width="11" style="411" bestFit="1" customWidth="1"/>
    <col min="5410" max="5410" width="8.77734375" style="411" customWidth="1"/>
    <col min="5411" max="5414" width="10.21875" style="411" bestFit="1" customWidth="1"/>
    <col min="5415" max="5416" width="11.21875" style="411" bestFit="1" customWidth="1"/>
    <col min="5417" max="5627" width="8.77734375" style="411" customWidth="1"/>
    <col min="5628" max="5628" width="2.5546875" style="411" customWidth="1"/>
    <col min="5629" max="5629" width="5.5546875" style="411" customWidth="1"/>
    <col min="5630" max="5630" width="23.77734375" style="411" customWidth="1"/>
    <col min="5631" max="5631" width="3.77734375" style="411" customWidth="1"/>
    <col min="5632" max="5632" width="35.77734375" style="411" customWidth="1"/>
    <col min="5633" max="5633" width="22.21875" style="411" customWidth="1"/>
    <col min="5634" max="5634" width="17.77734375" style="411" customWidth="1"/>
    <col min="5635" max="5635" width="19" style="411" customWidth="1"/>
    <col min="5636" max="5636" width="20.77734375" style="411" customWidth="1"/>
    <col min="5637" max="5637" width="16.77734375" style="411" customWidth="1"/>
    <col min="5638" max="5638" width="18.77734375" style="411" customWidth="1"/>
    <col min="5639" max="5646" width="18.5546875" style="411"/>
    <col min="5647" max="5647" width="4" style="411" customWidth="1"/>
    <col min="5648" max="5648" width="5.5546875" style="411" customWidth="1"/>
    <col min="5649" max="5649" width="30.21875" style="411" customWidth="1"/>
    <col min="5650" max="5650" width="4.5546875" style="411" bestFit="1" customWidth="1"/>
    <col min="5651" max="5651" width="41" style="411" customWidth="1"/>
    <col min="5652" max="5653" width="14.5546875" style="411" customWidth="1"/>
    <col min="5654" max="5654" width="16.5546875" style="411" customWidth="1"/>
    <col min="5655" max="5657" width="14.5546875" style="411" customWidth="1"/>
    <col min="5658" max="5659" width="12.5546875" style="411" customWidth="1"/>
    <col min="5660" max="5660" width="16.5546875" style="411" customWidth="1"/>
    <col min="5661" max="5662" width="20.5546875" style="411" customWidth="1"/>
    <col min="5663" max="5663" width="11" style="411" bestFit="1" customWidth="1"/>
    <col min="5664" max="5664" width="17.21875" style="411" customWidth="1"/>
    <col min="5665" max="5665" width="11" style="411" bestFit="1" customWidth="1"/>
    <col min="5666" max="5666" width="8.77734375" style="411" customWidth="1"/>
    <col min="5667" max="5670" width="10.21875" style="411" bestFit="1" customWidth="1"/>
    <col min="5671" max="5672" width="11.21875" style="411" bestFit="1" customWidth="1"/>
    <col min="5673" max="5883" width="8.77734375" style="411" customWidth="1"/>
    <col min="5884" max="5884" width="2.5546875" style="411" customWidth="1"/>
    <col min="5885" max="5885" width="5.5546875" style="411" customWidth="1"/>
    <col min="5886" max="5886" width="23.77734375" style="411" customWidth="1"/>
    <col min="5887" max="5887" width="3.77734375" style="411" customWidth="1"/>
    <col min="5888" max="5888" width="35.77734375" style="411" customWidth="1"/>
    <col min="5889" max="5889" width="22.21875" style="411" customWidth="1"/>
    <col min="5890" max="5890" width="17.77734375" style="411" customWidth="1"/>
    <col min="5891" max="5891" width="19" style="411" customWidth="1"/>
    <col min="5892" max="5892" width="20.77734375" style="411" customWidth="1"/>
    <col min="5893" max="5893" width="16.77734375" style="411" customWidth="1"/>
    <col min="5894" max="5894" width="18.77734375" style="411" customWidth="1"/>
    <col min="5895" max="5902" width="18.5546875" style="411"/>
    <col min="5903" max="5903" width="4" style="411" customWidth="1"/>
    <col min="5904" max="5904" width="5.5546875" style="411" customWidth="1"/>
    <col min="5905" max="5905" width="30.21875" style="411" customWidth="1"/>
    <col min="5906" max="5906" width="4.5546875" style="411" bestFit="1" customWidth="1"/>
    <col min="5907" max="5907" width="41" style="411" customWidth="1"/>
    <col min="5908" max="5909" width="14.5546875" style="411" customWidth="1"/>
    <col min="5910" max="5910" width="16.5546875" style="411" customWidth="1"/>
    <col min="5911" max="5913" width="14.5546875" style="411" customWidth="1"/>
    <col min="5914" max="5915" width="12.5546875" style="411" customWidth="1"/>
    <col min="5916" max="5916" width="16.5546875" style="411" customWidth="1"/>
    <col min="5917" max="5918" width="20.5546875" style="411" customWidth="1"/>
    <col min="5919" max="5919" width="11" style="411" bestFit="1" customWidth="1"/>
    <col min="5920" max="5920" width="17.21875" style="411" customWidth="1"/>
    <col min="5921" max="5921" width="11" style="411" bestFit="1" customWidth="1"/>
    <col min="5922" max="5922" width="8.77734375" style="411" customWidth="1"/>
    <col min="5923" max="5926" width="10.21875" style="411" bestFit="1" customWidth="1"/>
    <col min="5927" max="5928" width="11.21875" style="411" bestFit="1" customWidth="1"/>
    <col min="5929" max="6139" width="8.77734375" style="411" customWidth="1"/>
    <col min="6140" max="6140" width="2.5546875" style="411" customWidth="1"/>
    <col min="6141" max="6141" width="5.5546875" style="411" customWidth="1"/>
    <col min="6142" max="6142" width="23.77734375" style="411" customWidth="1"/>
    <col min="6143" max="6143" width="3.77734375" style="411" customWidth="1"/>
    <col min="6144" max="6144" width="35.77734375" style="411" customWidth="1"/>
    <col min="6145" max="6145" width="22.21875" style="411" customWidth="1"/>
    <col min="6146" max="6146" width="17.77734375" style="411" customWidth="1"/>
    <col min="6147" max="6147" width="19" style="411" customWidth="1"/>
    <col min="6148" max="6148" width="20.77734375" style="411" customWidth="1"/>
    <col min="6149" max="6149" width="16.77734375" style="411" customWidth="1"/>
    <col min="6150" max="6150" width="18.77734375" style="411" customWidth="1"/>
    <col min="6151" max="6158" width="18.5546875" style="411"/>
    <col min="6159" max="6159" width="4" style="411" customWidth="1"/>
    <col min="6160" max="6160" width="5.5546875" style="411" customWidth="1"/>
    <col min="6161" max="6161" width="30.21875" style="411" customWidth="1"/>
    <col min="6162" max="6162" width="4.5546875" style="411" bestFit="1" customWidth="1"/>
    <col min="6163" max="6163" width="41" style="411" customWidth="1"/>
    <col min="6164" max="6165" width="14.5546875" style="411" customWidth="1"/>
    <col min="6166" max="6166" width="16.5546875" style="411" customWidth="1"/>
    <col min="6167" max="6169" width="14.5546875" style="411" customWidth="1"/>
    <col min="6170" max="6171" width="12.5546875" style="411" customWidth="1"/>
    <col min="6172" max="6172" width="16.5546875" style="411" customWidth="1"/>
    <col min="6173" max="6174" width="20.5546875" style="411" customWidth="1"/>
    <col min="6175" max="6175" width="11" style="411" bestFit="1" customWidth="1"/>
    <col min="6176" max="6176" width="17.21875" style="411" customWidth="1"/>
    <col min="6177" max="6177" width="11" style="411" bestFit="1" customWidth="1"/>
    <col min="6178" max="6178" width="8.77734375" style="411" customWidth="1"/>
    <col min="6179" max="6182" width="10.21875" style="411" bestFit="1" customWidth="1"/>
    <col min="6183" max="6184" width="11.21875" style="411" bestFit="1" customWidth="1"/>
    <col min="6185" max="6395" width="8.77734375" style="411" customWidth="1"/>
    <col min="6396" max="6396" width="2.5546875" style="411" customWidth="1"/>
    <col min="6397" max="6397" width="5.5546875" style="411" customWidth="1"/>
    <col min="6398" max="6398" width="23.77734375" style="411" customWidth="1"/>
    <col min="6399" max="6399" width="3.77734375" style="411" customWidth="1"/>
    <col min="6400" max="6400" width="35.77734375" style="411" customWidth="1"/>
    <col min="6401" max="6401" width="22.21875" style="411" customWidth="1"/>
    <col min="6402" max="6402" width="17.77734375" style="411" customWidth="1"/>
    <col min="6403" max="6403" width="19" style="411" customWidth="1"/>
    <col min="6404" max="6404" width="20.77734375" style="411" customWidth="1"/>
    <col min="6405" max="6405" width="16.77734375" style="411" customWidth="1"/>
    <col min="6406" max="6406" width="18.77734375" style="411" customWidth="1"/>
    <col min="6407" max="6414" width="18.5546875" style="411"/>
    <col min="6415" max="6415" width="4" style="411" customWidth="1"/>
    <col min="6416" max="6416" width="5.5546875" style="411" customWidth="1"/>
    <col min="6417" max="6417" width="30.21875" style="411" customWidth="1"/>
    <col min="6418" max="6418" width="4.5546875" style="411" bestFit="1" customWidth="1"/>
    <col min="6419" max="6419" width="41" style="411" customWidth="1"/>
    <col min="6420" max="6421" width="14.5546875" style="411" customWidth="1"/>
    <col min="6422" max="6422" width="16.5546875" style="411" customWidth="1"/>
    <col min="6423" max="6425" width="14.5546875" style="411" customWidth="1"/>
    <col min="6426" max="6427" width="12.5546875" style="411" customWidth="1"/>
    <col min="6428" max="6428" width="16.5546875" style="411" customWidth="1"/>
    <col min="6429" max="6430" width="20.5546875" style="411" customWidth="1"/>
    <col min="6431" max="6431" width="11" style="411" bestFit="1" customWidth="1"/>
    <col min="6432" max="6432" width="17.21875" style="411" customWidth="1"/>
    <col min="6433" max="6433" width="11" style="411" bestFit="1" customWidth="1"/>
    <col min="6434" max="6434" width="8.77734375" style="411" customWidth="1"/>
    <col min="6435" max="6438" width="10.21875" style="411" bestFit="1" customWidth="1"/>
    <col min="6439" max="6440" width="11.21875" style="411" bestFit="1" customWidth="1"/>
    <col min="6441" max="6651" width="8.77734375" style="411" customWidth="1"/>
    <col min="6652" max="6652" width="2.5546875" style="411" customWidth="1"/>
    <col min="6653" max="6653" width="5.5546875" style="411" customWidth="1"/>
    <col min="6654" max="6654" width="23.77734375" style="411" customWidth="1"/>
    <col min="6655" max="6655" width="3.77734375" style="411" customWidth="1"/>
    <col min="6656" max="6656" width="35.77734375" style="411" customWidth="1"/>
    <col min="6657" max="6657" width="22.21875" style="411" customWidth="1"/>
    <col min="6658" max="6658" width="17.77734375" style="411" customWidth="1"/>
    <col min="6659" max="6659" width="19" style="411" customWidth="1"/>
    <col min="6660" max="6660" width="20.77734375" style="411" customWidth="1"/>
    <col min="6661" max="6661" width="16.77734375" style="411" customWidth="1"/>
    <col min="6662" max="6662" width="18.77734375" style="411" customWidth="1"/>
    <col min="6663" max="6670" width="18.5546875" style="411"/>
    <col min="6671" max="6671" width="4" style="411" customWidth="1"/>
    <col min="6672" max="6672" width="5.5546875" style="411" customWidth="1"/>
    <col min="6673" max="6673" width="30.21875" style="411" customWidth="1"/>
    <col min="6674" max="6674" width="4.5546875" style="411" bestFit="1" customWidth="1"/>
    <col min="6675" max="6675" width="41" style="411" customWidth="1"/>
    <col min="6676" max="6677" width="14.5546875" style="411" customWidth="1"/>
    <col min="6678" max="6678" width="16.5546875" style="411" customWidth="1"/>
    <col min="6679" max="6681" width="14.5546875" style="411" customWidth="1"/>
    <col min="6682" max="6683" width="12.5546875" style="411" customWidth="1"/>
    <col min="6684" max="6684" width="16.5546875" style="411" customWidth="1"/>
    <col min="6685" max="6686" width="20.5546875" style="411" customWidth="1"/>
    <col min="6687" max="6687" width="11" style="411" bestFit="1" customWidth="1"/>
    <col min="6688" max="6688" width="17.21875" style="411" customWidth="1"/>
    <col min="6689" max="6689" width="11" style="411" bestFit="1" customWidth="1"/>
    <col min="6690" max="6690" width="8.77734375" style="411" customWidth="1"/>
    <col min="6691" max="6694" width="10.21875" style="411" bestFit="1" customWidth="1"/>
    <col min="6695" max="6696" width="11.21875" style="411" bestFit="1" customWidth="1"/>
    <col min="6697" max="6907" width="8.77734375" style="411" customWidth="1"/>
    <col min="6908" max="6908" width="2.5546875" style="411" customWidth="1"/>
    <col min="6909" max="6909" width="5.5546875" style="411" customWidth="1"/>
    <col min="6910" max="6910" width="23.77734375" style="411" customWidth="1"/>
    <col min="6911" max="6911" width="3.77734375" style="411" customWidth="1"/>
    <col min="6912" max="6912" width="35.77734375" style="411" customWidth="1"/>
    <col min="6913" max="6913" width="22.21875" style="411" customWidth="1"/>
    <col min="6914" max="6914" width="17.77734375" style="411" customWidth="1"/>
    <col min="6915" max="6915" width="19" style="411" customWidth="1"/>
    <col min="6916" max="6916" width="20.77734375" style="411" customWidth="1"/>
    <col min="6917" max="6917" width="16.77734375" style="411" customWidth="1"/>
    <col min="6918" max="6918" width="18.77734375" style="411" customWidth="1"/>
    <col min="6919" max="6926" width="18.5546875" style="411"/>
    <col min="6927" max="6927" width="4" style="411" customWidth="1"/>
    <col min="6928" max="6928" width="5.5546875" style="411" customWidth="1"/>
    <col min="6929" max="6929" width="30.21875" style="411" customWidth="1"/>
    <col min="6930" max="6930" width="4.5546875" style="411" bestFit="1" customWidth="1"/>
    <col min="6931" max="6931" width="41" style="411" customWidth="1"/>
    <col min="6932" max="6933" width="14.5546875" style="411" customWidth="1"/>
    <col min="6934" max="6934" width="16.5546875" style="411" customWidth="1"/>
    <col min="6935" max="6937" width="14.5546875" style="411" customWidth="1"/>
    <col min="6938" max="6939" width="12.5546875" style="411" customWidth="1"/>
    <col min="6940" max="6940" width="16.5546875" style="411" customWidth="1"/>
    <col min="6941" max="6942" width="20.5546875" style="411" customWidth="1"/>
    <col min="6943" max="6943" width="11" style="411" bestFit="1" customWidth="1"/>
    <col min="6944" max="6944" width="17.21875" style="411" customWidth="1"/>
    <col min="6945" max="6945" width="11" style="411" bestFit="1" customWidth="1"/>
    <col min="6946" max="6946" width="8.77734375" style="411" customWidth="1"/>
    <col min="6947" max="6950" width="10.21875" style="411" bestFit="1" customWidth="1"/>
    <col min="6951" max="6952" width="11.21875" style="411" bestFit="1" customWidth="1"/>
    <col min="6953" max="7163" width="8.77734375" style="411" customWidth="1"/>
    <col min="7164" max="7164" width="2.5546875" style="411" customWidth="1"/>
    <col min="7165" max="7165" width="5.5546875" style="411" customWidth="1"/>
    <col min="7166" max="7166" width="23.77734375" style="411" customWidth="1"/>
    <col min="7167" max="7167" width="3.77734375" style="411" customWidth="1"/>
    <col min="7168" max="7168" width="35.77734375" style="411" customWidth="1"/>
    <col min="7169" max="7169" width="22.21875" style="411" customWidth="1"/>
    <col min="7170" max="7170" width="17.77734375" style="411" customWidth="1"/>
    <col min="7171" max="7171" width="19" style="411" customWidth="1"/>
    <col min="7172" max="7172" width="20.77734375" style="411" customWidth="1"/>
    <col min="7173" max="7173" width="16.77734375" style="411" customWidth="1"/>
    <col min="7174" max="7174" width="18.77734375" style="411" customWidth="1"/>
    <col min="7175" max="7182" width="18.5546875" style="411"/>
    <col min="7183" max="7183" width="4" style="411" customWidth="1"/>
    <col min="7184" max="7184" width="5.5546875" style="411" customWidth="1"/>
    <col min="7185" max="7185" width="30.21875" style="411" customWidth="1"/>
    <col min="7186" max="7186" width="4.5546875" style="411" bestFit="1" customWidth="1"/>
    <col min="7187" max="7187" width="41" style="411" customWidth="1"/>
    <col min="7188" max="7189" width="14.5546875" style="411" customWidth="1"/>
    <col min="7190" max="7190" width="16.5546875" style="411" customWidth="1"/>
    <col min="7191" max="7193" width="14.5546875" style="411" customWidth="1"/>
    <col min="7194" max="7195" width="12.5546875" style="411" customWidth="1"/>
    <col min="7196" max="7196" width="16.5546875" style="411" customWidth="1"/>
    <col min="7197" max="7198" width="20.5546875" style="411" customWidth="1"/>
    <col min="7199" max="7199" width="11" style="411" bestFit="1" customWidth="1"/>
    <col min="7200" max="7200" width="17.21875" style="411" customWidth="1"/>
    <col min="7201" max="7201" width="11" style="411" bestFit="1" customWidth="1"/>
    <col min="7202" max="7202" width="8.77734375" style="411" customWidth="1"/>
    <col min="7203" max="7206" width="10.21875" style="411" bestFit="1" customWidth="1"/>
    <col min="7207" max="7208" width="11.21875" style="411" bestFit="1" customWidth="1"/>
    <col min="7209" max="7419" width="8.77734375" style="411" customWidth="1"/>
    <col min="7420" max="7420" width="2.5546875" style="411" customWidth="1"/>
    <col min="7421" max="7421" width="5.5546875" style="411" customWidth="1"/>
    <col min="7422" max="7422" width="23.77734375" style="411" customWidth="1"/>
    <col min="7423" max="7423" width="3.77734375" style="411" customWidth="1"/>
    <col min="7424" max="7424" width="35.77734375" style="411" customWidth="1"/>
    <col min="7425" max="7425" width="22.21875" style="411" customWidth="1"/>
    <col min="7426" max="7426" width="17.77734375" style="411" customWidth="1"/>
    <col min="7427" max="7427" width="19" style="411" customWidth="1"/>
    <col min="7428" max="7428" width="20.77734375" style="411" customWidth="1"/>
    <col min="7429" max="7429" width="16.77734375" style="411" customWidth="1"/>
    <col min="7430" max="7430" width="18.77734375" style="411" customWidth="1"/>
    <col min="7431" max="7438" width="18.5546875" style="411"/>
    <col min="7439" max="7439" width="4" style="411" customWidth="1"/>
    <col min="7440" max="7440" width="5.5546875" style="411" customWidth="1"/>
    <col min="7441" max="7441" width="30.21875" style="411" customWidth="1"/>
    <col min="7442" max="7442" width="4.5546875" style="411" bestFit="1" customWidth="1"/>
    <col min="7443" max="7443" width="41" style="411" customWidth="1"/>
    <col min="7444" max="7445" width="14.5546875" style="411" customWidth="1"/>
    <col min="7446" max="7446" width="16.5546875" style="411" customWidth="1"/>
    <col min="7447" max="7449" width="14.5546875" style="411" customWidth="1"/>
    <col min="7450" max="7451" width="12.5546875" style="411" customWidth="1"/>
    <col min="7452" max="7452" width="16.5546875" style="411" customWidth="1"/>
    <col min="7453" max="7454" width="20.5546875" style="411" customWidth="1"/>
    <col min="7455" max="7455" width="11" style="411" bestFit="1" customWidth="1"/>
    <col min="7456" max="7456" width="17.21875" style="411" customWidth="1"/>
    <col min="7457" max="7457" width="11" style="411" bestFit="1" customWidth="1"/>
    <col min="7458" max="7458" width="8.77734375" style="411" customWidth="1"/>
    <col min="7459" max="7462" width="10.21875" style="411" bestFit="1" customWidth="1"/>
    <col min="7463" max="7464" width="11.21875" style="411" bestFit="1" customWidth="1"/>
    <col min="7465" max="7675" width="8.77734375" style="411" customWidth="1"/>
    <col min="7676" max="7676" width="2.5546875" style="411" customWidth="1"/>
    <col min="7677" max="7677" width="5.5546875" style="411" customWidth="1"/>
    <col min="7678" max="7678" width="23.77734375" style="411" customWidth="1"/>
    <col min="7679" max="7679" width="3.77734375" style="411" customWidth="1"/>
    <col min="7680" max="7680" width="35.77734375" style="411" customWidth="1"/>
    <col min="7681" max="7681" width="22.21875" style="411" customWidth="1"/>
    <col min="7682" max="7682" width="17.77734375" style="411" customWidth="1"/>
    <col min="7683" max="7683" width="19" style="411" customWidth="1"/>
    <col min="7684" max="7684" width="20.77734375" style="411" customWidth="1"/>
    <col min="7685" max="7685" width="16.77734375" style="411" customWidth="1"/>
    <col min="7686" max="7686" width="18.77734375" style="411" customWidth="1"/>
    <col min="7687" max="7694" width="18.5546875" style="411"/>
    <col min="7695" max="7695" width="4" style="411" customWidth="1"/>
    <col min="7696" max="7696" width="5.5546875" style="411" customWidth="1"/>
    <col min="7697" max="7697" width="30.21875" style="411" customWidth="1"/>
    <col min="7698" max="7698" width="4.5546875" style="411" bestFit="1" customWidth="1"/>
    <col min="7699" max="7699" width="41" style="411" customWidth="1"/>
    <col min="7700" max="7701" width="14.5546875" style="411" customWidth="1"/>
    <col min="7702" max="7702" width="16.5546875" style="411" customWidth="1"/>
    <col min="7703" max="7705" width="14.5546875" style="411" customWidth="1"/>
    <col min="7706" max="7707" width="12.5546875" style="411" customWidth="1"/>
    <col min="7708" max="7708" width="16.5546875" style="411" customWidth="1"/>
    <col min="7709" max="7710" width="20.5546875" style="411" customWidth="1"/>
    <col min="7711" max="7711" width="11" style="411" bestFit="1" customWidth="1"/>
    <col min="7712" max="7712" width="17.21875" style="411" customWidth="1"/>
    <col min="7713" max="7713" width="11" style="411" bestFit="1" customWidth="1"/>
    <col min="7714" max="7714" width="8.77734375" style="411" customWidth="1"/>
    <col min="7715" max="7718" width="10.21875" style="411" bestFit="1" customWidth="1"/>
    <col min="7719" max="7720" width="11.21875" style="411" bestFit="1" customWidth="1"/>
    <col min="7721" max="7931" width="8.77734375" style="411" customWidth="1"/>
    <col min="7932" max="7932" width="2.5546875" style="411" customWidth="1"/>
    <col min="7933" max="7933" width="5.5546875" style="411" customWidth="1"/>
    <col min="7934" max="7934" width="23.77734375" style="411" customWidth="1"/>
    <col min="7935" max="7935" width="3.77734375" style="411" customWidth="1"/>
    <col min="7936" max="7936" width="35.77734375" style="411" customWidth="1"/>
    <col min="7937" max="7937" width="22.21875" style="411" customWidth="1"/>
    <col min="7938" max="7938" width="17.77734375" style="411" customWidth="1"/>
    <col min="7939" max="7939" width="19" style="411" customWidth="1"/>
    <col min="7940" max="7940" width="20.77734375" style="411" customWidth="1"/>
    <col min="7941" max="7941" width="16.77734375" style="411" customWidth="1"/>
    <col min="7942" max="7942" width="18.77734375" style="411" customWidth="1"/>
    <col min="7943" max="7950" width="18.5546875" style="411"/>
    <col min="7951" max="7951" width="4" style="411" customWidth="1"/>
    <col min="7952" max="7952" width="5.5546875" style="411" customWidth="1"/>
    <col min="7953" max="7953" width="30.21875" style="411" customWidth="1"/>
    <col min="7954" max="7954" width="4.5546875" style="411" bestFit="1" customWidth="1"/>
    <col min="7955" max="7955" width="41" style="411" customWidth="1"/>
    <col min="7956" max="7957" width="14.5546875" style="411" customWidth="1"/>
    <col min="7958" max="7958" width="16.5546875" style="411" customWidth="1"/>
    <col min="7959" max="7961" width="14.5546875" style="411" customWidth="1"/>
    <col min="7962" max="7963" width="12.5546875" style="411" customWidth="1"/>
    <col min="7964" max="7964" width="16.5546875" style="411" customWidth="1"/>
    <col min="7965" max="7966" width="20.5546875" style="411" customWidth="1"/>
    <col min="7967" max="7967" width="11" style="411" bestFit="1" customWidth="1"/>
    <col min="7968" max="7968" width="17.21875" style="411" customWidth="1"/>
    <col min="7969" max="7969" width="11" style="411" bestFit="1" customWidth="1"/>
    <col min="7970" max="7970" width="8.77734375" style="411" customWidth="1"/>
    <col min="7971" max="7974" width="10.21875" style="411" bestFit="1" customWidth="1"/>
    <col min="7975" max="7976" width="11.21875" style="411" bestFit="1" customWidth="1"/>
    <col min="7977" max="8187" width="8.77734375" style="411" customWidth="1"/>
    <col min="8188" max="8188" width="2.5546875" style="411" customWidth="1"/>
    <col min="8189" max="8189" width="5.5546875" style="411" customWidth="1"/>
    <col min="8190" max="8190" width="23.77734375" style="411" customWidth="1"/>
    <col min="8191" max="8191" width="3.77734375" style="411" customWidth="1"/>
    <col min="8192" max="8192" width="35.77734375" style="411" customWidth="1"/>
    <col min="8193" max="8193" width="22.21875" style="411" customWidth="1"/>
    <col min="8194" max="8194" width="17.77734375" style="411" customWidth="1"/>
    <col min="8195" max="8195" width="19" style="411" customWidth="1"/>
    <col min="8196" max="8196" width="20.77734375" style="411" customWidth="1"/>
    <col min="8197" max="8197" width="16.77734375" style="411" customWidth="1"/>
    <col min="8198" max="8198" width="18.77734375" style="411" customWidth="1"/>
    <col min="8199" max="8206" width="18.5546875" style="411"/>
    <col min="8207" max="8207" width="4" style="411" customWidth="1"/>
    <col min="8208" max="8208" width="5.5546875" style="411" customWidth="1"/>
    <col min="8209" max="8209" width="30.21875" style="411" customWidth="1"/>
    <col min="8210" max="8210" width="4.5546875" style="411" bestFit="1" customWidth="1"/>
    <col min="8211" max="8211" width="41" style="411" customWidth="1"/>
    <col min="8212" max="8213" width="14.5546875" style="411" customWidth="1"/>
    <col min="8214" max="8214" width="16.5546875" style="411" customWidth="1"/>
    <col min="8215" max="8217" width="14.5546875" style="411" customWidth="1"/>
    <col min="8218" max="8219" width="12.5546875" style="411" customWidth="1"/>
    <col min="8220" max="8220" width="16.5546875" style="411" customWidth="1"/>
    <col min="8221" max="8222" width="20.5546875" style="411" customWidth="1"/>
    <col min="8223" max="8223" width="11" style="411" bestFit="1" customWidth="1"/>
    <col min="8224" max="8224" width="17.21875" style="411" customWidth="1"/>
    <col min="8225" max="8225" width="11" style="411" bestFit="1" customWidth="1"/>
    <col min="8226" max="8226" width="8.77734375" style="411" customWidth="1"/>
    <col min="8227" max="8230" width="10.21875" style="411" bestFit="1" customWidth="1"/>
    <col min="8231" max="8232" width="11.21875" style="411" bestFit="1" customWidth="1"/>
    <col min="8233" max="8443" width="8.77734375" style="411" customWidth="1"/>
    <col min="8444" max="8444" width="2.5546875" style="411" customWidth="1"/>
    <col min="8445" max="8445" width="5.5546875" style="411" customWidth="1"/>
    <col min="8446" max="8446" width="23.77734375" style="411" customWidth="1"/>
    <col min="8447" max="8447" width="3.77734375" style="411" customWidth="1"/>
    <col min="8448" max="8448" width="35.77734375" style="411" customWidth="1"/>
    <col min="8449" max="8449" width="22.21875" style="411" customWidth="1"/>
    <col min="8450" max="8450" width="17.77734375" style="411" customWidth="1"/>
    <col min="8451" max="8451" width="19" style="411" customWidth="1"/>
    <col min="8452" max="8452" width="20.77734375" style="411" customWidth="1"/>
    <col min="8453" max="8453" width="16.77734375" style="411" customWidth="1"/>
    <col min="8454" max="8454" width="18.77734375" style="411" customWidth="1"/>
    <col min="8455" max="8462" width="18.5546875" style="411"/>
    <col min="8463" max="8463" width="4" style="411" customWidth="1"/>
    <col min="8464" max="8464" width="5.5546875" style="411" customWidth="1"/>
    <col min="8465" max="8465" width="30.21875" style="411" customWidth="1"/>
    <col min="8466" max="8466" width="4.5546875" style="411" bestFit="1" customWidth="1"/>
    <col min="8467" max="8467" width="41" style="411" customWidth="1"/>
    <col min="8468" max="8469" width="14.5546875" style="411" customWidth="1"/>
    <col min="8470" max="8470" width="16.5546875" style="411" customWidth="1"/>
    <col min="8471" max="8473" width="14.5546875" style="411" customWidth="1"/>
    <col min="8474" max="8475" width="12.5546875" style="411" customWidth="1"/>
    <col min="8476" max="8476" width="16.5546875" style="411" customWidth="1"/>
    <col min="8477" max="8478" width="20.5546875" style="411" customWidth="1"/>
    <col min="8479" max="8479" width="11" style="411" bestFit="1" customWidth="1"/>
    <col min="8480" max="8480" width="17.21875" style="411" customWidth="1"/>
    <col min="8481" max="8481" width="11" style="411" bestFit="1" customWidth="1"/>
    <col min="8482" max="8482" width="8.77734375" style="411" customWidth="1"/>
    <col min="8483" max="8486" width="10.21875" style="411" bestFit="1" customWidth="1"/>
    <col min="8487" max="8488" width="11.21875" style="411" bestFit="1" customWidth="1"/>
    <col min="8489" max="8699" width="8.77734375" style="411" customWidth="1"/>
    <col min="8700" max="8700" width="2.5546875" style="411" customWidth="1"/>
    <col min="8701" max="8701" width="5.5546875" style="411" customWidth="1"/>
    <col min="8702" max="8702" width="23.77734375" style="411" customWidth="1"/>
    <col min="8703" max="8703" width="3.77734375" style="411" customWidth="1"/>
    <col min="8704" max="8704" width="35.77734375" style="411" customWidth="1"/>
    <col min="8705" max="8705" width="22.21875" style="411" customWidth="1"/>
    <col min="8706" max="8706" width="17.77734375" style="411" customWidth="1"/>
    <col min="8707" max="8707" width="19" style="411" customWidth="1"/>
    <col min="8708" max="8708" width="20.77734375" style="411" customWidth="1"/>
    <col min="8709" max="8709" width="16.77734375" style="411" customWidth="1"/>
    <col min="8710" max="8710" width="18.77734375" style="411" customWidth="1"/>
    <col min="8711" max="8718" width="18.5546875" style="411"/>
    <col min="8719" max="8719" width="4" style="411" customWidth="1"/>
    <col min="8720" max="8720" width="5.5546875" style="411" customWidth="1"/>
    <col min="8721" max="8721" width="30.21875" style="411" customWidth="1"/>
    <col min="8722" max="8722" width="4.5546875" style="411" bestFit="1" customWidth="1"/>
    <col min="8723" max="8723" width="41" style="411" customWidth="1"/>
    <col min="8724" max="8725" width="14.5546875" style="411" customWidth="1"/>
    <col min="8726" max="8726" width="16.5546875" style="411" customWidth="1"/>
    <col min="8727" max="8729" width="14.5546875" style="411" customWidth="1"/>
    <col min="8730" max="8731" width="12.5546875" style="411" customWidth="1"/>
    <col min="8732" max="8732" width="16.5546875" style="411" customWidth="1"/>
    <col min="8733" max="8734" width="20.5546875" style="411" customWidth="1"/>
    <col min="8735" max="8735" width="11" style="411" bestFit="1" customWidth="1"/>
    <col min="8736" max="8736" width="17.21875" style="411" customWidth="1"/>
    <col min="8737" max="8737" width="11" style="411" bestFit="1" customWidth="1"/>
    <col min="8738" max="8738" width="8.77734375" style="411" customWidth="1"/>
    <col min="8739" max="8742" width="10.21875" style="411" bestFit="1" customWidth="1"/>
    <col min="8743" max="8744" width="11.21875" style="411" bestFit="1" customWidth="1"/>
    <col min="8745" max="8955" width="8.77734375" style="411" customWidth="1"/>
    <col min="8956" max="8956" width="2.5546875" style="411" customWidth="1"/>
    <col min="8957" max="8957" width="5.5546875" style="411" customWidth="1"/>
    <col min="8958" max="8958" width="23.77734375" style="411" customWidth="1"/>
    <col min="8959" max="8959" width="3.77734375" style="411" customWidth="1"/>
    <col min="8960" max="8960" width="35.77734375" style="411" customWidth="1"/>
    <col min="8961" max="8961" width="22.21875" style="411" customWidth="1"/>
    <col min="8962" max="8962" width="17.77734375" style="411" customWidth="1"/>
    <col min="8963" max="8963" width="19" style="411" customWidth="1"/>
    <col min="8964" max="8964" width="20.77734375" style="411" customWidth="1"/>
    <col min="8965" max="8965" width="16.77734375" style="411" customWidth="1"/>
    <col min="8966" max="8966" width="18.77734375" style="411" customWidth="1"/>
    <col min="8967" max="8974" width="18.5546875" style="411"/>
    <col min="8975" max="8975" width="4" style="411" customWidth="1"/>
    <col min="8976" max="8976" width="5.5546875" style="411" customWidth="1"/>
    <col min="8977" max="8977" width="30.21875" style="411" customWidth="1"/>
    <col min="8978" max="8978" width="4.5546875" style="411" bestFit="1" customWidth="1"/>
    <col min="8979" max="8979" width="41" style="411" customWidth="1"/>
    <col min="8980" max="8981" width="14.5546875" style="411" customWidth="1"/>
    <col min="8982" max="8982" width="16.5546875" style="411" customWidth="1"/>
    <col min="8983" max="8985" width="14.5546875" style="411" customWidth="1"/>
    <col min="8986" max="8987" width="12.5546875" style="411" customWidth="1"/>
    <col min="8988" max="8988" width="16.5546875" style="411" customWidth="1"/>
    <col min="8989" max="8990" width="20.5546875" style="411" customWidth="1"/>
    <col min="8991" max="8991" width="11" style="411" bestFit="1" customWidth="1"/>
    <col min="8992" max="8992" width="17.21875" style="411" customWidth="1"/>
    <col min="8993" max="8993" width="11" style="411" bestFit="1" customWidth="1"/>
    <col min="8994" max="8994" width="8.77734375" style="411" customWidth="1"/>
    <col min="8995" max="8998" width="10.21875" style="411" bestFit="1" customWidth="1"/>
    <col min="8999" max="9000" width="11.21875" style="411" bestFit="1" customWidth="1"/>
    <col min="9001" max="9211" width="8.77734375" style="411" customWidth="1"/>
    <col min="9212" max="9212" width="2.5546875" style="411" customWidth="1"/>
    <col min="9213" max="9213" width="5.5546875" style="411" customWidth="1"/>
    <col min="9214" max="9214" width="23.77734375" style="411" customWidth="1"/>
    <col min="9215" max="9215" width="3.77734375" style="411" customWidth="1"/>
    <col min="9216" max="9216" width="35.77734375" style="411" customWidth="1"/>
    <col min="9217" max="9217" width="22.21875" style="411" customWidth="1"/>
    <col min="9218" max="9218" width="17.77734375" style="411" customWidth="1"/>
    <col min="9219" max="9219" width="19" style="411" customWidth="1"/>
    <col min="9220" max="9220" width="20.77734375" style="411" customWidth="1"/>
    <col min="9221" max="9221" width="16.77734375" style="411" customWidth="1"/>
    <col min="9222" max="9222" width="18.77734375" style="411" customWidth="1"/>
    <col min="9223" max="9230" width="18.5546875" style="411"/>
    <col min="9231" max="9231" width="4" style="411" customWidth="1"/>
    <col min="9232" max="9232" width="5.5546875" style="411" customWidth="1"/>
    <col min="9233" max="9233" width="30.21875" style="411" customWidth="1"/>
    <col min="9234" max="9234" width="4.5546875" style="411" bestFit="1" customWidth="1"/>
    <col min="9235" max="9235" width="41" style="411" customWidth="1"/>
    <col min="9236" max="9237" width="14.5546875" style="411" customWidth="1"/>
    <col min="9238" max="9238" width="16.5546875" style="411" customWidth="1"/>
    <col min="9239" max="9241" width="14.5546875" style="411" customWidth="1"/>
    <col min="9242" max="9243" width="12.5546875" style="411" customWidth="1"/>
    <col min="9244" max="9244" width="16.5546875" style="411" customWidth="1"/>
    <col min="9245" max="9246" width="20.5546875" style="411" customWidth="1"/>
    <col min="9247" max="9247" width="11" style="411" bestFit="1" customWidth="1"/>
    <col min="9248" max="9248" width="17.21875" style="411" customWidth="1"/>
    <col min="9249" max="9249" width="11" style="411" bestFit="1" customWidth="1"/>
    <col min="9250" max="9250" width="8.77734375" style="411" customWidth="1"/>
    <col min="9251" max="9254" width="10.21875" style="411" bestFit="1" customWidth="1"/>
    <col min="9255" max="9256" width="11.21875" style="411" bestFit="1" customWidth="1"/>
    <col min="9257" max="9467" width="8.77734375" style="411" customWidth="1"/>
    <col min="9468" max="9468" width="2.5546875" style="411" customWidth="1"/>
    <col min="9469" max="9469" width="5.5546875" style="411" customWidth="1"/>
    <col min="9470" max="9470" width="23.77734375" style="411" customWidth="1"/>
    <col min="9471" max="9471" width="3.77734375" style="411" customWidth="1"/>
    <col min="9472" max="9472" width="35.77734375" style="411" customWidth="1"/>
    <col min="9473" max="9473" width="22.21875" style="411" customWidth="1"/>
    <col min="9474" max="9474" width="17.77734375" style="411" customWidth="1"/>
    <col min="9475" max="9475" width="19" style="411" customWidth="1"/>
    <col min="9476" max="9476" width="20.77734375" style="411" customWidth="1"/>
    <col min="9477" max="9477" width="16.77734375" style="411" customWidth="1"/>
    <col min="9478" max="9478" width="18.77734375" style="411" customWidth="1"/>
    <col min="9479" max="9486" width="18.5546875" style="411"/>
    <col min="9487" max="9487" width="4" style="411" customWidth="1"/>
    <col min="9488" max="9488" width="5.5546875" style="411" customWidth="1"/>
    <col min="9489" max="9489" width="30.21875" style="411" customWidth="1"/>
    <col min="9490" max="9490" width="4.5546875" style="411" bestFit="1" customWidth="1"/>
    <col min="9491" max="9491" width="41" style="411" customWidth="1"/>
    <col min="9492" max="9493" width="14.5546875" style="411" customWidth="1"/>
    <col min="9494" max="9494" width="16.5546875" style="411" customWidth="1"/>
    <col min="9495" max="9497" width="14.5546875" style="411" customWidth="1"/>
    <col min="9498" max="9499" width="12.5546875" style="411" customWidth="1"/>
    <col min="9500" max="9500" width="16.5546875" style="411" customWidth="1"/>
    <col min="9501" max="9502" width="20.5546875" style="411" customWidth="1"/>
    <col min="9503" max="9503" width="11" style="411" bestFit="1" customWidth="1"/>
    <col min="9504" max="9504" width="17.21875" style="411" customWidth="1"/>
    <col min="9505" max="9505" width="11" style="411" bestFit="1" customWidth="1"/>
    <col min="9506" max="9506" width="8.77734375" style="411" customWidth="1"/>
    <col min="9507" max="9510" width="10.21875" style="411" bestFit="1" customWidth="1"/>
    <col min="9511" max="9512" width="11.21875" style="411" bestFit="1" customWidth="1"/>
    <col min="9513" max="9723" width="8.77734375" style="411" customWidth="1"/>
    <col min="9724" max="9724" width="2.5546875" style="411" customWidth="1"/>
    <col min="9725" max="9725" width="5.5546875" style="411" customWidth="1"/>
    <col min="9726" max="9726" width="23.77734375" style="411" customWidth="1"/>
    <col min="9727" max="9727" width="3.77734375" style="411" customWidth="1"/>
    <col min="9728" max="9728" width="35.77734375" style="411" customWidth="1"/>
    <col min="9729" max="9729" width="22.21875" style="411" customWidth="1"/>
    <col min="9730" max="9730" width="17.77734375" style="411" customWidth="1"/>
    <col min="9731" max="9731" width="19" style="411" customWidth="1"/>
    <col min="9732" max="9732" width="20.77734375" style="411" customWidth="1"/>
    <col min="9733" max="9733" width="16.77734375" style="411" customWidth="1"/>
    <col min="9734" max="9734" width="18.77734375" style="411" customWidth="1"/>
    <col min="9735" max="9742" width="18.5546875" style="411"/>
    <col min="9743" max="9743" width="4" style="411" customWidth="1"/>
    <col min="9744" max="9744" width="5.5546875" style="411" customWidth="1"/>
    <col min="9745" max="9745" width="30.21875" style="411" customWidth="1"/>
    <col min="9746" max="9746" width="4.5546875" style="411" bestFit="1" customWidth="1"/>
    <col min="9747" max="9747" width="41" style="411" customWidth="1"/>
    <col min="9748" max="9749" width="14.5546875" style="411" customWidth="1"/>
    <col min="9750" max="9750" width="16.5546875" style="411" customWidth="1"/>
    <col min="9751" max="9753" width="14.5546875" style="411" customWidth="1"/>
    <col min="9754" max="9755" width="12.5546875" style="411" customWidth="1"/>
    <col min="9756" max="9756" width="16.5546875" style="411" customWidth="1"/>
    <col min="9757" max="9758" width="20.5546875" style="411" customWidth="1"/>
    <col min="9759" max="9759" width="11" style="411" bestFit="1" customWidth="1"/>
    <col min="9760" max="9760" width="17.21875" style="411" customWidth="1"/>
    <col min="9761" max="9761" width="11" style="411" bestFit="1" customWidth="1"/>
    <col min="9762" max="9762" width="8.77734375" style="411" customWidth="1"/>
    <col min="9763" max="9766" width="10.21875" style="411" bestFit="1" customWidth="1"/>
    <col min="9767" max="9768" width="11.21875" style="411" bestFit="1" customWidth="1"/>
    <col min="9769" max="9979" width="8.77734375" style="411" customWidth="1"/>
    <col min="9980" max="9980" width="2.5546875" style="411" customWidth="1"/>
    <col min="9981" max="9981" width="5.5546875" style="411" customWidth="1"/>
    <col min="9982" max="9982" width="23.77734375" style="411" customWidth="1"/>
    <col min="9983" max="9983" width="3.77734375" style="411" customWidth="1"/>
    <col min="9984" max="9984" width="35.77734375" style="411" customWidth="1"/>
    <col min="9985" max="9985" width="22.21875" style="411" customWidth="1"/>
    <col min="9986" max="9986" width="17.77734375" style="411" customWidth="1"/>
    <col min="9987" max="9987" width="19" style="411" customWidth="1"/>
    <col min="9988" max="9988" width="20.77734375" style="411" customWidth="1"/>
    <col min="9989" max="9989" width="16.77734375" style="411" customWidth="1"/>
    <col min="9990" max="9990" width="18.77734375" style="411" customWidth="1"/>
    <col min="9991" max="9998" width="18.5546875" style="411"/>
    <col min="9999" max="9999" width="4" style="411" customWidth="1"/>
    <col min="10000" max="10000" width="5.5546875" style="411" customWidth="1"/>
    <col min="10001" max="10001" width="30.21875" style="411" customWidth="1"/>
    <col min="10002" max="10002" width="4.5546875" style="411" bestFit="1" customWidth="1"/>
    <col min="10003" max="10003" width="41" style="411" customWidth="1"/>
    <col min="10004" max="10005" width="14.5546875" style="411" customWidth="1"/>
    <col min="10006" max="10006" width="16.5546875" style="411" customWidth="1"/>
    <col min="10007" max="10009" width="14.5546875" style="411" customWidth="1"/>
    <col min="10010" max="10011" width="12.5546875" style="411" customWidth="1"/>
    <col min="10012" max="10012" width="16.5546875" style="411" customWidth="1"/>
    <col min="10013" max="10014" width="20.5546875" style="411" customWidth="1"/>
    <col min="10015" max="10015" width="11" style="411" bestFit="1" customWidth="1"/>
    <col min="10016" max="10016" width="17.21875" style="411" customWidth="1"/>
    <col min="10017" max="10017" width="11" style="411" bestFit="1" customWidth="1"/>
    <col min="10018" max="10018" width="8.77734375" style="411" customWidth="1"/>
    <col min="10019" max="10022" width="10.21875" style="411" bestFit="1" customWidth="1"/>
    <col min="10023" max="10024" width="11.21875" style="411" bestFit="1" customWidth="1"/>
    <col min="10025" max="10235" width="8.77734375" style="411" customWidth="1"/>
    <col min="10236" max="10236" width="2.5546875" style="411" customWidth="1"/>
    <col min="10237" max="10237" width="5.5546875" style="411" customWidth="1"/>
    <col min="10238" max="10238" width="23.77734375" style="411" customWidth="1"/>
    <col min="10239" max="10239" width="3.77734375" style="411" customWidth="1"/>
    <col min="10240" max="10240" width="35.77734375" style="411" customWidth="1"/>
    <col min="10241" max="10241" width="22.21875" style="411" customWidth="1"/>
    <col min="10242" max="10242" width="17.77734375" style="411" customWidth="1"/>
    <col min="10243" max="10243" width="19" style="411" customWidth="1"/>
    <col min="10244" max="10244" width="20.77734375" style="411" customWidth="1"/>
    <col min="10245" max="10245" width="16.77734375" style="411" customWidth="1"/>
    <col min="10246" max="10246" width="18.77734375" style="411" customWidth="1"/>
    <col min="10247" max="10254" width="18.5546875" style="411"/>
    <col min="10255" max="10255" width="4" style="411" customWidth="1"/>
    <col min="10256" max="10256" width="5.5546875" style="411" customWidth="1"/>
    <col min="10257" max="10257" width="30.21875" style="411" customWidth="1"/>
    <col min="10258" max="10258" width="4.5546875" style="411" bestFit="1" customWidth="1"/>
    <col min="10259" max="10259" width="41" style="411" customWidth="1"/>
    <col min="10260" max="10261" width="14.5546875" style="411" customWidth="1"/>
    <col min="10262" max="10262" width="16.5546875" style="411" customWidth="1"/>
    <col min="10263" max="10265" width="14.5546875" style="411" customWidth="1"/>
    <col min="10266" max="10267" width="12.5546875" style="411" customWidth="1"/>
    <col min="10268" max="10268" width="16.5546875" style="411" customWidth="1"/>
    <col min="10269" max="10270" width="20.5546875" style="411" customWidth="1"/>
    <col min="10271" max="10271" width="11" style="411" bestFit="1" customWidth="1"/>
    <col min="10272" max="10272" width="17.21875" style="411" customWidth="1"/>
    <col min="10273" max="10273" width="11" style="411" bestFit="1" customWidth="1"/>
    <col min="10274" max="10274" width="8.77734375" style="411" customWidth="1"/>
    <col min="10275" max="10278" width="10.21875" style="411" bestFit="1" customWidth="1"/>
    <col min="10279" max="10280" width="11.21875" style="411" bestFit="1" customWidth="1"/>
    <col min="10281" max="10491" width="8.77734375" style="411" customWidth="1"/>
    <col min="10492" max="10492" width="2.5546875" style="411" customWidth="1"/>
    <col min="10493" max="10493" width="5.5546875" style="411" customWidth="1"/>
    <col min="10494" max="10494" width="23.77734375" style="411" customWidth="1"/>
    <col min="10495" max="10495" width="3.77734375" style="411" customWidth="1"/>
    <col min="10496" max="10496" width="35.77734375" style="411" customWidth="1"/>
    <col min="10497" max="10497" width="22.21875" style="411" customWidth="1"/>
    <col min="10498" max="10498" width="17.77734375" style="411" customWidth="1"/>
    <col min="10499" max="10499" width="19" style="411" customWidth="1"/>
    <col min="10500" max="10500" width="20.77734375" style="411" customWidth="1"/>
    <col min="10501" max="10501" width="16.77734375" style="411" customWidth="1"/>
    <col min="10502" max="10502" width="18.77734375" style="411" customWidth="1"/>
    <col min="10503" max="10510" width="18.5546875" style="411"/>
    <col min="10511" max="10511" width="4" style="411" customWidth="1"/>
    <col min="10512" max="10512" width="5.5546875" style="411" customWidth="1"/>
    <col min="10513" max="10513" width="30.21875" style="411" customWidth="1"/>
    <col min="10514" max="10514" width="4.5546875" style="411" bestFit="1" customWidth="1"/>
    <col min="10515" max="10515" width="41" style="411" customWidth="1"/>
    <col min="10516" max="10517" width="14.5546875" style="411" customWidth="1"/>
    <col min="10518" max="10518" width="16.5546875" style="411" customWidth="1"/>
    <col min="10519" max="10521" width="14.5546875" style="411" customWidth="1"/>
    <col min="10522" max="10523" width="12.5546875" style="411" customWidth="1"/>
    <col min="10524" max="10524" width="16.5546875" style="411" customWidth="1"/>
    <col min="10525" max="10526" width="20.5546875" style="411" customWidth="1"/>
    <col min="10527" max="10527" width="11" style="411" bestFit="1" customWidth="1"/>
    <col min="10528" max="10528" width="17.21875" style="411" customWidth="1"/>
    <col min="10529" max="10529" width="11" style="411" bestFit="1" customWidth="1"/>
    <col min="10530" max="10530" width="8.77734375" style="411" customWidth="1"/>
    <col min="10531" max="10534" width="10.21875" style="411" bestFit="1" customWidth="1"/>
    <col min="10535" max="10536" width="11.21875" style="411" bestFit="1" customWidth="1"/>
    <col min="10537" max="10747" width="8.77734375" style="411" customWidth="1"/>
    <col min="10748" max="10748" width="2.5546875" style="411" customWidth="1"/>
    <col min="10749" max="10749" width="5.5546875" style="411" customWidth="1"/>
    <col min="10750" max="10750" width="23.77734375" style="411" customWidth="1"/>
    <col min="10751" max="10751" width="3.77734375" style="411" customWidth="1"/>
    <col min="10752" max="10752" width="35.77734375" style="411" customWidth="1"/>
    <col min="10753" max="10753" width="22.21875" style="411" customWidth="1"/>
    <col min="10754" max="10754" width="17.77734375" style="411" customWidth="1"/>
    <col min="10755" max="10755" width="19" style="411" customWidth="1"/>
    <col min="10756" max="10756" width="20.77734375" style="411" customWidth="1"/>
    <col min="10757" max="10757" width="16.77734375" style="411" customWidth="1"/>
    <col min="10758" max="10758" width="18.77734375" style="411" customWidth="1"/>
    <col min="10759" max="10766" width="18.5546875" style="411"/>
    <col min="10767" max="10767" width="4" style="411" customWidth="1"/>
    <col min="10768" max="10768" width="5.5546875" style="411" customWidth="1"/>
    <col min="10769" max="10769" width="30.21875" style="411" customWidth="1"/>
    <col min="10770" max="10770" width="4.5546875" style="411" bestFit="1" customWidth="1"/>
    <col min="10771" max="10771" width="41" style="411" customWidth="1"/>
    <col min="10772" max="10773" width="14.5546875" style="411" customWidth="1"/>
    <col min="10774" max="10774" width="16.5546875" style="411" customWidth="1"/>
    <col min="10775" max="10777" width="14.5546875" style="411" customWidth="1"/>
    <col min="10778" max="10779" width="12.5546875" style="411" customWidth="1"/>
    <col min="10780" max="10780" width="16.5546875" style="411" customWidth="1"/>
    <col min="10781" max="10782" width="20.5546875" style="411" customWidth="1"/>
    <col min="10783" max="10783" width="11" style="411" bestFit="1" customWidth="1"/>
    <col min="10784" max="10784" width="17.21875" style="411" customWidth="1"/>
    <col min="10785" max="10785" width="11" style="411" bestFit="1" customWidth="1"/>
    <col min="10786" max="10786" width="8.77734375" style="411" customWidth="1"/>
    <col min="10787" max="10790" width="10.21875" style="411" bestFit="1" customWidth="1"/>
    <col min="10791" max="10792" width="11.21875" style="411" bestFit="1" customWidth="1"/>
    <col min="10793" max="11003" width="8.77734375" style="411" customWidth="1"/>
    <col min="11004" max="11004" width="2.5546875" style="411" customWidth="1"/>
    <col min="11005" max="11005" width="5.5546875" style="411" customWidth="1"/>
    <col min="11006" max="11006" width="23.77734375" style="411" customWidth="1"/>
    <col min="11007" max="11007" width="3.77734375" style="411" customWidth="1"/>
    <col min="11008" max="11008" width="35.77734375" style="411" customWidth="1"/>
    <col min="11009" max="11009" width="22.21875" style="411" customWidth="1"/>
    <col min="11010" max="11010" width="17.77734375" style="411" customWidth="1"/>
    <col min="11011" max="11011" width="19" style="411" customWidth="1"/>
    <col min="11012" max="11012" width="20.77734375" style="411" customWidth="1"/>
    <col min="11013" max="11013" width="16.77734375" style="411" customWidth="1"/>
    <col min="11014" max="11014" width="18.77734375" style="411" customWidth="1"/>
    <col min="11015" max="11022" width="18.5546875" style="411"/>
    <col min="11023" max="11023" width="4" style="411" customWidth="1"/>
    <col min="11024" max="11024" width="5.5546875" style="411" customWidth="1"/>
    <col min="11025" max="11025" width="30.21875" style="411" customWidth="1"/>
    <col min="11026" max="11026" width="4.5546875" style="411" bestFit="1" customWidth="1"/>
    <col min="11027" max="11027" width="41" style="411" customWidth="1"/>
    <col min="11028" max="11029" width="14.5546875" style="411" customWidth="1"/>
    <col min="11030" max="11030" width="16.5546875" style="411" customWidth="1"/>
    <col min="11031" max="11033" width="14.5546875" style="411" customWidth="1"/>
    <col min="11034" max="11035" width="12.5546875" style="411" customWidth="1"/>
    <col min="11036" max="11036" width="16.5546875" style="411" customWidth="1"/>
    <col min="11037" max="11038" width="20.5546875" style="411" customWidth="1"/>
    <col min="11039" max="11039" width="11" style="411" bestFit="1" customWidth="1"/>
    <col min="11040" max="11040" width="17.21875" style="411" customWidth="1"/>
    <col min="11041" max="11041" width="11" style="411" bestFit="1" customWidth="1"/>
    <col min="11042" max="11042" width="8.77734375" style="411" customWidth="1"/>
    <col min="11043" max="11046" width="10.21875" style="411" bestFit="1" customWidth="1"/>
    <col min="11047" max="11048" width="11.21875" style="411" bestFit="1" customWidth="1"/>
    <col min="11049" max="11259" width="8.77734375" style="411" customWidth="1"/>
    <col min="11260" max="11260" width="2.5546875" style="411" customWidth="1"/>
    <col min="11261" max="11261" width="5.5546875" style="411" customWidth="1"/>
    <col min="11262" max="11262" width="23.77734375" style="411" customWidth="1"/>
    <col min="11263" max="11263" width="3.77734375" style="411" customWidth="1"/>
    <col min="11264" max="11264" width="35.77734375" style="411" customWidth="1"/>
    <col min="11265" max="11265" width="22.21875" style="411" customWidth="1"/>
    <col min="11266" max="11266" width="17.77734375" style="411" customWidth="1"/>
    <col min="11267" max="11267" width="19" style="411" customWidth="1"/>
    <col min="11268" max="11268" width="20.77734375" style="411" customWidth="1"/>
    <col min="11269" max="11269" width="16.77734375" style="411" customWidth="1"/>
    <col min="11270" max="11270" width="18.77734375" style="411" customWidth="1"/>
    <col min="11271" max="11278" width="18.5546875" style="411"/>
    <col min="11279" max="11279" width="4" style="411" customWidth="1"/>
    <col min="11280" max="11280" width="5.5546875" style="411" customWidth="1"/>
    <col min="11281" max="11281" width="30.21875" style="411" customWidth="1"/>
    <col min="11282" max="11282" width="4.5546875" style="411" bestFit="1" customWidth="1"/>
    <col min="11283" max="11283" width="41" style="411" customWidth="1"/>
    <col min="11284" max="11285" width="14.5546875" style="411" customWidth="1"/>
    <col min="11286" max="11286" width="16.5546875" style="411" customWidth="1"/>
    <col min="11287" max="11289" width="14.5546875" style="411" customWidth="1"/>
    <col min="11290" max="11291" width="12.5546875" style="411" customWidth="1"/>
    <col min="11292" max="11292" width="16.5546875" style="411" customWidth="1"/>
    <col min="11293" max="11294" width="20.5546875" style="411" customWidth="1"/>
    <col min="11295" max="11295" width="11" style="411" bestFit="1" customWidth="1"/>
    <col min="11296" max="11296" width="17.21875" style="411" customWidth="1"/>
    <col min="11297" max="11297" width="11" style="411" bestFit="1" customWidth="1"/>
    <col min="11298" max="11298" width="8.77734375" style="411" customWidth="1"/>
    <col min="11299" max="11302" width="10.21875" style="411" bestFit="1" customWidth="1"/>
    <col min="11303" max="11304" width="11.21875" style="411" bestFit="1" customWidth="1"/>
    <col min="11305" max="11515" width="8.77734375" style="411" customWidth="1"/>
    <col min="11516" max="11516" width="2.5546875" style="411" customWidth="1"/>
    <col min="11517" max="11517" width="5.5546875" style="411" customWidth="1"/>
    <col min="11518" max="11518" width="23.77734375" style="411" customWidth="1"/>
    <col min="11519" max="11519" width="3.77734375" style="411" customWidth="1"/>
    <col min="11520" max="11520" width="35.77734375" style="411" customWidth="1"/>
    <col min="11521" max="11521" width="22.21875" style="411" customWidth="1"/>
    <col min="11522" max="11522" width="17.77734375" style="411" customWidth="1"/>
    <col min="11523" max="11523" width="19" style="411" customWidth="1"/>
    <col min="11524" max="11524" width="20.77734375" style="411" customWidth="1"/>
    <col min="11525" max="11525" width="16.77734375" style="411" customWidth="1"/>
    <col min="11526" max="11526" width="18.77734375" style="411" customWidth="1"/>
    <col min="11527" max="11534" width="18.5546875" style="411"/>
    <col min="11535" max="11535" width="4" style="411" customWidth="1"/>
    <col min="11536" max="11536" width="5.5546875" style="411" customWidth="1"/>
    <col min="11537" max="11537" width="30.21875" style="411" customWidth="1"/>
    <col min="11538" max="11538" width="4.5546875" style="411" bestFit="1" customWidth="1"/>
    <col min="11539" max="11539" width="41" style="411" customWidth="1"/>
    <col min="11540" max="11541" width="14.5546875" style="411" customWidth="1"/>
    <col min="11542" max="11542" width="16.5546875" style="411" customWidth="1"/>
    <col min="11543" max="11545" width="14.5546875" style="411" customWidth="1"/>
    <col min="11546" max="11547" width="12.5546875" style="411" customWidth="1"/>
    <col min="11548" max="11548" width="16.5546875" style="411" customWidth="1"/>
    <col min="11549" max="11550" width="20.5546875" style="411" customWidth="1"/>
    <col min="11551" max="11551" width="11" style="411" bestFit="1" customWidth="1"/>
    <col min="11552" max="11552" width="17.21875" style="411" customWidth="1"/>
    <col min="11553" max="11553" width="11" style="411" bestFit="1" customWidth="1"/>
    <col min="11554" max="11554" width="8.77734375" style="411" customWidth="1"/>
    <col min="11555" max="11558" width="10.21875" style="411" bestFit="1" customWidth="1"/>
    <col min="11559" max="11560" width="11.21875" style="411" bestFit="1" customWidth="1"/>
    <col min="11561" max="11771" width="8.77734375" style="411" customWidth="1"/>
    <col min="11772" max="11772" width="2.5546875" style="411" customWidth="1"/>
    <col min="11773" max="11773" width="5.5546875" style="411" customWidth="1"/>
    <col min="11774" max="11774" width="23.77734375" style="411" customWidth="1"/>
    <col min="11775" max="11775" width="3.77734375" style="411" customWidth="1"/>
    <col min="11776" max="11776" width="35.77734375" style="411" customWidth="1"/>
    <col min="11777" max="11777" width="22.21875" style="411" customWidth="1"/>
    <col min="11778" max="11778" width="17.77734375" style="411" customWidth="1"/>
    <col min="11779" max="11779" width="19" style="411" customWidth="1"/>
    <col min="11780" max="11780" width="20.77734375" style="411" customWidth="1"/>
    <col min="11781" max="11781" width="16.77734375" style="411" customWidth="1"/>
    <col min="11782" max="11782" width="18.77734375" style="411" customWidth="1"/>
    <col min="11783" max="11790" width="18.5546875" style="411"/>
    <col min="11791" max="11791" width="4" style="411" customWidth="1"/>
    <col min="11792" max="11792" width="5.5546875" style="411" customWidth="1"/>
    <col min="11793" max="11793" width="30.21875" style="411" customWidth="1"/>
    <col min="11794" max="11794" width="4.5546875" style="411" bestFit="1" customWidth="1"/>
    <col min="11795" max="11795" width="41" style="411" customWidth="1"/>
    <col min="11796" max="11797" width="14.5546875" style="411" customWidth="1"/>
    <col min="11798" max="11798" width="16.5546875" style="411" customWidth="1"/>
    <col min="11799" max="11801" width="14.5546875" style="411" customWidth="1"/>
    <col min="11802" max="11803" width="12.5546875" style="411" customWidth="1"/>
    <col min="11804" max="11804" width="16.5546875" style="411" customWidth="1"/>
    <col min="11805" max="11806" width="20.5546875" style="411" customWidth="1"/>
    <col min="11807" max="11807" width="11" style="411" bestFit="1" customWidth="1"/>
    <col min="11808" max="11808" width="17.21875" style="411" customWidth="1"/>
    <col min="11809" max="11809" width="11" style="411" bestFit="1" customWidth="1"/>
    <col min="11810" max="11810" width="8.77734375" style="411" customWidth="1"/>
    <col min="11811" max="11814" width="10.21875" style="411" bestFit="1" customWidth="1"/>
    <col min="11815" max="11816" width="11.21875" style="411" bestFit="1" customWidth="1"/>
    <col min="11817" max="12027" width="8.77734375" style="411" customWidth="1"/>
    <col min="12028" max="12028" width="2.5546875" style="411" customWidth="1"/>
    <col min="12029" max="12029" width="5.5546875" style="411" customWidth="1"/>
    <col min="12030" max="12030" width="23.77734375" style="411" customWidth="1"/>
    <col min="12031" max="12031" width="3.77734375" style="411" customWidth="1"/>
    <col min="12032" max="12032" width="35.77734375" style="411" customWidth="1"/>
    <col min="12033" max="12033" width="22.21875" style="411" customWidth="1"/>
    <col min="12034" max="12034" width="17.77734375" style="411" customWidth="1"/>
    <col min="12035" max="12035" width="19" style="411" customWidth="1"/>
    <col min="12036" max="12036" width="20.77734375" style="411" customWidth="1"/>
    <col min="12037" max="12037" width="16.77734375" style="411" customWidth="1"/>
    <col min="12038" max="12038" width="18.77734375" style="411" customWidth="1"/>
    <col min="12039" max="12046" width="18.5546875" style="411"/>
    <col min="12047" max="12047" width="4" style="411" customWidth="1"/>
    <col min="12048" max="12048" width="5.5546875" style="411" customWidth="1"/>
    <col min="12049" max="12049" width="30.21875" style="411" customWidth="1"/>
    <col min="12050" max="12050" width="4.5546875" style="411" bestFit="1" customWidth="1"/>
    <col min="12051" max="12051" width="41" style="411" customWidth="1"/>
    <col min="12052" max="12053" width="14.5546875" style="411" customWidth="1"/>
    <col min="12054" max="12054" width="16.5546875" style="411" customWidth="1"/>
    <col min="12055" max="12057" width="14.5546875" style="411" customWidth="1"/>
    <col min="12058" max="12059" width="12.5546875" style="411" customWidth="1"/>
    <col min="12060" max="12060" width="16.5546875" style="411" customWidth="1"/>
    <col min="12061" max="12062" width="20.5546875" style="411" customWidth="1"/>
    <col min="12063" max="12063" width="11" style="411" bestFit="1" customWidth="1"/>
    <col min="12064" max="12064" width="17.21875" style="411" customWidth="1"/>
    <col min="12065" max="12065" width="11" style="411" bestFit="1" customWidth="1"/>
    <col min="12066" max="12066" width="8.77734375" style="411" customWidth="1"/>
    <col min="12067" max="12070" width="10.21875" style="411" bestFit="1" customWidth="1"/>
    <col min="12071" max="12072" width="11.21875" style="411" bestFit="1" customWidth="1"/>
    <col min="12073" max="12283" width="8.77734375" style="411" customWidth="1"/>
    <col min="12284" max="12284" width="2.5546875" style="411" customWidth="1"/>
    <col min="12285" max="12285" width="5.5546875" style="411" customWidth="1"/>
    <col min="12286" max="12286" width="23.77734375" style="411" customWidth="1"/>
    <col min="12287" max="12287" width="3.77734375" style="411" customWidth="1"/>
    <col min="12288" max="12288" width="35.77734375" style="411" customWidth="1"/>
    <col min="12289" max="12289" width="22.21875" style="411" customWidth="1"/>
    <col min="12290" max="12290" width="17.77734375" style="411" customWidth="1"/>
    <col min="12291" max="12291" width="19" style="411" customWidth="1"/>
    <col min="12292" max="12292" width="20.77734375" style="411" customWidth="1"/>
    <col min="12293" max="12293" width="16.77734375" style="411" customWidth="1"/>
    <col min="12294" max="12294" width="18.77734375" style="411" customWidth="1"/>
    <col min="12295" max="12302" width="18.5546875" style="411"/>
    <col min="12303" max="12303" width="4" style="411" customWidth="1"/>
    <col min="12304" max="12304" width="5.5546875" style="411" customWidth="1"/>
    <col min="12305" max="12305" width="30.21875" style="411" customWidth="1"/>
    <col min="12306" max="12306" width="4.5546875" style="411" bestFit="1" customWidth="1"/>
    <col min="12307" max="12307" width="41" style="411" customWidth="1"/>
    <col min="12308" max="12309" width="14.5546875" style="411" customWidth="1"/>
    <col min="12310" max="12310" width="16.5546875" style="411" customWidth="1"/>
    <col min="12311" max="12313" width="14.5546875" style="411" customWidth="1"/>
    <col min="12314" max="12315" width="12.5546875" style="411" customWidth="1"/>
    <col min="12316" max="12316" width="16.5546875" style="411" customWidth="1"/>
    <col min="12317" max="12318" width="20.5546875" style="411" customWidth="1"/>
    <col min="12319" max="12319" width="11" style="411" bestFit="1" customWidth="1"/>
    <col min="12320" max="12320" width="17.21875" style="411" customWidth="1"/>
    <col min="12321" max="12321" width="11" style="411" bestFit="1" customWidth="1"/>
    <col min="12322" max="12322" width="8.77734375" style="411" customWidth="1"/>
    <col min="12323" max="12326" width="10.21875" style="411" bestFit="1" customWidth="1"/>
    <col min="12327" max="12328" width="11.21875" style="411" bestFit="1" customWidth="1"/>
    <col min="12329" max="12539" width="8.77734375" style="411" customWidth="1"/>
    <col min="12540" max="12540" width="2.5546875" style="411" customWidth="1"/>
    <col min="12541" max="12541" width="5.5546875" style="411" customWidth="1"/>
    <col min="12542" max="12542" width="23.77734375" style="411" customWidth="1"/>
    <col min="12543" max="12543" width="3.77734375" style="411" customWidth="1"/>
    <col min="12544" max="12544" width="35.77734375" style="411" customWidth="1"/>
    <col min="12545" max="12545" width="22.21875" style="411" customWidth="1"/>
    <col min="12546" max="12546" width="17.77734375" style="411" customWidth="1"/>
    <col min="12547" max="12547" width="19" style="411" customWidth="1"/>
    <col min="12548" max="12548" width="20.77734375" style="411" customWidth="1"/>
    <col min="12549" max="12549" width="16.77734375" style="411" customWidth="1"/>
    <col min="12550" max="12550" width="18.77734375" style="411" customWidth="1"/>
    <col min="12551" max="12558" width="18.5546875" style="411"/>
    <col min="12559" max="12559" width="4" style="411" customWidth="1"/>
    <col min="12560" max="12560" width="5.5546875" style="411" customWidth="1"/>
    <col min="12561" max="12561" width="30.21875" style="411" customWidth="1"/>
    <col min="12562" max="12562" width="4.5546875" style="411" bestFit="1" customWidth="1"/>
    <col min="12563" max="12563" width="41" style="411" customWidth="1"/>
    <col min="12564" max="12565" width="14.5546875" style="411" customWidth="1"/>
    <col min="12566" max="12566" width="16.5546875" style="411" customWidth="1"/>
    <col min="12567" max="12569" width="14.5546875" style="411" customWidth="1"/>
    <col min="12570" max="12571" width="12.5546875" style="411" customWidth="1"/>
    <col min="12572" max="12572" width="16.5546875" style="411" customWidth="1"/>
    <col min="12573" max="12574" width="20.5546875" style="411" customWidth="1"/>
    <col min="12575" max="12575" width="11" style="411" bestFit="1" customWidth="1"/>
    <col min="12576" max="12576" width="17.21875" style="411" customWidth="1"/>
    <col min="12577" max="12577" width="11" style="411" bestFit="1" customWidth="1"/>
    <col min="12578" max="12578" width="8.77734375" style="411" customWidth="1"/>
    <col min="12579" max="12582" width="10.21875" style="411" bestFit="1" customWidth="1"/>
    <col min="12583" max="12584" width="11.21875" style="411" bestFit="1" customWidth="1"/>
    <col min="12585" max="12795" width="8.77734375" style="411" customWidth="1"/>
    <col min="12796" max="12796" width="2.5546875" style="411" customWidth="1"/>
    <col min="12797" max="12797" width="5.5546875" style="411" customWidth="1"/>
    <col min="12798" max="12798" width="23.77734375" style="411" customWidth="1"/>
    <col min="12799" max="12799" width="3.77734375" style="411" customWidth="1"/>
    <col min="12800" max="12800" width="35.77734375" style="411" customWidth="1"/>
    <col min="12801" max="12801" width="22.21875" style="411" customWidth="1"/>
    <col min="12802" max="12802" width="17.77734375" style="411" customWidth="1"/>
    <col min="12803" max="12803" width="19" style="411" customWidth="1"/>
    <col min="12804" max="12804" width="20.77734375" style="411" customWidth="1"/>
    <col min="12805" max="12805" width="16.77734375" style="411" customWidth="1"/>
    <col min="12806" max="12806" width="18.77734375" style="411" customWidth="1"/>
    <col min="12807" max="12814" width="18.5546875" style="411"/>
    <col min="12815" max="12815" width="4" style="411" customWidth="1"/>
    <col min="12816" max="12816" width="5.5546875" style="411" customWidth="1"/>
    <col min="12817" max="12817" width="30.21875" style="411" customWidth="1"/>
    <col min="12818" max="12818" width="4.5546875" style="411" bestFit="1" customWidth="1"/>
    <col min="12819" max="12819" width="41" style="411" customWidth="1"/>
    <col min="12820" max="12821" width="14.5546875" style="411" customWidth="1"/>
    <col min="12822" max="12822" width="16.5546875" style="411" customWidth="1"/>
    <col min="12823" max="12825" width="14.5546875" style="411" customWidth="1"/>
    <col min="12826" max="12827" width="12.5546875" style="411" customWidth="1"/>
    <col min="12828" max="12828" width="16.5546875" style="411" customWidth="1"/>
    <col min="12829" max="12830" width="20.5546875" style="411" customWidth="1"/>
    <col min="12831" max="12831" width="11" style="411" bestFit="1" customWidth="1"/>
    <col min="12832" max="12832" width="17.21875" style="411" customWidth="1"/>
    <col min="12833" max="12833" width="11" style="411" bestFit="1" customWidth="1"/>
    <col min="12834" max="12834" width="8.77734375" style="411" customWidth="1"/>
    <col min="12835" max="12838" width="10.21875" style="411" bestFit="1" customWidth="1"/>
    <col min="12839" max="12840" width="11.21875" style="411" bestFit="1" customWidth="1"/>
    <col min="12841" max="13051" width="8.77734375" style="411" customWidth="1"/>
    <col min="13052" max="13052" width="2.5546875" style="411" customWidth="1"/>
    <col min="13053" max="13053" width="5.5546875" style="411" customWidth="1"/>
    <col min="13054" max="13054" width="23.77734375" style="411" customWidth="1"/>
    <col min="13055" max="13055" width="3.77734375" style="411" customWidth="1"/>
    <col min="13056" max="13056" width="35.77734375" style="411" customWidth="1"/>
    <col min="13057" max="13057" width="22.21875" style="411" customWidth="1"/>
    <col min="13058" max="13058" width="17.77734375" style="411" customWidth="1"/>
    <col min="13059" max="13059" width="19" style="411" customWidth="1"/>
    <col min="13060" max="13060" width="20.77734375" style="411" customWidth="1"/>
    <col min="13061" max="13061" width="16.77734375" style="411" customWidth="1"/>
    <col min="13062" max="13062" width="18.77734375" style="411" customWidth="1"/>
    <col min="13063" max="13070" width="18.5546875" style="411"/>
    <col min="13071" max="13071" width="4" style="411" customWidth="1"/>
    <col min="13072" max="13072" width="5.5546875" style="411" customWidth="1"/>
    <col min="13073" max="13073" width="30.21875" style="411" customWidth="1"/>
    <col min="13074" max="13074" width="4.5546875" style="411" bestFit="1" customWidth="1"/>
    <col min="13075" max="13075" width="41" style="411" customWidth="1"/>
    <col min="13076" max="13077" width="14.5546875" style="411" customWidth="1"/>
    <col min="13078" max="13078" width="16.5546875" style="411" customWidth="1"/>
    <col min="13079" max="13081" width="14.5546875" style="411" customWidth="1"/>
    <col min="13082" max="13083" width="12.5546875" style="411" customWidth="1"/>
    <col min="13084" max="13084" width="16.5546875" style="411" customWidth="1"/>
    <col min="13085" max="13086" width="20.5546875" style="411" customWidth="1"/>
    <col min="13087" max="13087" width="11" style="411" bestFit="1" customWidth="1"/>
    <col min="13088" max="13088" width="17.21875" style="411" customWidth="1"/>
    <col min="13089" max="13089" width="11" style="411" bestFit="1" customWidth="1"/>
    <col min="13090" max="13090" width="8.77734375" style="411" customWidth="1"/>
    <col min="13091" max="13094" width="10.21875" style="411" bestFit="1" customWidth="1"/>
    <col min="13095" max="13096" width="11.21875" style="411" bestFit="1" customWidth="1"/>
    <col min="13097" max="13307" width="8.77734375" style="411" customWidth="1"/>
    <col min="13308" max="13308" width="2.5546875" style="411" customWidth="1"/>
    <col min="13309" max="13309" width="5.5546875" style="411" customWidth="1"/>
    <col min="13310" max="13310" width="23.77734375" style="411" customWidth="1"/>
    <col min="13311" max="13311" width="3.77734375" style="411" customWidth="1"/>
    <col min="13312" max="13312" width="35.77734375" style="411" customWidth="1"/>
    <col min="13313" max="13313" width="22.21875" style="411" customWidth="1"/>
    <col min="13314" max="13314" width="17.77734375" style="411" customWidth="1"/>
    <col min="13315" max="13315" width="19" style="411" customWidth="1"/>
    <col min="13316" max="13316" width="20.77734375" style="411" customWidth="1"/>
    <col min="13317" max="13317" width="16.77734375" style="411" customWidth="1"/>
    <col min="13318" max="13318" width="18.77734375" style="411" customWidth="1"/>
    <col min="13319" max="13326" width="18.5546875" style="411"/>
    <col min="13327" max="13327" width="4" style="411" customWidth="1"/>
    <col min="13328" max="13328" width="5.5546875" style="411" customWidth="1"/>
    <col min="13329" max="13329" width="30.21875" style="411" customWidth="1"/>
    <col min="13330" max="13330" width="4.5546875" style="411" bestFit="1" customWidth="1"/>
    <col min="13331" max="13331" width="41" style="411" customWidth="1"/>
    <col min="13332" max="13333" width="14.5546875" style="411" customWidth="1"/>
    <col min="13334" max="13334" width="16.5546875" style="411" customWidth="1"/>
    <col min="13335" max="13337" width="14.5546875" style="411" customWidth="1"/>
    <col min="13338" max="13339" width="12.5546875" style="411" customWidth="1"/>
    <col min="13340" max="13340" width="16.5546875" style="411" customWidth="1"/>
    <col min="13341" max="13342" width="20.5546875" style="411" customWidth="1"/>
    <col min="13343" max="13343" width="11" style="411" bestFit="1" customWidth="1"/>
    <col min="13344" max="13344" width="17.21875" style="411" customWidth="1"/>
    <col min="13345" max="13345" width="11" style="411" bestFit="1" customWidth="1"/>
    <col min="13346" max="13346" width="8.77734375" style="411" customWidth="1"/>
    <col min="13347" max="13350" width="10.21875" style="411" bestFit="1" customWidth="1"/>
    <col min="13351" max="13352" width="11.21875" style="411" bestFit="1" customWidth="1"/>
    <col min="13353" max="13563" width="8.77734375" style="411" customWidth="1"/>
    <col min="13564" max="13564" width="2.5546875" style="411" customWidth="1"/>
    <col min="13565" max="13565" width="5.5546875" style="411" customWidth="1"/>
    <col min="13566" max="13566" width="23.77734375" style="411" customWidth="1"/>
    <col min="13567" max="13567" width="3.77734375" style="411" customWidth="1"/>
    <col min="13568" max="13568" width="35.77734375" style="411" customWidth="1"/>
    <col min="13569" max="13569" width="22.21875" style="411" customWidth="1"/>
    <col min="13570" max="13570" width="17.77734375" style="411" customWidth="1"/>
    <col min="13571" max="13571" width="19" style="411" customWidth="1"/>
    <col min="13572" max="13572" width="20.77734375" style="411" customWidth="1"/>
    <col min="13573" max="13573" width="16.77734375" style="411" customWidth="1"/>
    <col min="13574" max="13574" width="18.77734375" style="411" customWidth="1"/>
    <col min="13575" max="13582" width="18.5546875" style="411"/>
    <col min="13583" max="13583" width="4" style="411" customWidth="1"/>
    <col min="13584" max="13584" width="5.5546875" style="411" customWidth="1"/>
    <col min="13585" max="13585" width="30.21875" style="411" customWidth="1"/>
    <col min="13586" max="13586" width="4.5546875" style="411" bestFit="1" customWidth="1"/>
    <col min="13587" max="13587" width="41" style="411" customWidth="1"/>
    <col min="13588" max="13589" width="14.5546875" style="411" customWidth="1"/>
    <col min="13590" max="13590" width="16.5546875" style="411" customWidth="1"/>
    <col min="13591" max="13593" width="14.5546875" style="411" customWidth="1"/>
    <col min="13594" max="13595" width="12.5546875" style="411" customWidth="1"/>
    <col min="13596" max="13596" width="16.5546875" style="411" customWidth="1"/>
    <col min="13597" max="13598" width="20.5546875" style="411" customWidth="1"/>
    <col min="13599" max="13599" width="11" style="411" bestFit="1" customWidth="1"/>
    <col min="13600" max="13600" width="17.21875" style="411" customWidth="1"/>
    <col min="13601" max="13601" width="11" style="411" bestFit="1" customWidth="1"/>
    <col min="13602" max="13602" width="8.77734375" style="411" customWidth="1"/>
    <col min="13603" max="13606" width="10.21875" style="411" bestFit="1" customWidth="1"/>
    <col min="13607" max="13608" width="11.21875" style="411" bestFit="1" customWidth="1"/>
    <col min="13609" max="13819" width="8.77734375" style="411" customWidth="1"/>
    <col min="13820" max="13820" width="2.5546875" style="411" customWidth="1"/>
    <col min="13821" max="13821" width="5.5546875" style="411" customWidth="1"/>
    <col min="13822" max="13822" width="23.77734375" style="411" customWidth="1"/>
    <col min="13823" max="13823" width="3.77734375" style="411" customWidth="1"/>
    <col min="13824" max="13824" width="35.77734375" style="411" customWidth="1"/>
    <col min="13825" max="13825" width="22.21875" style="411" customWidth="1"/>
    <col min="13826" max="13826" width="17.77734375" style="411" customWidth="1"/>
    <col min="13827" max="13827" width="19" style="411" customWidth="1"/>
    <col min="13828" max="13828" width="20.77734375" style="411" customWidth="1"/>
    <col min="13829" max="13829" width="16.77734375" style="411" customWidth="1"/>
    <col min="13830" max="13830" width="18.77734375" style="411" customWidth="1"/>
    <col min="13831" max="13838" width="18.5546875" style="411"/>
    <col min="13839" max="13839" width="4" style="411" customWidth="1"/>
    <col min="13840" max="13840" width="5.5546875" style="411" customWidth="1"/>
    <col min="13841" max="13841" width="30.21875" style="411" customWidth="1"/>
    <col min="13842" max="13842" width="4.5546875" style="411" bestFit="1" customWidth="1"/>
    <col min="13843" max="13843" width="41" style="411" customWidth="1"/>
    <col min="13844" max="13845" width="14.5546875" style="411" customWidth="1"/>
    <col min="13846" max="13846" width="16.5546875" style="411" customWidth="1"/>
    <col min="13847" max="13849" width="14.5546875" style="411" customWidth="1"/>
    <col min="13850" max="13851" width="12.5546875" style="411" customWidth="1"/>
    <col min="13852" max="13852" width="16.5546875" style="411" customWidth="1"/>
    <col min="13853" max="13854" width="20.5546875" style="411" customWidth="1"/>
    <col min="13855" max="13855" width="11" style="411" bestFit="1" customWidth="1"/>
    <col min="13856" max="13856" width="17.21875" style="411" customWidth="1"/>
    <col min="13857" max="13857" width="11" style="411" bestFit="1" customWidth="1"/>
    <col min="13858" max="13858" width="8.77734375" style="411" customWidth="1"/>
    <col min="13859" max="13862" width="10.21875" style="411" bestFit="1" customWidth="1"/>
    <col min="13863" max="13864" width="11.21875" style="411" bestFit="1" customWidth="1"/>
    <col min="13865" max="14075" width="8.77734375" style="411" customWidth="1"/>
    <col min="14076" max="14076" width="2.5546875" style="411" customWidth="1"/>
    <col min="14077" max="14077" width="5.5546875" style="411" customWidth="1"/>
    <col min="14078" max="14078" width="23.77734375" style="411" customWidth="1"/>
    <col min="14079" max="14079" width="3.77734375" style="411" customWidth="1"/>
    <col min="14080" max="14080" width="35.77734375" style="411" customWidth="1"/>
    <col min="14081" max="14081" width="22.21875" style="411" customWidth="1"/>
    <col min="14082" max="14082" width="17.77734375" style="411" customWidth="1"/>
    <col min="14083" max="14083" width="19" style="411" customWidth="1"/>
    <col min="14084" max="14084" width="20.77734375" style="411" customWidth="1"/>
    <col min="14085" max="14085" width="16.77734375" style="411" customWidth="1"/>
    <col min="14086" max="14086" width="18.77734375" style="411" customWidth="1"/>
    <col min="14087" max="14094" width="18.5546875" style="411"/>
    <col min="14095" max="14095" width="4" style="411" customWidth="1"/>
    <col min="14096" max="14096" width="5.5546875" style="411" customWidth="1"/>
    <col min="14097" max="14097" width="30.21875" style="411" customWidth="1"/>
    <col min="14098" max="14098" width="4.5546875" style="411" bestFit="1" customWidth="1"/>
    <col min="14099" max="14099" width="41" style="411" customWidth="1"/>
    <col min="14100" max="14101" width="14.5546875" style="411" customWidth="1"/>
    <col min="14102" max="14102" width="16.5546875" style="411" customWidth="1"/>
    <col min="14103" max="14105" width="14.5546875" style="411" customWidth="1"/>
    <col min="14106" max="14107" width="12.5546875" style="411" customWidth="1"/>
    <col min="14108" max="14108" width="16.5546875" style="411" customWidth="1"/>
    <col min="14109" max="14110" width="20.5546875" style="411" customWidth="1"/>
    <col min="14111" max="14111" width="11" style="411" bestFit="1" customWidth="1"/>
    <col min="14112" max="14112" width="17.21875" style="411" customWidth="1"/>
    <col min="14113" max="14113" width="11" style="411" bestFit="1" customWidth="1"/>
    <col min="14114" max="14114" width="8.77734375" style="411" customWidth="1"/>
    <col min="14115" max="14118" width="10.21875" style="411" bestFit="1" customWidth="1"/>
    <col min="14119" max="14120" width="11.21875" style="411" bestFit="1" customWidth="1"/>
    <col min="14121" max="14331" width="8.77734375" style="411" customWidth="1"/>
    <col min="14332" max="14332" width="2.5546875" style="411" customWidth="1"/>
    <col min="14333" max="14333" width="5.5546875" style="411" customWidth="1"/>
    <col min="14334" max="14334" width="23.77734375" style="411" customWidth="1"/>
    <col min="14335" max="14335" width="3.77734375" style="411" customWidth="1"/>
    <col min="14336" max="14336" width="35.77734375" style="411" customWidth="1"/>
    <col min="14337" max="14337" width="22.21875" style="411" customWidth="1"/>
    <col min="14338" max="14338" width="17.77734375" style="411" customWidth="1"/>
    <col min="14339" max="14339" width="19" style="411" customWidth="1"/>
    <col min="14340" max="14340" width="20.77734375" style="411" customWidth="1"/>
    <col min="14341" max="14341" width="16.77734375" style="411" customWidth="1"/>
    <col min="14342" max="14342" width="18.77734375" style="411" customWidth="1"/>
    <col min="14343" max="14350" width="18.5546875" style="411"/>
    <col min="14351" max="14351" width="4" style="411" customWidth="1"/>
    <col min="14352" max="14352" width="5.5546875" style="411" customWidth="1"/>
    <col min="14353" max="14353" width="30.21875" style="411" customWidth="1"/>
    <col min="14354" max="14354" width="4.5546875" style="411" bestFit="1" customWidth="1"/>
    <col min="14355" max="14355" width="41" style="411" customWidth="1"/>
    <col min="14356" max="14357" width="14.5546875" style="411" customWidth="1"/>
    <col min="14358" max="14358" width="16.5546875" style="411" customWidth="1"/>
    <col min="14359" max="14361" width="14.5546875" style="411" customWidth="1"/>
    <col min="14362" max="14363" width="12.5546875" style="411" customWidth="1"/>
    <col min="14364" max="14364" width="16.5546875" style="411" customWidth="1"/>
    <col min="14365" max="14366" width="20.5546875" style="411" customWidth="1"/>
    <col min="14367" max="14367" width="11" style="411" bestFit="1" customWidth="1"/>
    <col min="14368" max="14368" width="17.21875" style="411" customWidth="1"/>
    <col min="14369" max="14369" width="11" style="411" bestFit="1" customWidth="1"/>
    <col min="14370" max="14370" width="8.77734375" style="411" customWidth="1"/>
    <col min="14371" max="14374" width="10.21875" style="411" bestFit="1" customWidth="1"/>
    <col min="14375" max="14376" width="11.21875" style="411" bestFit="1" customWidth="1"/>
    <col min="14377" max="14587" width="8.77734375" style="411" customWidth="1"/>
    <col min="14588" max="14588" width="2.5546875" style="411" customWidth="1"/>
    <col min="14589" max="14589" width="5.5546875" style="411" customWidth="1"/>
    <col min="14590" max="14590" width="23.77734375" style="411" customWidth="1"/>
    <col min="14591" max="14591" width="3.77734375" style="411" customWidth="1"/>
    <col min="14592" max="14592" width="35.77734375" style="411" customWidth="1"/>
    <col min="14593" max="14593" width="22.21875" style="411" customWidth="1"/>
    <col min="14594" max="14594" width="17.77734375" style="411" customWidth="1"/>
    <col min="14595" max="14595" width="19" style="411" customWidth="1"/>
    <col min="14596" max="14596" width="20.77734375" style="411" customWidth="1"/>
    <col min="14597" max="14597" width="16.77734375" style="411" customWidth="1"/>
    <col min="14598" max="14598" width="18.77734375" style="411" customWidth="1"/>
    <col min="14599" max="14606" width="18.5546875" style="411"/>
    <col min="14607" max="14607" width="4" style="411" customWidth="1"/>
    <col min="14608" max="14608" width="5.5546875" style="411" customWidth="1"/>
    <col min="14609" max="14609" width="30.21875" style="411" customWidth="1"/>
    <col min="14610" max="14610" width="4.5546875" style="411" bestFit="1" customWidth="1"/>
    <col min="14611" max="14611" width="41" style="411" customWidth="1"/>
    <col min="14612" max="14613" width="14.5546875" style="411" customWidth="1"/>
    <col min="14614" max="14614" width="16.5546875" style="411" customWidth="1"/>
    <col min="14615" max="14617" width="14.5546875" style="411" customWidth="1"/>
    <col min="14618" max="14619" width="12.5546875" style="411" customWidth="1"/>
    <col min="14620" max="14620" width="16.5546875" style="411" customWidth="1"/>
    <col min="14621" max="14622" width="20.5546875" style="411" customWidth="1"/>
    <col min="14623" max="14623" width="11" style="411" bestFit="1" customWidth="1"/>
    <col min="14624" max="14624" width="17.21875" style="411" customWidth="1"/>
    <col min="14625" max="14625" width="11" style="411" bestFit="1" customWidth="1"/>
    <col min="14626" max="14626" width="8.77734375" style="411" customWidth="1"/>
    <col min="14627" max="14630" width="10.21875" style="411" bestFit="1" customWidth="1"/>
    <col min="14631" max="14632" width="11.21875" style="411" bestFit="1" customWidth="1"/>
    <col min="14633" max="14843" width="8.77734375" style="411" customWidth="1"/>
    <col min="14844" max="14844" width="2.5546875" style="411" customWidth="1"/>
    <col min="14845" max="14845" width="5.5546875" style="411" customWidth="1"/>
    <col min="14846" max="14846" width="23.77734375" style="411" customWidth="1"/>
    <col min="14847" max="14847" width="3.77734375" style="411" customWidth="1"/>
    <col min="14848" max="14848" width="35.77734375" style="411" customWidth="1"/>
    <col min="14849" max="14849" width="22.21875" style="411" customWidth="1"/>
    <col min="14850" max="14850" width="17.77734375" style="411" customWidth="1"/>
    <col min="14851" max="14851" width="19" style="411" customWidth="1"/>
    <col min="14852" max="14852" width="20.77734375" style="411" customWidth="1"/>
    <col min="14853" max="14853" width="16.77734375" style="411" customWidth="1"/>
    <col min="14854" max="14854" width="18.77734375" style="411" customWidth="1"/>
    <col min="14855" max="14862" width="18.5546875" style="411"/>
    <col min="14863" max="14863" width="4" style="411" customWidth="1"/>
    <col min="14864" max="14864" width="5.5546875" style="411" customWidth="1"/>
    <col min="14865" max="14865" width="30.21875" style="411" customWidth="1"/>
    <col min="14866" max="14866" width="4.5546875" style="411" bestFit="1" customWidth="1"/>
    <col min="14867" max="14867" width="41" style="411" customWidth="1"/>
    <col min="14868" max="14869" width="14.5546875" style="411" customWidth="1"/>
    <col min="14870" max="14870" width="16.5546875" style="411" customWidth="1"/>
    <col min="14871" max="14873" width="14.5546875" style="411" customWidth="1"/>
    <col min="14874" max="14875" width="12.5546875" style="411" customWidth="1"/>
    <col min="14876" max="14876" width="16.5546875" style="411" customWidth="1"/>
    <col min="14877" max="14878" width="20.5546875" style="411" customWidth="1"/>
    <col min="14879" max="14879" width="11" style="411" bestFit="1" customWidth="1"/>
    <col min="14880" max="14880" width="17.21875" style="411" customWidth="1"/>
    <col min="14881" max="14881" width="11" style="411" bestFit="1" customWidth="1"/>
    <col min="14882" max="14882" width="8.77734375" style="411" customWidth="1"/>
    <col min="14883" max="14886" width="10.21875" style="411" bestFit="1" customWidth="1"/>
    <col min="14887" max="14888" width="11.21875" style="411" bestFit="1" customWidth="1"/>
    <col min="14889" max="15099" width="8.77734375" style="411" customWidth="1"/>
    <col min="15100" max="15100" width="2.5546875" style="411" customWidth="1"/>
    <col min="15101" max="15101" width="5.5546875" style="411" customWidth="1"/>
    <col min="15102" max="15102" width="23.77734375" style="411" customWidth="1"/>
    <col min="15103" max="15103" width="3.77734375" style="411" customWidth="1"/>
    <col min="15104" max="15104" width="35.77734375" style="411" customWidth="1"/>
    <col min="15105" max="15105" width="22.21875" style="411" customWidth="1"/>
    <col min="15106" max="15106" width="17.77734375" style="411" customWidth="1"/>
    <col min="15107" max="15107" width="19" style="411" customWidth="1"/>
    <col min="15108" max="15108" width="20.77734375" style="411" customWidth="1"/>
    <col min="15109" max="15109" width="16.77734375" style="411" customWidth="1"/>
    <col min="15110" max="15110" width="18.77734375" style="411" customWidth="1"/>
    <col min="15111" max="15118" width="18.5546875" style="411"/>
    <col min="15119" max="15119" width="4" style="411" customWidth="1"/>
    <col min="15120" max="15120" width="5.5546875" style="411" customWidth="1"/>
    <col min="15121" max="15121" width="30.21875" style="411" customWidth="1"/>
    <col min="15122" max="15122" width="4.5546875" style="411" bestFit="1" customWidth="1"/>
    <col min="15123" max="15123" width="41" style="411" customWidth="1"/>
    <col min="15124" max="15125" width="14.5546875" style="411" customWidth="1"/>
    <col min="15126" max="15126" width="16.5546875" style="411" customWidth="1"/>
    <col min="15127" max="15129" width="14.5546875" style="411" customWidth="1"/>
    <col min="15130" max="15131" width="12.5546875" style="411" customWidth="1"/>
    <col min="15132" max="15132" width="16.5546875" style="411" customWidth="1"/>
    <col min="15133" max="15134" width="20.5546875" style="411" customWidth="1"/>
    <col min="15135" max="15135" width="11" style="411" bestFit="1" customWidth="1"/>
    <col min="15136" max="15136" width="17.21875" style="411" customWidth="1"/>
    <col min="15137" max="15137" width="11" style="411" bestFit="1" customWidth="1"/>
    <col min="15138" max="15138" width="8.77734375" style="411" customWidth="1"/>
    <col min="15139" max="15142" width="10.21875" style="411" bestFit="1" customWidth="1"/>
    <col min="15143" max="15144" width="11.21875" style="411" bestFit="1" customWidth="1"/>
    <col min="15145" max="15355" width="8.77734375" style="411" customWidth="1"/>
    <col min="15356" max="15356" width="2.5546875" style="411" customWidth="1"/>
    <col min="15357" max="15357" width="5.5546875" style="411" customWidth="1"/>
    <col min="15358" max="15358" width="23.77734375" style="411" customWidth="1"/>
    <col min="15359" max="15359" width="3.77734375" style="411" customWidth="1"/>
    <col min="15360" max="15360" width="35.77734375" style="411" customWidth="1"/>
    <col min="15361" max="15361" width="22.21875" style="411" customWidth="1"/>
    <col min="15362" max="15362" width="17.77734375" style="411" customWidth="1"/>
    <col min="15363" max="15363" width="19" style="411" customWidth="1"/>
    <col min="15364" max="15364" width="20.77734375" style="411" customWidth="1"/>
    <col min="15365" max="15365" width="16.77734375" style="411" customWidth="1"/>
    <col min="15366" max="15366" width="18.77734375" style="411" customWidth="1"/>
    <col min="15367" max="15374" width="18.5546875" style="411"/>
    <col min="15375" max="15375" width="4" style="411" customWidth="1"/>
    <col min="15376" max="15376" width="5.5546875" style="411" customWidth="1"/>
    <col min="15377" max="15377" width="30.21875" style="411" customWidth="1"/>
    <col min="15378" max="15378" width="4.5546875" style="411" bestFit="1" customWidth="1"/>
    <col min="15379" max="15379" width="41" style="411" customWidth="1"/>
    <col min="15380" max="15381" width="14.5546875" style="411" customWidth="1"/>
    <col min="15382" max="15382" width="16.5546875" style="411" customWidth="1"/>
    <col min="15383" max="15385" width="14.5546875" style="411" customWidth="1"/>
    <col min="15386" max="15387" width="12.5546875" style="411" customWidth="1"/>
    <col min="15388" max="15388" width="16.5546875" style="411" customWidth="1"/>
    <col min="15389" max="15390" width="20.5546875" style="411" customWidth="1"/>
    <col min="15391" max="15391" width="11" style="411" bestFit="1" customWidth="1"/>
    <col min="15392" max="15392" width="17.21875" style="411" customWidth="1"/>
    <col min="15393" max="15393" width="11" style="411" bestFit="1" customWidth="1"/>
    <col min="15394" max="15394" width="8.77734375" style="411" customWidth="1"/>
    <col min="15395" max="15398" width="10.21875" style="411" bestFit="1" customWidth="1"/>
    <col min="15399" max="15400" width="11.21875" style="411" bestFit="1" customWidth="1"/>
    <col min="15401" max="15611" width="8.77734375" style="411" customWidth="1"/>
    <col min="15612" max="15612" width="2.5546875" style="411" customWidth="1"/>
    <col min="15613" max="15613" width="5.5546875" style="411" customWidth="1"/>
    <col min="15614" max="15614" width="23.77734375" style="411" customWidth="1"/>
    <col min="15615" max="15615" width="3.77734375" style="411" customWidth="1"/>
    <col min="15616" max="15616" width="35.77734375" style="411" customWidth="1"/>
    <col min="15617" max="15617" width="22.21875" style="411" customWidth="1"/>
    <col min="15618" max="15618" width="17.77734375" style="411" customWidth="1"/>
    <col min="15619" max="15619" width="19" style="411" customWidth="1"/>
    <col min="15620" max="15620" width="20.77734375" style="411" customWidth="1"/>
    <col min="15621" max="15621" width="16.77734375" style="411" customWidth="1"/>
    <col min="15622" max="15622" width="18.77734375" style="411" customWidth="1"/>
    <col min="15623" max="15630" width="18.5546875" style="411"/>
    <col min="15631" max="15631" width="4" style="411" customWidth="1"/>
    <col min="15632" max="15632" width="5.5546875" style="411" customWidth="1"/>
    <col min="15633" max="15633" width="30.21875" style="411" customWidth="1"/>
    <col min="15634" max="15634" width="4.5546875" style="411" bestFit="1" customWidth="1"/>
    <col min="15635" max="15635" width="41" style="411" customWidth="1"/>
    <col min="15636" max="15637" width="14.5546875" style="411" customWidth="1"/>
    <col min="15638" max="15638" width="16.5546875" style="411" customWidth="1"/>
    <col min="15639" max="15641" width="14.5546875" style="411" customWidth="1"/>
    <col min="15642" max="15643" width="12.5546875" style="411" customWidth="1"/>
    <col min="15644" max="15644" width="16.5546875" style="411" customWidth="1"/>
    <col min="15645" max="15646" width="20.5546875" style="411" customWidth="1"/>
    <col min="15647" max="15647" width="11" style="411" bestFit="1" customWidth="1"/>
    <col min="15648" max="15648" width="17.21875" style="411" customWidth="1"/>
    <col min="15649" max="15649" width="11" style="411" bestFit="1" customWidth="1"/>
    <col min="15650" max="15650" width="8.77734375" style="411" customWidth="1"/>
    <col min="15651" max="15654" width="10.21875" style="411" bestFit="1" customWidth="1"/>
    <col min="15655" max="15656" width="11.21875" style="411" bestFit="1" customWidth="1"/>
    <col min="15657" max="15867" width="8.77734375" style="411" customWidth="1"/>
    <col min="15868" max="15868" width="2.5546875" style="411" customWidth="1"/>
    <col min="15869" max="15869" width="5.5546875" style="411" customWidth="1"/>
    <col min="15870" max="15870" width="23.77734375" style="411" customWidth="1"/>
    <col min="15871" max="15871" width="3.77734375" style="411" customWidth="1"/>
    <col min="15872" max="15872" width="35.77734375" style="411" customWidth="1"/>
    <col min="15873" max="15873" width="22.21875" style="411" customWidth="1"/>
    <col min="15874" max="15874" width="17.77734375" style="411" customWidth="1"/>
    <col min="15875" max="15875" width="19" style="411" customWidth="1"/>
    <col min="15876" max="15876" width="20.77734375" style="411" customWidth="1"/>
    <col min="15877" max="15877" width="16.77734375" style="411" customWidth="1"/>
    <col min="15878" max="15878" width="18.77734375" style="411" customWidth="1"/>
    <col min="15879" max="15886" width="18.5546875" style="411"/>
    <col min="15887" max="15887" width="4" style="411" customWidth="1"/>
    <col min="15888" max="15888" width="5.5546875" style="411" customWidth="1"/>
    <col min="15889" max="15889" width="30.21875" style="411" customWidth="1"/>
    <col min="15890" max="15890" width="4.5546875" style="411" bestFit="1" customWidth="1"/>
    <col min="15891" max="15891" width="41" style="411" customWidth="1"/>
    <col min="15892" max="15893" width="14.5546875" style="411" customWidth="1"/>
    <col min="15894" max="15894" width="16.5546875" style="411" customWidth="1"/>
    <col min="15895" max="15897" width="14.5546875" style="411" customWidth="1"/>
    <col min="15898" max="15899" width="12.5546875" style="411" customWidth="1"/>
    <col min="15900" max="15900" width="16.5546875" style="411" customWidth="1"/>
    <col min="15901" max="15902" width="20.5546875" style="411" customWidth="1"/>
    <col min="15903" max="15903" width="11" style="411" bestFit="1" customWidth="1"/>
    <col min="15904" max="15904" width="17.21875" style="411" customWidth="1"/>
    <col min="15905" max="15905" width="11" style="411" bestFit="1" customWidth="1"/>
    <col min="15906" max="15906" width="8.77734375" style="411" customWidth="1"/>
    <col min="15907" max="15910" width="10.21875" style="411" bestFit="1" customWidth="1"/>
    <col min="15911" max="15912" width="11.21875" style="411" bestFit="1" customWidth="1"/>
    <col min="15913" max="16123" width="8.77734375" style="411" customWidth="1"/>
    <col min="16124" max="16124" width="2.5546875" style="411" customWidth="1"/>
    <col min="16125" max="16125" width="5.5546875" style="411" customWidth="1"/>
    <col min="16126" max="16126" width="23.77734375" style="411" customWidth="1"/>
    <col min="16127" max="16127" width="3.77734375" style="411" customWidth="1"/>
    <col min="16128" max="16128" width="35.77734375" style="411" customWidth="1"/>
    <col min="16129" max="16129" width="22.21875" style="411" customWidth="1"/>
    <col min="16130" max="16130" width="17.77734375" style="411" customWidth="1"/>
    <col min="16131" max="16131" width="19" style="411" customWidth="1"/>
    <col min="16132" max="16132" width="20.77734375" style="411" customWidth="1"/>
    <col min="16133" max="16133" width="16.77734375" style="411" customWidth="1"/>
    <col min="16134" max="16134" width="18.77734375" style="411" customWidth="1"/>
    <col min="16135" max="16142" width="18.5546875" style="411"/>
    <col min="16143" max="16143" width="4" style="411" customWidth="1"/>
    <col min="16144" max="16144" width="5.5546875" style="411" customWidth="1"/>
    <col min="16145" max="16145" width="30.21875" style="411" customWidth="1"/>
    <col min="16146" max="16146" width="4.5546875" style="411" bestFit="1" customWidth="1"/>
    <col min="16147" max="16147" width="41" style="411" customWidth="1"/>
    <col min="16148" max="16149" width="14.5546875" style="411" customWidth="1"/>
    <col min="16150" max="16150" width="16.5546875" style="411" customWidth="1"/>
    <col min="16151" max="16153" width="14.5546875" style="411" customWidth="1"/>
    <col min="16154" max="16155" width="12.5546875" style="411" customWidth="1"/>
    <col min="16156" max="16156" width="16.5546875" style="411" customWidth="1"/>
    <col min="16157" max="16158" width="20.5546875" style="411" customWidth="1"/>
    <col min="16159" max="16159" width="11" style="411" bestFit="1" customWidth="1"/>
    <col min="16160" max="16160" width="17.21875" style="411" customWidth="1"/>
    <col min="16161" max="16161" width="11" style="411" bestFit="1" customWidth="1"/>
    <col min="16162" max="16162" width="8.77734375" style="411" customWidth="1"/>
    <col min="16163" max="16166" width="10.21875" style="411" bestFit="1" customWidth="1"/>
    <col min="16167" max="16168" width="11.21875" style="411" bestFit="1" customWidth="1"/>
    <col min="16169" max="16379" width="8.77734375" style="411" customWidth="1"/>
    <col min="16380" max="16380" width="2.5546875" style="411" customWidth="1"/>
    <col min="16381" max="16381" width="5.5546875" style="411" customWidth="1"/>
    <col min="16382" max="16382" width="23.77734375" style="411" customWidth="1"/>
    <col min="16383" max="16384" width="3.77734375" style="411" customWidth="1"/>
  </cols>
  <sheetData>
    <row r="2" spans="1:48" s="401" customFormat="1" ht="18">
      <c r="B2" s="606" t="s">
        <v>896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402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P2" s="557"/>
      <c r="AQ2" s="560"/>
    </row>
    <row r="3" spans="1:48" s="401" customFormat="1" ht="23.25" customHeight="1">
      <c r="B3" s="606" t="s">
        <v>990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402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  <c r="AP3" s="557"/>
      <c r="AQ3" s="560"/>
    </row>
    <row r="4" spans="1:48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  <c r="AP4" s="557"/>
      <c r="AQ4" s="560"/>
    </row>
    <row r="5" spans="1:48" s="401" customFormat="1" ht="14.4" thickBot="1">
      <c r="D5" s="403"/>
      <c r="F5" s="545"/>
      <c r="G5" s="607" t="s">
        <v>996</v>
      </c>
      <c r="H5" s="608"/>
      <c r="I5" s="608"/>
      <c r="J5" s="608"/>
      <c r="K5" s="608"/>
      <c r="L5" s="608"/>
      <c r="M5" s="608"/>
      <c r="N5" s="608"/>
      <c r="O5" s="608"/>
      <c r="P5" s="582"/>
      <c r="Q5" s="611" t="s">
        <v>995</v>
      </c>
      <c r="R5" s="611"/>
      <c r="S5" s="611"/>
      <c r="T5" s="612"/>
      <c r="AP5" s="557"/>
      <c r="AQ5" s="560"/>
    </row>
    <row r="6" spans="1:48" s="403" customFormat="1" ht="40.950000000000003" customHeight="1" thickBot="1">
      <c r="B6" s="464" t="s">
        <v>2</v>
      </c>
      <c r="C6" s="463" t="s">
        <v>338</v>
      </c>
      <c r="D6" s="613" t="s">
        <v>898</v>
      </c>
      <c r="E6" s="614"/>
      <c r="F6" s="463" t="s">
        <v>988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969</v>
      </c>
      <c r="O6" s="462" t="s">
        <v>965</v>
      </c>
      <c r="P6" s="462" t="s">
        <v>997</v>
      </c>
      <c r="Q6" s="462" t="s">
        <v>966</v>
      </c>
      <c r="R6" s="462" t="s">
        <v>967</v>
      </c>
      <c r="S6" s="462" t="s">
        <v>968</v>
      </c>
      <c r="T6" s="462" t="s">
        <v>991</v>
      </c>
      <c r="U6" s="462" t="s">
        <v>989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  <c r="AP6" s="558"/>
      <c r="AQ6" s="561"/>
    </row>
    <row r="7" spans="1:48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6">
        <f t="shared" ref="P7:P10" si="0">SUM(G7:O7)</f>
        <v>0</v>
      </c>
      <c r="Q7" s="410"/>
      <c r="R7" s="410"/>
      <c r="S7" s="410"/>
      <c r="T7" s="578">
        <f>SUM(N7:S7)</f>
        <v>0</v>
      </c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48">
      <c r="A8" s="404"/>
      <c r="B8" s="412">
        <v>1</v>
      </c>
      <c r="C8" s="413" t="s">
        <v>972</v>
      </c>
      <c r="D8" s="414">
        <v>1</v>
      </c>
      <c r="E8" s="415" t="s">
        <v>902</v>
      </c>
      <c r="F8" s="416">
        <v>108630562.83253589</v>
      </c>
      <c r="G8" s="416"/>
      <c r="H8" s="416">
        <v>6052640</v>
      </c>
      <c r="I8" s="416">
        <v>6052640</v>
      </c>
      <c r="J8" s="416">
        <v>6052640</v>
      </c>
      <c r="K8" s="416">
        <v>6052640</v>
      </c>
      <c r="L8" s="416">
        <v>6052640</v>
      </c>
      <c r="M8" s="416">
        <v>12105280</v>
      </c>
      <c r="N8" s="416">
        <v>6052640</v>
      </c>
      <c r="O8" s="416">
        <v>6052640</v>
      </c>
      <c r="P8" s="416">
        <f t="shared" si="0"/>
        <v>54473760</v>
      </c>
      <c r="Q8" s="416">
        <v>12589795</v>
      </c>
      <c r="R8" s="416">
        <v>12589795</v>
      </c>
      <c r="S8" s="416">
        <v>12589795</v>
      </c>
      <c r="T8" s="579">
        <f>SUM(Q8:S8)</f>
        <v>37769385</v>
      </c>
      <c r="U8" s="416">
        <f>P8+T8</f>
        <v>92243145</v>
      </c>
      <c r="V8" s="471">
        <f>U8/F8</f>
        <v>0.84914542090885947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 t="e">
        <f>AE8-#REF!</f>
        <v>#REF!</v>
      </c>
      <c r="AG8" s="436">
        <v>18774450</v>
      </c>
      <c r="AS8" s="436"/>
      <c r="AT8" s="580"/>
      <c r="AU8" s="580"/>
      <c r="AV8" s="580"/>
    </row>
    <row r="9" spans="1:48">
      <c r="A9" s="404"/>
      <c r="B9" s="412"/>
      <c r="C9" s="413"/>
      <c r="D9" s="414">
        <v>2</v>
      </c>
      <c r="E9" s="415" t="s">
        <v>987</v>
      </c>
      <c r="F9" s="416">
        <v>0</v>
      </c>
      <c r="G9" s="416">
        <v>0</v>
      </c>
      <c r="H9" s="416"/>
      <c r="I9" s="416"/>
      <c r="J9" s="416"/>
      <c r="K9" s="416"/>
      <c r="L9" s="416"/>
      <c r="M9" s="416"/>
      <c r="N9" s="416"/>
      <c r="O9" s="416"/>
      <c r="P9" s="416">
        <f t="shared" si="0"/>
        <v>0</v>
      </c>
      <c r="Q9" s="416">
        <v>0</v>
      </c>
      <c r="R9" s="416">
        <v>0</v>
      </c>
      <c r="S9" s="416">
        <v>0</v>
      </c>
      <c r="T9" s="579">
        <f t="shared" ref="T9:T14" si="1">SUM(Q9:S9)</f>
        <v>0</v>
      </c>
      <c r="U9" s="416">
        <f t="shared" ref="U9:U15" si="2">P9+T9</f>
        <v>0</v>
      </c>
      <c r="V9" s="471" t="e">
        <f>U9/F9</f>
        <v>#DIV/0!</v>
      </c>
      <c r="W9" s="416"/>
      <c r="X9" s="416"/>
      <c r="Y9" s="416"/>
      <c r="Z9" s="416"/>
      <c r="AA9" s="416"/>
      <c r="AB9" s="416"/>
      <c r="AC9" s="416"/>
      <c r="AD9" s="416"/>
      <c r="AE9" s="416"/>
      <c r="AF9" s="436"/>
      <c r="AG9" s="436"/>
      <c r="AS9" s="436"/>
      <c r="AT9" s="580"/>
      <c r="AU9" s="580"/>
      <c r="AV9" s="580"/>
    </row>
    <row r="10" spans="1:48">
      <c r="A10" s="404"/>
      <c r="B10" s="412"/>
      <c r="C10" s="413"/>
      <c r="D10" s="414">
        <v>3</v>
      </c>
      <c r="E10" s="577" t="s">
        <v>903</v>
      </c>
      <c r="F10" s="416">
        <v>663765057</v>
      </c>
      <c r="G10" s="416"/>
      <c r="H10" s="416"/>
      <c r="I10" s="416"/>
      <c r="J10" s="416"/>
      <c r="K10" s="416"/>
      <c r="L10" s="416">
        <v>201057100</v>
      </c>
      <c r="M10" s="416">
        <v>141414390</v>
      </c>
      <c r="N10" s="416"/>
      <c r="O10" s="416"/>
      <c r="P10" s="416">
        <f t="shared" si="0"/>
        <v>342471490</v>
      </c>
      <c r="Q10" s="416"/>
      <c r="R10" s="416"/>
      <c r="S10" s="416"/>
      <c r="T10" s="579">
        <f t="shared" si="1"/>
        <v>0</v>
      </c>
      <c r="U10" s="416">
        <f t="shared" si="2"/>
        <v>342471490</v>
      </c>
      <c r="V10" s="471">
        <f>U10/F10</f>
        <v>0.5159528757778522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[8]Prognosa!G10</f>
        <v>801138610</v>
      </c>
      <c r="AF10" s="436" t="e">
        <f>AE10-#REF!</f>
        <v>#REF!</v>
      </c>
      <c r="AG10" s="436">
        <v>45140920</v>
      </c>
      <c r="AS10" s="436"/>
      <c r="AT10" s="580"/>
      <c r="AU10" s="580"/>
      <c r="AV10" s="580"/>
    </row>
    <row r="11" spans="1:48">
      <c r="A11" s="404"/>
      <c r="B11" s="412"/>
      <c r="C11" s="413"/>
      <c r="D11" s="414">
        <v>4</v>
      </c>
      <c r="E11" s="418" t="s">
        <v>32</v>
      </c>
      <c r="F11" s="416">
        <v>332760050.125</v>
      </c>
      <c r="G11" s="416"/>
      <c r="H11" s="416">
        <v>2530000</v>
      </c>
      <c r="I11" s="416">
        <v>3385000</v>
      </c>
      <c r="J11" s="416">
        <v>0</v>
      </c>
      <c r="K11" s="416">
        <v>81360000</v>
      </c>
      <c r="L11" s="416">
        <v>125328000</v>
      </c>
      <c r="M11" s="416">
        <v>30443000</v>
      </c>
      <c r="N11" s="416"/>
      <c r="O11" s="416">
        <v>4030000</v>
      </c>
      <c r="P11" s="416">
        <f>SUM(G11:O11)</f>
        <v>247076000</v>
      </c>
      <c r="Q11" s="416">
        <v>17045669</v>
      </c>
      <c r="R11" s="416">
        <v>17045669</v>
      </c>
      <c r="S11" s="416">
        <v>17045669</v>
      </c>
      <c r="T11" s="579">
        <f t="shared" si="1"/>
        <v>51137007</v>
      </c>
      <c r="U11" s="416">
        <f t="shared" si="2"/>
        <v>298213007</v>
      </c>
      <c r="V11" s="471">
        <f>U11/F11</f>
        <v>0.89618031638106033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[8]Prognosa!G11</f>
        <v>177514920</v>
      </c>
      <c r="AF11" s="436" t="e">
        <f>AE11-#REF!</f>
        <v>#REF!</v>
      </c>
      <c r="AG11" s="436">
        <v>-68111800</v>
      </c>
      <c r="AS11" s="436"/>
      <c r="AT11" s="580"/>
      <c r="AU11" s="580"/>
      <c r="AV11" s="580"/>
    </row>
    <row r="12" spans="1:48">
      <c r="A12" s="404"/>
      <c r="B12" s="412"/>
      <c r="C12" s="413"/>
      <c r="D12" s="414">
        <v>5</v>
      </c>
      <c r="E12" s="418" t="s">
        <v>43</v>
      </c>
      <c r="F12" s="416">
        <v>382516085.19999987</v>
      </c>
      <c r="G12" s="416"/>
      <c r="H12" s="416">
        <v>1595000</v>
      </c>
      <c r="I12" s="416">
        <v>30316250</v>
      </c>
      <c r="J12" s="416">
        <v>0</v>
      </c>
      <c r="K12" s="416">
        <v>4606651</v>
      </c>
      <c r="L12" s="416">
        <v>34105448</v>
      </c>
      <c r="M12" s="416">
        <v>4661000</v>
      </c>
      <c r="N12" s="416"/>
      <c r="O12" s="416">
        <v>12370000</v>
      </c>
      <c r="P12" s="416">
        <f t="shared" ref="P12:P14" si="3">SUM(G12:O12)</f>
        <v>87654349</v>
      </c>
      <c r="Q12" s="416">
        <v>58374029</v>
      </c>
      <c r="R12" s="416">
        <v>58374029</v>
      </c>
      <c r="S12" s="416">
        <v>58374029</v>
      </c>
      <c r="T12" s="579">
        <f t="shared" si="1"/>
        <v>175122087</v>
      </c>
      <c r="U12" s="416">
        <f t="shared" si="2"/>
        <v>262776436</v>
      </c>
      <c r="V12" s="471">
        <f>U12/F12</f>
        <v>0.68696832935170926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[8]Prognosa!G12</f>
        <v>179754078</v>
      </c>
      <c r="AF12" s="436" t="e">
        <f>AE12-#REF!</f>
        <v>#REF!</v>
      </c>
      <c r="AG12" s="436">
        <v>68812630.5</v>
      </c>
      <c r="AS12" s="436"/>
      <c r="AT12" s="580"/>
      <c r="AU12" s="580"/>
      <c r="AV12" s="580"/>
    </row>
    <row r="13" spans="1:48">
      <c r="A13" s="404"/>
      <c r="B13" s="412"/>
      <c r="C13" s="413"/>
      <c r="D13" s="414">
        <v>6</v>
      </c>
      <c r="E13" s="418" t="s">
        <v>904</v>
      </c>
      <c r="F13" s="416">
        <v>97496737.777777791</v>
      </c>
      <c r="G13" s="416"/>
      <c r="H13" s="416"/>
      <c r="I13" s="416"/>
      <c r="J13" s="416"/>
      <c r="K13" s="416"/>
      <c r="L13" s="416">
        <v>6052640</v>
      </c>
      <c r="M13" s="416">
        <v>73125000</v>
      </c>
      <c r="N13" s="416"/>
      <c r="O13" s="416"/>
      <c r="P13" s="416">
        <f t="shared" si="3"/>
        <v>79177640</v>
      </c>
      <c r="Q13" s="416"/>
      <c r="R13" s="416"/>
      <c r="S13" s="416"/>
      <c r="T13" s="579">
        <f t="shared" si="1"/>
        <v>0</v>
      </c>
      <c r="U13" s="416">
        <f t="shared" si="2"/>
        <v>79177640</v>
      </c>
      <c r="V13" s="471">
        <f>U13/F13</f>
        <v>0.81210553096112703</v>
      </c>
      <c r="W13" s="416"/>
      <c r="X13" s="416"/>
      <c r="Y13" s="416"/>
      <c r="Z13" s="416"/>
      <c r="AA13" s="416"/>
      <c r="AB13" s="416"/>
      <c r="AC13" s="416"/>
      <c r="AD13" s="416"/>
      <c r="AE13" s="416">
        <f>[8]Prognosa!G13</f>
        <v>186036000</v>
      </c>
      <c r="AF13" s="436" t="e">
        <f>AE13-#REF!</f>
        <v>#REF!</v>
      </c>
      <c r="AG13" s="436">
        <v>0</v>
      </c>
      <c r="AS13" s="436"/>
      <c r="AT13" s="580"/>
      <c r="AU13" s="580"/>
      <c r="AV13" s="580"/>
    </row>
    <row r="14" spans="1:48">
      <c r="A14" s="404"/>
      <c r="B14" s="412"/>
      <c r="C14" s="413"/>
      <c r="D14" s="414">
        <v>7</v>
      </c>
      <c r="E14" s="418" t="s">
        <v>985</v>
      </c>
      <c r="F14" s="416">
        <v>88000000</v>
      </c>
      <c r="G14" s="416"/>
      <c r="H14" s="416"/>
      <c r="I14" s="416"/>
      <c r="J14" s="416"/>
      <c r="K14" s="416"/>
      <c r="L14" s="416">
        <v>23000000</v>
      </c>
      <c r="M14" s="416"/>
      <c r="N14" s="416"/>
      <c r="O14" s="416"/>
      <c r="P14" s="416">
        <f t="shared" si="3"/>
        <v>23000000</v>
      </c>
      <c r="Q14" s="416">
        <v>12350000</v>
      </c>
      <c r="R14" s="416">
        <v>12350000</v>
      </c>
      <c r="S14" s="416">
        <v>12350000</v>
      </c>
      <c r="T14" s="579">
        <f t="shared" si="1"/>
        <v>37050000</v>
      </c>
      <c r="U14" s="416">
        <f t="shared" si="2"/>
        <v>60050000</v>
      </c>
      <c r="V14" s="471">
        <f>U14/F14</f>
        <v>0.68238636363636362</v>
      </c>
      <c r="W14" s="416"/>
      <c r="X14" s="416"/>
      <c r="Y14" s="416"/>
      <c r="Z14" s="416"/>
      <c r="AA14" s="416"/>
      <c r="AB14" s="416"/>
      <c r="AC14" s="416"/>
      <c r="AD14" s="416"/>
      <c r="AE14" s="416"/>
      <c r="AF14" s="436"/>
      <c r="AG14" s="436"/>
      <c r="AS14" s="436"/>
      <c r="AT14" s="580"/>
      <c r="AU14" s="580"/>
      <c r="AV14" s="580"/>
    </row>
    <row r="15" spans="1:48">
      <c r="A15" s="404"/>
      <c r="B15" s="412"/>
      <c r="C15" s="413"/>
      <c r="D15" s="414">
        <v>8</v>
      </c>
      <c r="E15" s="418" t="s">
        <v>986</v>
      </c>
      <c r="F15" s="416">
        <v>14200000</v>
      </c>
      <c r="G15" s="416"/>
      <c r="H15" s="416"/>
      <c r="I15" s="416"/>
      <c r="J15" s="416"/>
      <c r="K15" s="416"/>
      <c r="L15" s="416"/>
      <c r="M15" s="416"/>
      <c r="N15" s="416"/>
      <c r="O15" s="416">
        <f>SUM(I15:N15)</f>
        <v>0</v>
      </c>
      <c r="P15" s="416">
        <f>SUM(G15:O15)</f>
        <v>0</v>
      </c>
      <c r="Q15" s="416">
        <f>SUM(J15:O15)</f>
        <v>0</v>
      </c>
      <c r="R15" s="416">
        <f>SUM(K15:Q15)</f>
        <v>0</v>
      </c>
      <c r="S15" s="416">
        <f>SUM(L15:R15)</f>
        <v>0</v>
      </c>
      <c r="T15" s="579">
        <f t="shared" ref="T9:T15" si="4">SUM(N15:S15)</f>
        <v>0</v>
      </c>
      <c r="U15" s="416">
        <f t="shared" si="2"/>
        <v>0</v>
      </c>
      <c r="V15" s="471">
        <f>U15/F15</f>
        <v>0</v>
      </c>
      <c r="W15" s="416"/>
      <c r="X15" s="416"/>
      <c r="Y15" s="416"/>
      <c r="Z15" s="416"/>
      <c r="AA15" s="416"/>
      <c r="AB15" s="416"/>
      <c r="AC15" s="416"/>
      <c r="AD15" s="416"/>
      <c r="AE15" s="416"/>
      <c r="AF15" s="436"/>
      <c r="AG15" s="436"/>
      <c r="AS15" s="436"/>
      <c r="AT15" s="580"/>
      <c r="AU15" s="580"/>
      <c r="AV15" s="580"/>
    </row>
    <row r="16" spans="1:48" ht="14.4" thickBot="1">
      <c r="A16" s="419"/>
      <c r="B16" s="420"/>
      <c r="C16" s="421"/>
      <c r="D16" s="422"/>
      <c r="E16" s="423" t="s">
        <v>905</v>
      </c>
      <c r="F16" s="424">
        <f>SUM(F8:F15)</f>
        <v>1687368492.9353132</v>
      </c>
      <c r="G16" s="424">
        <f t="shared" ref="G16:U16" si="5">SUM(G8:G15)</f>
        <v>0</v>
      </c>
      <c r="H16" s="424">
        <f t="shared" si="5"/>
        <v>10177640</v>
      </c>
      <c r="I16" s="424">
        <f t="shared" si="5"/>
        <v>39753890</v>
      </c>
      <c r="J16" s="424">
        <f t="shared" si="5"/>
        <v>6052640</v>
      </c>
      <c r="K16" s="424">
        <f t="shared" si="5"/>
        <v>92019291</v>
      </c>
      <c r="L16" s="424">
        <f t="shared" si="5"/>
        <v>395595828</v>
      </c>
      <c r="M16" s="424">
        <f t="shared" si="5"/>
        <v>261748670</v>
      </c>
      <c r="N16" s="424">
        <f t="shared" si="5"/>
        <v>6052640</v>
      </c>
      <c r="O16" s="424">
        <f t="shared" si="5"/>
        <v>22452640</v>
      </c>
      <c r="P16" s="424">
        <f>SUM(P7:P15)</f>
        <v>833853239</v>
      </c>
      <c r="Q16" s="424">
        <f t="shared" si="5"/>
        <v>100359493</v>
      </c>
      <c r="R16" s="424">
        <f t="shared" si="5"/>
        <v>100359493</v>
      </c>
      <c r="S16" s="424">
        <f t="shared" si="5"/>
        <v>100359493</v>
      </c>
      <c r="T16" s="424">
        <f t="shared" si="5"/>
        <v>301078479</v>
      </c>
      <c r="U16" s="424">
        <f t="shared" si="5"/>
        <v>1134931718</v>
      </c>
      <c r="V16" s="472">
        <f>U16/F16</f>
        <v>0.6726045453330084</v>
      </c>
      <c r="W16" s="424"/>
      <c r="X16" s="424"/>
      <c r="Y16" s="424"/>
      <c r="Z16" s="424"/>
      <c r="AA16" s="424"/>
      <c r="AB16" s="424"/>
      <c r="AC16" s="424"/>
      <c r="AD16" s="424"/>
      <c r="AE16" s="424">
        <f>SUM(AE8:AE13)</f>
        <v>1414951828</v>
      </c>
      <c r="AF16" s="424" t="e">
        <f>SUM(AF8:AF13)</f>
        <v>#REF!</v>
      </c>
      <c r="AG16" s="424">
        <v>64616200.5</v>
      </c>
      <c r="AP16" s="559"/>
      <c r="AQ16" s="472"/>
    </row>
    <row r="17" spans="1:48">
      <c r="A17" s="404"/>
      <c r="B17" s="412"/>
      <c r="C17" s="413"/>
      <c r="D17" s="425"/>
      <c r="E17" s="426"/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6">
        <f t="shared" ref="P17:P20" si="6">SUM(G17:O17)</f>
        <v>0</v>
      </c>
      <c r="Q17" s="417"/>
      <c r="R17" s="417"/>
      <c r="S17" s="417"/>
      <c r="T17" s="578">
        <f>SUM(N17:S17)</f>
        <v>0</v>
      </c>
      <c r="U17" s="416">
        <f t="shared" ref="U17:U25" si="7">P17+T17</f>
        <v>0</v>
      </c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</row>
    <row r="18" spans="1:48">
      <c r="A18" s="419"/>
      <c r="B18" s="412">
        <v>2</v>
      </c>
      <c r="C18" s="413" t="s">
        <v>973</v>
      </c>
      <c r="D18" s="414">
        <v>1</v>
      </c>
      <c r="E18" s="415" t="s">
        <v>902</v>
      </c>
      <c r="F18" s="416">
        <v>184139923.44497609</v>
      </c>
      <c r="G18" s="416"/>
      <c r="H18" s="416">
        <v>12105280</v>
      </c>
      <c r="I18" s="416">
        <v>12105280</v>
      </c>
      <c r="J18" s="416">
        <v>12105280</v>
      </c>
      <c r="K18" s="416">
        <v>12105280</v>
      </c>
      <c r="L18" s="416"/>
      <c r="M18" s="416"/>
      <c r="N18" s="416">
        <v>12105280</v>
      </c>
      <c r="O18" s="416">
        <v>12105280</v>
      </c>
      <c r="P18" s="416">
        <f t="shared" si="6"/>
        <v>72631680</v>
      </c>
      <c r="Q18" s="416">
        <v>25786572</v>
      </c>
      <c r="R18" s="416">
        <v>12105280</v>
      </c>
      <c r="S18" s="416">
        <v>25786572</v>
      </c>
      <c r="T18" s="579">
        <f t="shared" ref="T18:T24" si="8">SUM(Q18:S18)</f>
        <v>63678424</v>
      </c>
      <c r="U18" s="416">
        <f t="shared" si="7"/>
        <v>136310104</v>
      </c>
      <c r="V18" s="471">
        <f>U18/F18</f>
        <v>0.74025285473050395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[8]Prognosa!G16</f>
        <v>94192480</v>
      </c>
      <c r="AF18" s="436" t="e">
        <f>AE18-#REF!</f>
        <v>#REF!</v>
      </c>
      <c r="AG18" s="436">
        <v>-9500390</v>
      </c>
      <c r="AS18" s="436"/>
      <c r="AT18" s="580"/>
      <c r="AU18" s="580"/>
      <c r="AV18" s="580"/>
    </row>
    <row r="19" spans="1:48">
      <c r="A19" s="404"/>
      <c r="B19" s="412"/>
      <c r="C19" s="413"/>
      <c r="D19" s="414">
        <v>2</v>
      </c>
      <c r="E19" s="415" t="s">
        <v>987</v>
      </c>
      <c r="F19" s="416"/>
      <c r="G19" s="416"/>
      <c r="H19" s="416"/>
      <c r="I19" s="416"/>
      <c r="J19" s="416"/>
      <c r="K19" s="416"/>
      <c r="L19" s="416"/>
      <c r="M19" s="416"/>
      <c r="N19" s="416"/>
      <c r="O19" s="416"/>
      <c r="P19" s="416">
        <f t="shared" si="6"/>
        <v>0</v>
      </c>
      <c r="Q19" s="416"/>
      <c r="R19" s="416"/>
      <c r="S19" s="416"/>
      <c r="T19" s="579">
        <f t="shared" si="8"/>
        <v>0</v>
      </c>
      <c r="U19" s="416">
        <f t="shared" si="7"/>
        <v>0</v>
      </c>
      <c r="V19" s="471" t="e">
        <f>U19/F19</f>
        <v>#DIV/0!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[8]Prognosa!G17</f>
        <v>1661115776</v>
      </c>
      <c r="AF19" s="436" t="e">
        <f>AE19-#REF!</f>
        <v>#REF!</v>
      </c>
      <c r="AG19" s="436">
        <v>724034906</v>
      </c>
      <c r="AS19" s="436"/>
      <c r="AT19" s="580"/>
      <c r="AU19" s="580"/>
      <c r="AV19" s="580"/>
    </row>
    <row r="20" spans="1:48">
      <c r="A20" s="419"/>
      <c r="B20" s="412"/>
      <c r="C20" s="413"/>
      <c r="D20" s="414">
        <v>3</v>
      </c>
      <c r="E20" s="418" t="s">
        <v>903</v>
      </c>
      <c r="F20" s="416">
        <v>1059966677</v>
      </c>
      <c r="G20" s="416"/>
      <c r="H20" s="416"/>
      <c r="I20" s="416"/>
      <c r="J20" s="416"/>
      <c r="K20" s="416"/>
      <c r="L20" s="416"/>
      <c r="M20" s="416">
        <v>389949175</v>
      </c>
      <c r="N20" s="416"/>
      <c r="O20" s="416"/>
      <c r="P20" s="416">
        <f t="shared" si="6"/>
        <v>389949175</v>
      </c>
      <c r="Q20" s="416"/>
      <c r="R20" s="416"/>
      <c r="S20" s="416"/>
      <c r="T20" s="579">
        <f t="shared" si="8"/>
        <v>0</v>
      </c>
      <c r="U20" s="416">
        <f t="shared" si="7"/>
        <v>389949175</v>
      </c>
      <c r="V20" s="471">
        <f>U20/F20</f>
        <v>0.36788814541195242</v>
      </c>
      <c r="W20" s="416"/>
      <c r="X20" s="416"/>
      <c r="Y20" s="416"/>
      <c r="Z20" s="416"/>
      <c r="AA20" s="416"/>
      <c r="AB20" s="416"/>
      <c r="AC20" s="416"/>
      <c r="AD20" s="416"/>
      <c r="AE20" s="416">
        <f>[8]Prognosa!G18</f>
        <v>315266188</v>
      </c>
      <c r="AF20" s="436" t="e">
        <f>AE20-#REF!</f>
        <v>#REF!</v>
      </c>
      <c r="AG20" s="436">
        <v>155929758</v>
      </c>
      <c r="AS20" s="436"/>
      <c r="AT20" s="580"/>
      <c r="AU20" s="580"/>
      <c r="AV20" s="580"/>
    </row>
    <row r="21" spans="1:48">
      <c r="A21" s="419"/>
      <c r="B21" s="412"/>
      <c r="C21" s="413"/>
      <c r="D21" s="414">
        <v>4</v>
      </c>
      <c r="E21" s="418" t="s">
        <v>32</v>
      </c>
      <c r="F21" s="416">
        <v>473299060</v>
      </c>
      <c r="G21" s="416"/>
      <c r="H21" s="416">
        <v>16740500</v>
      </c>
      <c r="I21" s="416">
        <v>4472000</v>
      </c>
      <c r="J21" s="416"/>
      <c r="K21" s="416">
        <v>4321000</v>
      </c>
      <c r="L21" s="416">
        <v>5927000</v>
      </c>
      <c r="M21" s="416">
        <v>22823700</v>
      </c>
      <c r="N21" s="416">
        <v>12030000</v>
      </c>
      <c r="O21" s="416">
        <v>6645000</v>
      </c>
      <c r="P21" s="416">
        <f>SUM(G21:O21)</f>
        <v>72959200</v>
      </c>
      <c r="Q21" s="416">
        <v>79612823</v>
      </c>
      <c r="R21" s="416">
        <v>79612823</v>
      </c>
      <c r="S21" s="416">
        <v>79612823</v>
      </c>
      <c r="T21" s="579">
        <f t="shared" si="8"/>
        <v>238838469</v>
      </c>
      <c r="U21" s="416">
        <f t="shared" si="7"/>
        <v>311797669</v>
      </c>
      <c r="V21" s="471">
        <f>U21/F21</f>
        <v>0.65877517060777602</v>
      </c>
      <c r="W21" s="416"/>
      <c r="X21" s="416"/>
      <c r="Y21" s="416"/>
      <c r="Z21" s="416"/>
      <c r="AA21" s="416"/>
      <c r="AB21" s="416"/>
      <c r="AC21" s="416"/>
      <c r="AD21" s="416"/>
      <c r="AE21" s="416">
        <f>[8]Prognosa!G19</f>
        <v>220917700</v>
      </c>
      <c r="AF21" s="436" t="e">
        <f>AE21-#REF!</f>
        <v>#REF!</v>
      </c>
      <c r="AG21" s="436">
        <v>15608492.5</v>
      </c>
      <c r="AS21" s="436"/>
      <c r="AT21" s="580"/>
      <c r="AU21" s="580"/>
      <c r="AV21" s="580"/>
    </row>
    <row r="22" spans="1:48">
      <c r="A22" s="419"/>
      <c r="B22" s="412"/>
      <c r="C22" s="413"/>
      <c r="D22" s="414">
        <v>5</v>
      </c>
      <c r="E22" s="418" t="s">
        <v>43</v>
      </c>
      <c r="F22" s="416">
        <v>461609908</v>
      </c>
      <c r="G22" s="416"/>
      <c r="H22" s="416">
        <v>51347000</v>
      </c>
      <c r="I22" s="416">
        <v>6506000</v>
      </c>
      <c r="J22" s="416"/>
      <c r="K22" s="416">
        <v>1103000</v>
      </c>
      <c r="L22" s="416">
        <v>29973154</v>
      </c>
      <c r="M22" s="416">
        <v>60722400</v>
      </c>
      <c r="N22" s="416">
        <v>12346000</v>
      </c>
      <c r="O22" s="416">
        <v>14877000</v>
      </c>
      <c r="P22" s="416">
        <f t="shared" ref="P22:P24" si="9">SUM(G22:O22)</f>
        <v>176874554</v>
      </c>
      <c r="Q22" s="416">
        <v>59272087</v>
      </c>
      <c r="R22" s="416">
        <v>59272087</v>
      </c>
      <c r="S22" s="416">
        <v>59272087</v>
      </c>
      <c r="T22" s="579">
        <f t="shared" si="8"/>
        <v>177816261</v>
      </c>
      <c r="U22" s="416">
        <f t="shared" si="7"/>
        <v>354690815</v>
      </c>
      <c r="V22" s="471">
        <f>U22/F22</f>
        <v>0.76837782043447822</v>
      </c>
      <c r="W22" s="416"/>
      <c r="X22" s="416"/>
      <c r="Y22" s="416"/>
      <c r="Z22" s="416"/>
      <c r="AA22" s="416"/>
      <c r="AB22" s="416"/>
      <c r="AC22" s="416"/>
      <c r="AD22" s="416"/>
      <c r="AE22" s="416"/>
      <c r="AF22" s="436"/>
      <c r="AG22" s="436"/>
      <c r="AS22" s="436"/>
      <c r="AT22" s="580"/>
      <c r="AU22" s="580"/>
      <c r="AV22" s="580"/>
    </row>
    <row r="23" spans="1:48">
      <c r="A23" s="419"/>
      <c r="B23" s="412"/>
      <c r="C23" s="413"/>
      <c r="D23" s="414">
        <v>6</v>
      </c>
      <c r="E23" s="418" t="s">
        <v>904</v>
      </c>
      <c r="F23" s="416">
        <v>133847554.16666669</v>
      </c>
      <c r="G23" s="416"/>
      <c r="H23" s="416"/>
      <c r="I23" s="416"/>
      <c r="J23" s="416"/>
      <c r="K23" s="416"/>
      <c r="L23" s="416"/>
      <c r="M23" s="416"/>
      <c r="N23" s="416"/>
      <c r="O23" s="416"/>
      <c r="P23" s="416">
        <f t="shared" si="9"/>
        <v>0</v>
      </c>
      <c r="Q23" s="416">
        <v>25431035</v>
      </c>
      <c r="R23" s="416">
        <v>25431035</v>
      </c>
      <c r="S23" s="416">
        <v>25431035</v>
      </c>
      <c r="T23" s="579">
        <f t="shared" si="8"/>
        <v>76293105</v>
      </c>
      <c r="U23" s="416">
        <f t="shared" si="7"/>
        <v>76293105</v>
      </c>
      <c r="V23" s="471">
        <f>U23/F23</f>
        <v>0.56999999346271202</v>
      </c>
      <c r="W23" s="416"/>
      <c r="X23" s="416"/>
      <c r="Y23" s="416"/>
      <c r="Z23" s="416"/>
      <c r="AA23" s="416"/>
      <c r="AB23" s="416"/>
      <c r="AC23" s="416"/>
      <c r="AD23" s="416"/>
      <c r="AE23" s="416"/>
      <c r="AF23" s="436"/>
      <c r="AG23" s="436"/>
      <c r="AS23" s="436"/>
      <c r="AT23" s="580"/>
      <c r="AU23" s="580"/>
      <c r="AV23" s="580"/>
    </row>
    <row r="24" spans="1:48">
      <c r="A24" s="419"/>
      <c r="B24" s="412"/>
      <c r="C24" s="413"/>
      <c r="D24" s="414">
        <v>7</v>
      </c>
      <c r="E24" s="418" t="s">
        <v>985</v>
      </c>
      <c r="F24" s="416">
        <v>94050000</v>
      </c>
      <c r="G24" s="416"/>
      <c r="H24" s="416"/>
      <c r="I24" s="416"/>
      <c r="J24" s="416"/>
      <c r="K24" s="416"/>
      <c r="L24" s="416">
        <v>37101750</v>
      </c>
      <c r="M24" s="416">
        <v>21274368</v>
      </c>
      <c r="N24" s="416"/>
      <c r="O24" s="416"/>
      <c r="P24" s="416">
        <f t="shared" si="9"/>
        <v>58376118</v>
      </c>
      <c r="Q24" s="416">
        <v>28000000</v>
      </c>
      <c r="R24" s="416"/>
      <c r="S24" s="416"/>
      <c r="T24" s="579">
        <f t="shared" si="8"/>
        <v>28000000</v>
      </c>
      <c r="U24" s="416">
        <f t="shared" si="7"/>
        <v>86376118</v>
      </c>
      <c r="V24" s="471">
        <f>U24/F24</f>
        <v>0.91840635832004258</v>
      </c>
      <c r="W24" s="416"/>
      <c r="X24" s="416"/>
      <c r="Y24" s="416"/>
      <c r="Z24" s="416"/>
      <c r="AA24" s="416"/>
      <c r="AB24" s="416"/>
      <c r="AC24" s="416"/>
      <c r="AD24" s="416"/>
      <c r="AE24" s="416"/>
      <c r="AF24" s="436"/>
      <c r="AG24" s="436"/>
      <c r="AS24" s="436"/>
      <c r="AT24" s="580"/>
      <c r="AU24" s="580"/>
      <c r="AV24" s="580"/>
    </row>
    <row r="25" spans="1:48">
      <c r="A25" s="419"/>
      <c r="B25" s="412"/>
      <c r="C25" s="413"/>
      <c r="D25" s="414">
        <v>8</v>
      </c>
      <c r="E25" s="418" t="s">
        <v>986</v>
      </c>
      <c r="F25" s="416">
        <v>24500000</v>
      </c>
      <c r="G25" s="416"/>
      <c r="H25" s="416"/>
      <c r="I25" s="416"/>
      <c r="J25" s="416"/>
      <c r="K25" s="416"/>
      <c r="L25" s="416"/>
      <c r="M25" s="416"/>
      <c r="N25" s="416"/>
      <c r="O25" s="416"/>
      <c r="P25" s="416">
        <f>SUM(G25:O25)</f>
        <v>0</v>
      </c>
      <c r="Q25" s="416"/>
      <c r="R25" s="416"/>
      <c r="S25" s="416"/>
      <c r="T25" s="579">
        <f t="shared" ref="T19:T25" si="10">SUM(N25:S25)</f>
        <v>0</v>
      </c>
      <c r="U25" s="416">
        <f t="shared" si="7"/>
        <v>0</v>
      </c>
      <c r="V25" s="471">
        <f>U25/F25</f>
        <v>0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[8]Prognosa!G20</f>
        <v>115495500</v>
      </c>
      <c r="AF25" s="436" t="e">
        <f>AE25-#REF!</f>
        <v>#REF!</v>
      </c>
      <c r="AG25" s="436">
        <v>0</v>
      </c>
      <c r="AS25" s="436"/>
      <c r="AT25" s="580"/>
      <c r="AU25" s="580"/>
      <c r="AV25" s="580"/>
    </row>
    <row r="26" spans="1:48" ht="14.4" thickBot="1">
      <c r="A26" s="419"/>
      <c r="B26" s="427"/>
      <c r="C26" s="428"/>
      <c r="D26" s="429"/>
      <c r="E26" s="430" t="s">
        <v>905</v>
      </c>
      <c r="F26" s="424">
        <f>SUM(F18:F25)</f>
        <v>2431413122.6116424</v>
      </c>
      <c r="G26" s="424">
        <f t="shared" ref="G26:U26" si="11">SUM(G18:G25)</f>
        <v>0</v>
      </c>
      <c r="H26" s="424">
        <f t="shared" si="11"/>
        <v>80192780</v>
      </c>
      <c r="I26" s="424">
        <f t="shared" si="11"/>
        <v>23083280</v>
      </c>
      <c r="J26" s="424">
        <f t="shared" si="11"/>
        <v>12105280</v>
      </c>
      <c r="K26" s="424">
        <f t="shared" si="11"/>
        <v>17529280</v>
      </c>
      <c r="L26" s="424">
        <f t="shared" si="11"/>
        <v>73001904</v>
      </c>
      <c r="M26" s="424">
        <f t="shared" si="11"/>
        <v>494769643</v>
      </c>
      <c r="N26" s="424">
        <f t="shared" si="11"/>
        <v>36481280</v>
      </c>
      <c r="O26" s="424">
        <f t="shared" si="11"/>
        <v>33627280</v>
      </c>
      <c r="P26" s="424">
        <f>SUM(P17:P25)</f>
        <v>770790727</v>
      </c>
      <c r="Q26" s="424">
        <f t="shared" si="11"/>
        <v>218102517</v>
      </c>
      <c r="R26" s="424">
        <f t="shared" si="11"/>
        <v>176421225</v>
      </c>
      <c r="S26" s="424">
        <f t="shared" si="11"/>
        <v>190102517</v>
      </c>
      <c r="T26" s="424">
        <f t="shared" si="11"/>
        <v>584626259</v>
      </c>
      <c r="U26" s="424">
        <f t="shared" si="11"/>
        <v>1355416986</v>
      </c>
      <c r="V26" s="472">
        <f>U26/F26</f>
        <v>0.55746058676532617</v>
      </c>
      <c r="W26" s="424"/>
      <c r="X26" s="424"/>
      <c r="Y26" s="424"/>
      <c r="Z26" s="424"/>
      <c r="AA26" s="424"/>
      <c r="AB26" s="424"/>
      <c r="AC26" s="424"/>
      <c r="AD26" s="424"/>
      <c r="AE26" s="424">
        <f>SUM(AE18:AE25)</f>
        <v>2406987644</v>
      </c>
      <c r="AF26" s="424" t="e">
        <f>SUM(AF18:AF25)</f>
        <v>#REF!</v>
      </c>
      <c r="AG26" s="424">
        <v>886072766.5</v>
      </c>
      <c r="AP26" s="559"/>
      <c r="AQ26" s="472"/>
    </row>
    <row r="27" spans="1:48" s="431" customFormat="1" ht="16.5" customHeight="1">
      <c r="B27" s="432"/>
      <c r="C27" s="433"/>
      <c r="D27" s="434"/>
      <c r="E27" s="435"/>
      <c r="F27" s="417"/>
      <c r="G27" s="417"/>
      <c r="H27" s="417"/>
      <c r="I27" s="417"/>
      <c r="J27" s="417"/>
      <c r="K27" s="417"/>
      <c r="L27" s="417"/>
      <c r="M27" s="417"/>
      <c r="N27" s="416"/>
      <c r="O27" s="416"/>
      <c r="P27" s="416">
        <f t="shared" ref="P27:P30" si="12">SUM(G27:O27)</f>
        <v>0</v>
      </c>
      <c r="Q27" s="416"/>
      <c r="R27" s="416"/>
      <c r="S27" s="416"/>
      <c r="T27" s="578">
        <f>SUM(N27:S27)</f>
        <v>0</v>
      </c>
      <c r="U27" s="416">
        <f t="shared" ref="U27:U35" si="13">P27+T27</f>
        <v>0</v>
      </c>
      <c r="V27" s="416"/>
      <c r="W27" s="416"/>
      <c r="X27" s="416"/>
      <c r="Y27" s="416"/>
      <c r="Z27" s="416"/>
      <c r="AA27" s="416"/>
      <c r="AB27" s="416"/>
      <c r="AC27" s="416"/>
      <c r="AD27" s="416"/>
      <c r="AE27" s="416"/>
      <c r="AP27" s="557"/>
      <c r="AQ27" s="560"/>
    </row>
    <row r="28" spans="1:48">
      <c r="B28" s="412">
        <v>3</v>
      </c>
      <c r="C28" s="413" t="s">
        <v>974</v>
      </c>
      <c r="D28" s="414">
        <v>1</v>
      </c>
      <c r="E28" s="415" t="s">
        <v>902</v>
      </c>
      <c r="F28" s="416">
        <v>184892532</v>
      </c>
      <c r="G28" s="416"/>
      <c r="H28" s="416">
        <v>6052640</v>
      </c>
      <c r="I28" s="416">
        <v>6052640</v>
      </c>
      <c r="J28" s="416">
        <v>12105280</v>
      </c>
      <c r="K28" s="416">
        <v>6052640</v>
      </c>
      <c r="L28" s="416">
        <v>12105280</v>
      </c>
      <c r="M28" s="416">
        <v>18838300</v>
      </c>
      <c r="N28" s="416">
        <v>12105280</v>
      </c>
      <c r="O28" s="416">
        <v>12105280</v>
      </c>
      <c r="P28" s="416">
        <f t="shared" si="12"/>
        <v>85417340</v>
      </c>
      <c r="Q28" s="416">
        <v>15786572.654545501</v>
      </c>
      <c r="R28" s="416">
        <v>15786572.654545501</v>
      </c>
      <c r="S28" s="416">
        <v>15786572.654545501</v>
      </c>
      <c r="T28" s="579">
        <f t="shared" ref="T28:T35" si="14">SUM(Q28:S28)</f>
        <v>47359717.963636503</v>
      </c>
      <c r="U28" s="416">
        <f t="shared" si="13"/>
        <v>132777057.9636365</v>
      </c>
      <c r="V28" s="471">
        <f>U28/F28</f>
        <v>0.71813099494811672</v>
      </c>
      <c r="W28" s="416"/>
      <c r="X28" s="416"/>
      <c r="Y28" s="416"/>
      <c r="Z28" s="416"/>
      <c r="AA28" s="416"/>
      <c r="AB28" s="416"/>
      <c r="AC28" s="416"/>
      <c r="AD28" s="416"/>
      <c r="AE28" s="416">
        <f>[8]Prognosa!G23</f>
        <v>69992480</v>
      </c>
      <c r="AF28" s="436" t="e">
        <f>AE28-#REF!</f>
        <v>#REF!</v>
      </c>
      <c r="AG28" s="436">
        <v>-24487390</v>
      </c>
      <c r="AS28" s="436"/>
      <c r="AT28" s="580"/>
      <c r="AU28" s="580"/>
      <c r="AV28" s="580"/>
    </row>
    <row r="29" spans="1:48">
      <c r="B29" s="412"/>
      <c r="C29" s="413"/>
      <c r="D29" s="414">
        <v>2</v>
      </c>
      <c r="E29" s="415" t="s">
        <v>987</v>
      </c>
      <c r="F29" s="416"/>
      <c r="G29" s="416"/>
      <c r="H29" s="416"/>
      <c r="I29" s="416"/>
      <c r="J29" s="416"/>
      <c r="K29" s="416"/>
      <c r="L29" s="416"/>
      <c r="M29" s="416"/>
      <c r="N29" s="416"/>
      <c r="O29" s="416"/>
      <c r="P29" s="416">
        <f t="shared" si="12"/>
        <v>0</v>
      </c>
      <c r="Q29" s="416"/>
      <c r="R29" s="416"/>
      <c r="S29" s="416"/>
      <c r="T29" s="579">
        <f t="shared" si="14"/>
        <v>0</v>
      </c>
      <c r="U29" s="416">
        <f t="shared" si="13"/>
        <v>0</v>
      </c>
      <c r="V29" s="471" t="e">
        <f>U29/F29</f>
        <v>#DIV/0!</v>
      </c>
      <c r="W29" s="416"/>
      <c r="X29" s="416"/>
      <c r="Y29" s="416"/>
      <c r="Z29" s="416"/>
      <c r="AA29" s="416"/>
      <c r="AB29" s="416"/>
      <c r="AC29" s="416"/>
      <c r="AD29" s="416"/>
      <c r="AE29" s="416"/>
      <c r="AF29" s="436"/>
      <c r="AG29" s="436"/>
      <c r="AS29" s="436"/>
      <c r="AT29" s="580"/>
      <c r="AU29" s="580"/>
      <c r="AV29" s="580"/>
    </row>
    <row r="30" spans="1:48">
      <c r="B30" s="412"/>
      <c r="C30" s="413"/>
      <c r="D30" s="414">
        <v>3</v>
      </c>
      <c r="E30" s="418" t="s">
        <v>903</v>
      </c>
      <c r="F30" s="416">
        <v>972242586</v>
      </c>
      <c r="G30" s="416"/>
      <c r="H30" s="416">
        <v>52284055</v>
      </c>
      <c r="I30" s="416"/>
      <c r="J30" s="416"/>
      <c r="K30" s="416"/>
      <c r="L30" s="416"/>
      <c r="M30" s="416"/>
      <c r="N30" s="416"/>
      <c r="O30" s="416"/>
      <c r="P30" s="416">
        <f t="shared" si="12"/>
        <v>52284055</v>
      </c>
      <c r="Q30" s="416">
        <v>919950000</v>
      </c>
      <c r="R30" s="416"/>
      <c r="S30" s="416"/>
      <c r="T30" s="579">
        <f t="shared" si="14"/>
        <v>919950000</v>
      </c>
      <c r="U30" s="416">
        <f t="shared" si="13"/>
        <v>972234055</v>
      </c>
      <c r="V30" s="471">
        <f>U30/F30</f>
        <v>0.99999122544093122</v>
      </c>
      <c r="W30" s="416"/>
      <c r="X30" s="416"/>
      <c r="Y30" s="416"/>
      <c r="Z30" s="416"/>
      <c r="AA30" s="416"/>
      <c r="AB30" s="416"/>
      <c r="AC30" s="416"/>
      <c r="AD30" s="416"/>
      <c r="AE30" s="416"/>
      <c r="AF30" s="436"/>
      <c r="AG30" s="436"/>
      <c r="AS30" s="436"/>
      <c r="AT30" s="580"/>
      <c r="AU30" s="580"/>
      <c r="AV30" s="580"/>
    </row>
    <row r="31" spans="1:48">
      <c r="B31" s="412"/>
      <c r="C31" s="413"/>
      <c r="D31" s="414">
        <v>4</v>
      </c>
      <c r="E31" s="418" t="s">
        <v>32</v>
      </c>
      <c r="F31" s="416">
        <v>388054394.5</v>
      </c>
      <c r="G31" s="416">
        <v>0</v>
      </c>
      <c r="H31" s="416">
        <v>2549000</v>
      </c>
      <c r="I31" s="416">
        <v>4565000</v>
      </c>
      <c r="J31" s="416">
        <v>0</v>
      </c>
      <c r="K31" s="416">
        <v>2604000</v>
      </c>
      <c r="L31" s="416">
        <v>4790000</v>
      </c>
      <c r="M31" s="416">
        <v>9936000</v>
      </c>
      <c r="N31" s="416">
        <v>7945000</v>
      </c>
      <c r="O31" s="416">
        <v>9042000</v>
      </c>
      <c r="P31" s="416">
        <f>SUM(G31:O31)</f>
        <v>41431000</v>
      </c>
      <c r="Q31" s="416">
        <f>245159100.9+25000000</f>
        <v>270159100.89999998</v>
      </c>
      <c r="R31" s="416">
        <v>29612823.400000006</v>
      </c>
      <c r="S31" s="416">
        <v>29612823.400000006</v>
      </c>
      <c r="T31" s="579">
        <f t="shared" si="14"/>
        <v>329384747.69999993</v>
      </c>
      <c r="U31" s="416">
        <f t="shared" si="13"/>
        <v>370815747.69999993</v>
      </c>
      <c r="V31" s="471">
        <f>U31/F31</f>
        <v>0.95557672572626906</v>
      </c>
      <c r="W31" s="416"/>
      <c r="X31" s="416"/>
      <c r="Y31" s="416"/>
      <c r="Z31" s="416"/>
      <c r="AA31" s="416"/>
      <c r="AB31" s="416"/>
      <c r="AC31" s="416"/>
      <c r="AD31" s="416"/>
      <c r="AE31" s="416"/>
      <c r="AF31" s="436"/>
      <c r="AG31" s="436"/>
      <c r="AS31" s="436"/>
      <c r="AT31" s="580"/>
      <c r="AU31" s="580"/>
      <c r="AV31" s="580"/>
    </row>
    <row r="32" spans="1:48">
      <c r="A32" s="404"/>
      <c r="B32" s="412"/>
      <c r="C32" s="413"/>
      <c r="D32" s="414">
        <v>5</v>
      </c>
      <c r="E32" s="418" t="s">
        <v>43</v>
      </c>
      <c r="F32" s="416">
        <v>433496910</v>
      </c>
      <c r="G32" s="416">
        <v>12500000</v>
      </c>
      <c r="H32" s="416">
        <v>25621100</v>
      </c>
      <c r="I32" s="416">
        <v>16297300</v>
      </c>
      <c r="J32" s="416">
        <v>0</v>
      </c>
      <c r="K32" s="416">
        <v>10659625</v>
      </c>
      <c r="L32" s="416">
        <v>2251000</v>
      </c>
      <c r="M32" s="416">
        <v>11169400</v>
      </c>
      <c r="N32" s="416">
        <v>12760000</v>
      </c>
      <c r="O32" s="416">
        <v>8074000</v>
      </c>
      <c r="P32" s="416">
        <f t="shared" ref="P32:P34" si="15">SUM(G32:O32)</f>
        <v>99332425</v>
      </c>
      <c r="Q32" s="416">
        <f>317910135.96</f>
        <v>317910135.95999998</v>
      </c>
      <c r="R32" s="416">
        <v>9272087.2599999979</v>
      </c>
      <c r="S32" s="416">
        <v>9272087.2599999979</v>
      </c>
      <c r="T32" s="579">
        <f t="shared" si="14"/>
        <v>336454310.47999996</v>
      </c>
      <c r="U32" s="416">
        <f t="shared" si="13"/>
        <v>435786735.47999996</v>
      </c>
      <c r="V32" s="471">
        <f>U32/F32</f>
        <v>1.0052822186898633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[8]Prognosa!G24</f>
        <v>1838757695</v>
      </c>
      <c r="AF32" s="436" t="e">
        <f>AE32-#REF!</f>
        <v>#REF!</v>
      </c>
      <c r="AG32" s="436">
        <v>1231310195</v>
      </c>
      <c r="AS32" s="436"/>
      <c r="AT32" s="580"/>
      <c r="AU32" s="580"/>
      <c r="AV32" s="580"/>
    </row>
    <row r="33" spans="1:48">
      <c r="A33" s="404"/>
      <c r="B33" s="412"/>
      <c r="C33" s="413"/>
      <c r="D33" s="414">
        <v>6</v>
      </c>
      <c r="E33" s="418" t="s">
        <v>904</v>
      </c>
      <c r="F33" s="416">
        <v>137831770.47619045</v>
      </c>
      <c r="G33" s="416"/>
      <c r="H33" s="416"/>
      <c r="I33" s="416"/>
      <c r="J33" s="416"/>
      <c r="K33" s="416">
        <v>30108750</v>
      </c>
      <c r="L33" s="416"/>
      <c r="M33" s="416"/>
      <c r="N33" s="416"/>
      <c r="O33" s="416"/>
      <c r="P33" s="416">
        <f t="shared" si="15"/>
        <v>30108750</v>
      </c>
      <c r="Q33" s="416">
        <f>F33-K33</f>
        <v>107723020.47619045</v>
      </c>
      <c r="R33" s="416"/>
      <c r="S33" s="416"/>
      <c r="T33" s="579">
        <f t="shared" si="14"/>
        <v>107723020.47619045</v>
      </c>
      <c r="U33" s="416">
        <f t="shared" si="13"/>
        <v>137831770.47619045</v>
      </c>
      <c r="V33" s="471">
        <f>U33/F33</f>
        <v>1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[8]Prognosa!G25</f>
        <v>249673250</v>
      </c>
      <c r="AF33" s="436" t="e">
        <f>AE33-#REF!</f>
        <v>#REF!</v>
      </c>
      <c r="AG33" s="436">
        <v>-44399420</v>
      </c>
      <c r="AS33" s="436"/>
      <c r="AT33" s="580"/>
      <c r="AU33" s="580"/>
      <c r="AV33" s="580"/>
    </row>
    <row r="34" spans="1:48">
      <c r="A34" s="404"/>
      <c r="B34" s="412"/>
      <c r="C34" s="413"/>
      <c r="D34" s="414">
        <v>7</v>
      </c>
      <c r="E34" s="418" t="s">
        <v>985</v>
      </c>
      <c r="F34" s="416">
        <v>77550000</v>
      </c>
      <c r="G34" s="416">
        <v>46065000</v>
      </c>
      <c r="H34" s="416"/>
      <c r="I34" s="416"/>
      <c r="J34" s="416">
        <v>32345400</v>
      </c>
      <c r="K34" s="416"/>
      <c r="L34" s="416"/>
      <c r="M34" s="416"/>
      <c r="N34" s="416"/>
      <c r="O34" s="416"/>
      <c r="P34" s="416">
        <f t="shared" si="15"/>
        <v>78410400</v>
      </c>
      <c r="Q34" s="416">
        <v>37000000</v>
      </c>
      <c r="R34" s="416"/>
      <c r="S34" s="416"/>
      <c r="T34" s="579">
        <f t="shared" si="14"/>
        <v>37000000</v>
      </c>
      <c r="U34" s="416">
        <f t="shared" si="13"/>
        <v>115410400</v>
      </c>
      <c r="V34" s="471">
        <f>U34/F34</f>
        <v>1.4882063185041909</v>
      </c>
      <c r="W34" s="416"/>
      <c r="X34" s="416"/>
      <c r="Y34" s="416"/>
      <c r="Z34" s="416"/>
      <c r="AA34" s="416"/>
      <c r="AB34" s="416"/>
      <c r="AC34" s="416"/>
      <c r="AD34" s="416"/>
      <c r="AE34" s="416">
        <f>[8]Prognosa!G26</f>
        <v>297756800</v>
      </c>
      <c r="AF34" s="436" t="e">
        <f>AE34-#REF!</f>
        <v>#REF!</v>
      </c>
      <c r="AG34" s="436">
        <v>58169238.5</v>
      </c>
      <c r="AS34" s="436"/>
      <c r="AT34" s="580"/>
      <c r="AU34" s="580"/>
      <c r="AV34" s="580"/>
    </row>
    <row r="35" spans="1:48">
      <c r="A35" s="404"/>
      <c r="B35" s="412"/>
      <c r="C35" s="413"/>
      <c r="D35" s="414">
        <v>8</v>
      </c>
      <c r="E35" s="418" t="s">
        <v>986</v>
      </c>
      <c r="F35" s="416">
        <v>23400000</v>
      </c>
      <c r="G35" s="416"/>
      <c r="H35" s="416"/>
      <c r="I35" s="416"/>
      <c r="J35" s="416"/>
      <c r="K35" s="416"/>
      <c r="L35" s="416"/>
      <c r="M35" s="416"/>
      <c r="N35" s="416"/>
      <c r="O35" s="416"/>
      <c r="P35" s="416">
        <f>SUM(G35:O35)</f>
        <v>0</v>
      </c>
      <c r="Q35" s="416">
        <f>F35</f>
        <v>23400000</v>
      </c>
      <c r="R35" s="416"/>
      <c r="S35" s="416"/>
      <c r="T35" s="579">
        <f t="shared" si="14"/>
        <v>23400000</v>
      </c>
      <c r="U35" s="416">
        <f t="shared" si="13"/>
        <v>23400000</v>
      </c>
      <c r="V35" s="471">
        <f>U35/F35</f>
        <v>1</v>
      </c>
      <c r="W35" s="416"/>
      <c r="X35" s="416"/>
      <c r="Y35" s="416"/>
      <c r="Z35" s="416"/>
      <c r="AA35" s="416"/>
      <c r="AB35" s="416"/>
      <c r="AC35" s="416"/>
      <c r="AD35" s="416"/>
      <c r="AE35" s="416">
        <f>[8]Prognosa!G27</f>
        <v>186800000</v>
      </c>
      <c r="AF35" s="436" t="e">
        <f>AE35-#REF!</f>
        <v>#REF!</v>
      </c>
      <c r="AG35" s="436">
        <v>186800000</v>
      </c>
      <c r="AS35" s="436"/>
      <c r="AT35" s="580"/>
      <c r="AU35" s="580"/>
      <c r="AV35" s="580"/>
    </row>
    <row r="36" spans="1:48">
      <c r="A36" s="419"/>
      <c r="B36" s="420"/>
      <c r="C36" s="421"/>
      <c r="D36" s="422"/>
      <c r="E36" s="423" t="s">
        <v>905</v>
      </c>
      <c r="F36" s="424">
        <f>SUM(F28:F35)</f>
        <v>2217468192.9761906</v>
      </c>
      <c r="G36" s="424">
        <f t="shared" ref="G36:U36" si="16">SUM(G28:G35)</f>
        <v>58565000</v>
      </c>
      <c r="H36" s="424">
        <f t="shared" si="16"/>
        <v>86506795</v>
      </c>
      <c r="I36" s="424">
        <f t="shared" si="16"/>
        <v>26914940</v>
      </c>
      <c r="J36" s="424">
        <f t="shared" si="16"/>
        <v>44450680</v>
      </c>
      <c r="K36" s="424">
        <f t="shared" si="16"/>
        <v>49425015</v>
      </c>
      <c r="L36" s="424">
        <f t="shared" si="16"/>
        <v>19146280</v>
      </c>
      <c r="M36" s="424">
        <f t="shared" si="16"/>
        <v>39943700</v>
      </c>
      <c r="N36" s="424">
        <f t="shared" si="16"/>
        <v>32810280</v>
      </c>
      <c r="O36" s="424">
        <f t="shared" si="16"/>
        <v>29221280</v>
      </c>
      <c r="P36" s="424">
        <f>SUM(P27:P35)</f>
        <v>386983970</v>
      </c>
      <c r="Q36" s="424">
        <f t="shared" si="16"/>
        <v>1691928829.990736</v>
      </c>
      <c r="R36" s="424">
        <f t="shared" si="16"/>
        <v>54671483.314545505</v>
      </c>
      <c r="S36" s="424">
        <f t="shared" si="16"/>
        <v>54671483.314545505</v>
      </c>
      <c r="T36" s="424">
        <f t="shared" si="16"/>
        <v>1801271796.6198268</v>
      </c>
      <c r="U36" s="424">
        <f t="shared" si="16"/>
        <v>2188255766.6198268</v>
      </c>
      <c r="V36" s="472">
        <f>U36/F36</f>
        <v>0.98682622531006581</v>
      </c>
      <c r="W36" s="424"/>
      <c r="X36" s="424"/>
      <c r="Y36" s="424"/>
      <c r="Z36" s="424"/>
      <c r="AA36" s="424"/>
      <c r="AB36" s="424"/>
      <c r="AC36" s="424"/>
      <c r="AD36" s="424"/>
      <c r="AE36" s="424">
        <f>SUM(AE28:AE35)</f>
        <v>2642980225</v>
      </c>
      <c r="AF36" s="424" t="e">
        <f>SUM(AF28:AF35)</f>
        <v>#REF!</v>
      </c>
      <c r="AG36" s="424">
        <v>1407392623.5</v>
      </c>
      <c r="AP36" s="559"/>
      <c r="AQ36" s="472"/>
    </row>
    <row r="37" spans="1:48">
      <c r="A37" s="404"/>
      <c r="B37" s="412"/>
      <c r="C37" s="413"/>
      <c r="D37" s="425"/>
      <c r="E37" s="426"/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6">
        <f t="shared" ref="P37:P40" si="17">SUM(G37:O37)</f>
        <v>0</v>
      </c>
      <c r="Q37" s="417"/>
      <c r="R37" s="417"/>
      <c r="S37" s="417"/>
      <c r="T37" s="579">
        <f t="shared" ref="T37:T45" si="18">SUM(Q37:S37)</f>
        <v>0</v>
      </c>
      <c r="U37" s="416">
        <f t="shared" ref="U37:U45" si="19">P37+T37</f>
        <v>0</v>
      </c>
      <c r="V37" s="417"/>
      <c r="W37" s="417"/>
      <c r="X37" s="417"/>
      <c r="Y37" s="417"/>
      <c r="Z37" s="417"/>
      <c r="AA37" s="417"/>
      <c r="AB37" s="417"/>
      <c r="AC37" s="417"/>
      <c r="AD37" s="417"/>
      <c r="AE37" s="417"/>
    </row>
    <row r="38" spans="1:48">
      <c r="A38" s="404"/>
      <c r="B38" s="412">
        <v>4</v>
      </c>
      <c r="C38" s="413" t="s">
        <v>976</v>
      </c>
      <c r="D38" s="414">
        <v>1</v>
      </c>
      <c r="E38" s="415" t="s">
        <v>902</v>
      </c>
      <c r="F38" s="416">
        <v>174934424.2066986</v>
      </c>
      <c r="G38" s="416"/>
      <c r="H38" s="416">
        <v>6052640</v>
      </c>
      <c r="I38" s="416">
        <v>6052640</v>
      </c>
      <c r="J38" s="416">
        <v>18103580</v>
      </c>
      <c r="K38" s="416">
        <v>6052640</v>
      </c>
      <c r="L38" s="416">
        <v>6052640</v>
      </c>
      <c r="M38" s="416">
        <v>24210560</v>
      </c>
      <c r="N38" s="416">
        <v>12105280</v>
      </c>
      <c r="O38" s="416">
        <v>12105280</v>
      </c>
      <c r="P38" s="416">
        <f t="shared" si="17"/>
        <v>90735260</v>
      </c>
      <c r="Q38" s="416">
        <v>21681944.841339719</v>
      </c>
      <c r="R38" s="416">
        <v>21681944.841339719</v>
      </c>
      <c r="S38" s="416">
        <v>21681944.841339719</v>
      </c>
      <c r="T38" s="579">
        <f t="shared" si="18"/>
        <v>65045834.524019152</v>
      </c>
      <c r="U38" s="416">
        <f t="shared" si="19"/>
        <v>155781094.52401915</v>
      </c>
      <c r="V38" s="471">
        <f>U38/F38</f>
        <v>0.89051137436478311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[8]Prognosa!G30</f>
        <v>86892480</v>
      </c>
      <c r="AF38" s="436" t="e">
        <f>AE38-#REF!</f>
        <v>#REF!</v>
      </c>
      <c r="AG38" s="436">
        <v>17065710</v>
      </c>
      <c r="AO38" s="436"/>
      <c r="AS38" s="580"/>
    </row>
    <row r="39" spans="1:48">
      <c r="A39" s="404"/>
      <c r="B39" s="412"/>
      <c r="C39" s="413"/>
      <c r="D39" s="414">
        <v>2</v>
      </c>
      <c r="E39" s="415" t="s">
        <v>987</v>
      </c>
      <c r="F39" s="416">
        <v>0</v>
      </c>
      <c r="G39" s="416"/>
      <c r="H39" s="416"/>
      <c r="I39" s="416"/>
      <c r="J39" s="416"/>
      <c r="K39" s="416"/>
      <c r="L39" s="416"/>
      <c r="M39" s="416"/>
      <c r="N39" s="416"/>
      <c r="O39" s="416"/>
      <c r="P39" s="416">
        <f t="shared" si="17"/>
        <v>0</v>
      </c>
      <c r="Q39" s="416"/>
      <c r="R39" s="416"/>
      <c r="S39" s="416"/>
      <c r="T39" s="579">
        <f t="shared" si="18"/>
        <v>0</v>
      </c>
      <c r="U39" s="416">
        <f t="shared" si="19"/>
        <v>0</v>
      </c>
      <c r="V39" s="471" t="e">
        <f>U39/F39</f>
        <v>#DIV/0!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[8]Prognosa!G31</f>
        <v>884763187</v>
      </c>
      <c r="AF39" s="436" t="e">
        <f>AE39-#REF!</f>
        <v>#REF!</v>
      </c>
      <c r="AG39" s="436">
        <v>169125652</v>
      </c>
      <c r="AO39" s="436"/>
      <c r="AS39" s="580"/>
    </row>
    <row r="40" spans="1:48">
      <c r="A40" s="404"/>
      <c r="B40" s="412"/>
      <c r="C40" s="413"/>
      <c r="D40" s="414">
        <v>3</v>
      </c>
      <c r="E40" s="418" t="s">
        <v>903</v>
      </c>
      <c r="F40" s="416">
        <v>879493158</v>
      </c>
      <c r="G40" s="416">
        <v>414417512</v>
      </c>
      <c r="H40" s="416">
        <v>372975760</v>
      </c>
      <c r="I40" s="416"/>
      <c r="J40" s="416"/>
      <c r="K40" s="416">
        <v>481583957</v>
      </c>
      <c r="L40" s="416"/>
      <c r="M40" s="416"/>
      <c r="N40" s="416"/>
      <c r="O40" s="416"/>
      <c r="P40" s="416">
        <f t="shared" si="17"/>
        <v>1268977229</v>
      </c>
      <c r="Q40" s="416"/>
      <c r="R40" s="416"/>
      <c r="S40" s="416"/>
      <c r="T40" s="579">
        <f t="shared" si="18"/>
        <v>0</v>
      </c>
      <c r="U40" s="416">
        <f t="shared" si="19"/>
        <v>1268977229</v>
      </c>
      <c r="V40" s="471">
        <f>U40/F40</f>
        <v>1.4428505980486548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[8]Prognosa!G32</f>
        <v>169048600</v>
      </c>
      <c r="AF40" s="436" t="e">
        <f>AE40-#REF!</f>
        <v>#REF!</v>
      </c>
      <c r="AG40" s="436">
        <v>-4097895</v>
      </c>
      <c r="AO40" s="436"/>
      <c r="AS40" s="580"/>
    </row>
    <row r="41" spans="1:48">
      <c r="A41" s="404"/>
      <c r="B41" s="412"/>
      <c r="C41" s="413"/>
      <c r="D41" s="414">
        <v>4</v>
      </c>
      <c r="E41" s="418" t="s">
        <v>32</v>
      </c>
      <c r="F41" s="416">
        <v>442526152.5</v>
      </c>
      <c r="G41" s="416"/>
      <c r="H41" s="416">
        <v>11480000</v>
      </c>
      <c r="I41" s="416">
        <v>111902000</v>
      </c>
      <c r="J41" s="416">
        <v>45972700</v>
      </c>
      <c r="K41" s="416">
        <v>87292000</v>
      </c>
      <c r="L41" s="416">
        <v>4555000</v>
      </c>
      <c r="M41" s="416">
        <v>81958500</v>
      </c>
      <c r="N41" s="416">
        <v>14721000</v>
      </c>
      <c r="O41" s="416">
        <v>8634000</v>
      </c>
      <c r="P41" s="416">
        <f>SUM(G41:O41)</f>
        <v>366515200</v>
      </c>
      <c r="Q41" s="416">
        <v>14873190.5</v>
      </c>
      <c r="R41" s="416">
        <v>14873190.5</v>
      </c>
      <c r="S41" s="416">
        <v>14873190.5</v>
      </c>
      <c r="T41" s="579">
        <f t="shared" si="18"/>
        <v>44619571.5</v>
      </c>
      <c r="U41" s="416">
        <f t="shared" si="19"/>
        <v>411134771.5</v>
      </c>
      <c r="V41" s="471">
        <f>U41/F41</f>
        <v>0.92906321847272066</v>
      </c>
      <c r="W41" s="416"/>
      <c r="X41" s="416"/>
      <c r="Y41" s="416"/>
      <c r="Z41" s="416"/>
      <c r="AA41" s="416"/>
      <c r="AB41" s="416"/>
      <c r="AC41" s="416"/>
      <c r="AD41" s="416"/>
      <c r="AE41" s="416"/>
      <c r="AF41" s="436"/>
      <c r="AG41" s="436"/>
      <c r="AO41" s="436"/>
      <c r="AS41" s="580"/>
    </row>
    <row r="42" spans="1:48">
      <c r="A42" s="404"/>
      <c r="B42" s="412"/>
      <c r="C42" s="413"/>
      <c r="D42" s="414">
        <v>5</v>
      </c>
      <c r="E42" s="418" t="s">
        <v>43</v>
      </c>
      <c r="F42" s="416">
        <v>455879420</v>
      </c>
      <c r="G42" s="416"/>
      <c r="H42" s="416">
        <v>46027860</v>
      </c>
      <c r="I42" s="416">
        <v>26658750</v>
      </c>
      <c r="J42" s="416">
        <v>0</v>
      </c>
      <c r="K42" s="416">
        <v>98599000</v>
      </c>
      <c r="L42" s="416">
        <v>14171000</v>
      </c>
      <c r="M42" s="416">
        <v>65463800</v>
      </c>
      <c r="N42" s="416">
        <v>23007000</v>
      </c>
      <c r="O42" s="416">
        <v>17243000</v>
      </c>
      <c r="P42" s="416">
        <f t="shared" ref="P42:P44" si="20">SUM(G42:O42)</f>
        <v>291170410</v>
      </c>
      <c r="Q42" s="416">
        <v>20991802</v>
      </c>
      <c r="R42" s="416">
        <v>20991802</v>
      </c>
      <c r="S42" s="416">
        <v>20991802</v>
      </c>
      <c r="T42" s="579">
        <f t="shared" si="18"/>
        <v>62975406</v>
      </c>
      <c r="U42" s="416">
        <f t="shared" si="19"/>
        <v>354145816</v>
      </c>
      <c r="V42" s="471">
        <f>U42/F42</f>
        <v>0.77684098132791346</v>
      </c>
      <c r="W42" s="416"/>
      <c r="X42" s="416"/>
      <c r="Y42" s="416"/>
      <c r="Z42" s="416"/>
      <c r="AA42" s="416"/>
      <c r="AB42" s="416"/>
      <c r="AC42" s="416"/>
      <c r="AD42" s="416"/>
      <c r="AE42" s="416"/>
      <c r="AF42" s="436"/>
      <c r="AG42" s="436"/>
      <c r="AO42" s="436"/>
      <c r="AS42" s="580"/>
    </row>
    <row r="43" spans="1:48">
      <c r="A43" s="404"/>
      <c r="B43" s="412"/>
      <c r="C43" s="413"/>
      <c r="D43" s="414">
        <v>6</v>
      </c>
      <c r="E43" s="418" t="s">
        <v>904</v>
      </c>
      <c r="F43" s="416">
        <v>141894162.85714287</v>
      </c>
      <c r="G43" s="416"/>
      <c r="H43" s="416"/>
      <c r="I43" s="416">
        <v>92500000</v>
      </c>
      <c r="J43" s="416"/>
      <c r="K43" s="416"/>
      <c r="L43" s="416"/>
      <c r="M43" s="416"/>
      <c r="N43" s="416"/>
      <c r="O43" s="416"/>
      <c r="P43" s="416">
        <f t="shared" si="20"/>
        <v>92500000</v>
      </c>
      <c r="Q43" s="416"/>
      <c r="R43" s="416"/>
      <c r="S43" s="416"/>
      <c r="T43" s="579">
        <f t="shared" si="18"/>
        <v>0</v>
      </c>
      <c r="U43" s="416">
        <f t="shared" si="19"/>
        <v>92500000</v>
      </c>
      <c r="V43" s="471">
        <f>U43/F43</f>
        <v>0.65189432840255557</v>
      </c>
      <c r="W43" s="416"/>
      <c r="X43" s="416"/>
      <c r="Y43" s="416"/>
      <c r="Z43" s="416"/>
      <c r="AA43" s="416"/>
      <c r="AB43" s="416"/>
      <c r="AC43" s="416"/>
      <c r="AD43" s="416"/>
      <c r="AE43" s="416"/>
      <c r="AF43" s="436"/>
      <c r="AG43" s="436"/>
      <c r="AO43" s="436"/>
      <c r="AS43" s="580"/>
    </row>
    <row r="44" spans="1:48">
      <c r="A44" s="404"/>
      <c r="B44" s="412"/>
      <c r="C44" s="413"/>
      <c r="D44" s="414">
        <v>7</v>
      </c>
      <c r="E44" s="418" t="s">
        <v>985</v>
      </c>
      <c r="F44" s="416">
        <v>68200000</v>
      </c>
      <c r="G44" s="416"/>
      <c r="H44" s="416">
        <v>30500000</v>
      </c>
      <c r="I44" s="416"/>
      <c r="J44" s="416"/>
      <c r="K44" s="416"/>
      <c r="L44" s="416"/>
      <c r="M44" s="416">
        <v>110395050</v>
      </c>
      <c r="N44" s="416"/>
      <c r="O44" s="416"/>
      <c r="P44" s="416">
        <f t="shared" si="20"/>
        <v>140895050</v>
      </c>
      <c r="Q44" s="416"/>
      <c r="R44" s="416"/>
      <c r="S44" s="416"/>
      <c r="T44" s="579">
        <f t="shared" si="18"/>
        <v>0</v>
      </c>
      <c r="U44" s="416">
        <f t="shared" si="19"/>
        <v>140895050</v>
      </c>
      <c r="V44" s="471">
        <f>U44/F44</f>
        <v>2.0659098240469209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[8]Prognosa!G33</f>
        <v>211288362</v>
      </c>
      <c r="AF44" s="436" t="e">
        <f>AE44-#REF!</f>
        <v>#REF!</v>
      </c>
      <c r="AG44" s="436">
        <v>-33818077.319999993</v>
      </c>
      <c r="AO44" s="436"/>
      <c r="AS44" s="580"/>
    </row>
    <row r="45" spans="1:48">
      <c r="A45" s="404"/>
      <c r="B45" s="412"/>
      <c r="C45" s="413"/>
      <c r="D45" s="414">
        <v>8</v>
      </c>
      <c r="E45" s="418" t="s">
        <v>986</v>
      </c>
      <c r="F45" s="416">
        <v>26900000</v>
      </c>
      <c r="G45" s="416"/>
      <c r="H45" s="416"/>
      <c r="I45" s="416"/>
      <c r="J45" s="416"/>
      <c r="K45" s="416"/>
      <c r="L45" s="416"/>
      <c r="M45" s="416"/>
      <c r="N45" s="416"/>
      <c r="O45" s="416"/>
      <c r="P45" s="416">
        <f>SUM(G45:O45)</f>
        <v>0</v>
      </c>
      <c r="Q45" s="416"/>
      <c r="R45" s="416"/>
      <c r="S45" s="416"/>
      <c r="T45" s="579">
        <f t="shared" si="18"/>
        <v>0</v>
      </c>
      <c r="U45" s="416">
        <f t="shared" si="19"/>
        <v>0</v>
      </c>
      <c r="V45" s="471">
        <f>U45/F45</f>
        <v>0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[8]Prognosa!G34</f>
        <v>18348000</v>
      </c>
      <c r="AF45" s="436" t="e">
        <f>AE45-#REF!</f>
        <v>#REF!</v>
      </c>
      <c r="AG45" s="436">
        <v>-166800000</v>
      </c>
      <c r="AO45" s="436"/>
      <c r="AS45" s="580"/>
    </row>
    <row r="46" spans="1:48">
      <c r="A46" s="419"/>
      <c r="B46" s="420"/>
      <c r="C46" s="421"/>
      <c r="D46" s="422"/>
      <c r="E46" s="423" t="s">
        <v>905</v>
      </c>
      <c r="F46" s="424">
        <f>SUM(F38:F45)</f>
        <v>2189827317.5638418</v>
      </c>
      <c r="G46" s="424">
        <f t="shared" ref="G46:U46" si="21">SUM(G38:G45)</f>
        <v>414417512</v>
      </c>
      <c r="H46" s="424">
        <f t="shared" si="21"/>
        <v>467036260</v>
      </c>
      <c r="I46" s="424">
        <f t="shared" si="21"/>
        <v>237113390</v>
      </c>
      <c r="J46" s="424">
        <f t="shared" si="21"/>
        <v>64076280</v>
      </c>
      <c r="K46" s="424">
        <f t="shared" si="21"/>
        <v>673527597</v>
      </c>
      <c r="L46" s="424">
        <f t="shared" si="21"/>
        <v>24778640</v>
      </c>
      <c r="M46" s="424">
        <f t="shared" si="21"/>
        <v>282027910</v>
      </c>
      <c r="N46" s="424">
        <f t="shared" si="21"/>
        <v>49833280</v>
      </c>
      <c r="O46" s="424">
        <f t="shared" si="21"/>
        <v>37982280</v>
      </c>
      <c r="P46" s="424">
        <f>SUM(P37:P45)</f>
        <v>2250793149</v>
      </c>
      <c r="Q46" s="424">
        <f t="shared" si="21"/>
        <v>57546937.341339722</v>
      </c>
      <c r="R46" s="424">
        <f t="shared" si="21"/>
        <v>57546937.341339722</v>
      </c>
      <c r="S46" s="424">
        <f t="shared" si="21"/>
        <v>57546937.341339722</v>
      </c>
      <c r="T46" s="424">
        <f t="shared" si="21"/>
        <v>172640812.02401915</v>
      </c>
      <c r="U46" s="424">
        <f t="shared" si="21"/>
        <v>2423433961.0240192</v>
      </c>
      <c r="V46" s="472">
        <f>U46/F46</f>
        <v>1.1066781118248457</v>
      </c>
      <c r="W46" s="424"/>
      <c r="X46" s="424"/>
      <c r="Y46" s="424"/>
      <c r="Z46" s="424"/>
      <c r="AA46" s="424"/>
      <c r="AB46" s="424"/>
      <c r="AC46" s="424"/>
      <c r="AD46" s="424"/>
      <c r="AE46" s="424">
        <f>SUM(AE38:AE45)</f>
        <v>1370340629</v>
      </c>
      <c r="AF46" s="424" t="e">
        <f>SUM(AF38:AF45)</f>
        <v>#REF!</v>
      </c>
      <c r="AG46" s="424">
        <v>-18524610.319999993</v>
      </c>
      <c r="AP46" s="559"/>
      <c r="AQ46" s="472"/>
    </row>
    <row r="47" spans="1:48">
      <c r="A47" s="404"/>
      <c r="B47" s="412"/>
      <c r="C47" s="413"/>
      <c r="D47" s="425"/>
      <c r="E47" s="426"/>
      <c r="F47" s="417"/>
      <c r="G47" s="417"/>
      <c r="H47" s="417"/>
      <c r="I47" s="417"/>
      <c r="J47" s="417"/>
      <c r="K47" s="417"/>
      <c r="L47" s="417"/>
      <c r="M47" s="417"/>
      <c r="N47" s="417"/>
      <c r="O47" s="417"/>
      <c r="P47" s="416">
        <f t="shared" ref="P47:P50" si="22">SUM(G47:O47)</f>
        <v>0</v>
      </c>
      <c r="Q47" s="417"/>
      <c r="R47" s="417"/>
      <c r="S47" s="417"/>
      <c r="T47" s="579">
        <f t="shared" ref="T47:T55" si="23">SUM(Q47:S47)</f>
        <v>0</v>
      </c>
      <c r="U47" s="416">
        <f t="shared" ref="U47:U55" si="24">P47+T47</f>
        <v>0</v>
      </c>
      <c r="V47" s="417"/>
      <c r="W47" s="417"/>
      <c r="X47" s="417"/>
      <c r="Y47" s="417"/>
      <c r="Z47" s="417"/>
      <c r="AA47" s="417"/>
      <c r="AB47" s="417"/>
      <c r="AC47" s="417"/>
      <c r="AD47" s="417"/>
      <c r="AE47" s="417"/>
    </row>
    <row r="48" spans="1:48">
      <c r="A48" s="404"/>
      <c r="B48" s="412">
        <v>5</v>
      </c>
      <c r="C48" s="413" t="s">
        <v>977</v>
      </c>
      <c r="D48" s="414">
        <v>1</v>
      </c>
      <c r="E48" s="415" t="s">
        <v>902</v>
      </c>
      <c r="F48" s="416">
        <v>96885653.971291855</v>
      </c>
      <c r="G48" s="416"/>
      <c r="H48" s="416">
        <v>6420000</v>
      </c>
      <c r="I48" s="416">
        <v>6052640</v>
      </c>
      <c r="J48" s="416">
        <v>6052640</v>
      </c>
      <c r="K48" s="416">
        <v>6052640</v>
      </c>
      <c r="L48" s="416">
        <v>6052640</v>
      </c>
      <c r="M48" s="416">
        <v>12105280</v>
      </c>
      <c r="N48" s="416">
        <v>6052640</v>
      </c>
      <c r="O48" s="416">
        <v>6052640</v>
      </c>
      <c r="P48" s="416">
        <f t="shared" si="22"/>
        <v>54841120</v>
      </c>
      <c r="Q48" s="416">
        <v>10829962.794258371</v>
      </c>
      <c r="R48" s="416">
        <v>10829962.794258371</v>
      </c>
      <c r="S48" s="416">
        <v>10829962.794258371</v>
      </c>
      <c r="T48" s="579">
        <f t="shared" si="23"/>
        <v>32489888.382775113</v>
      </c>
      <c r="U48" s="416">
        <f t="shared" si="24"/>
        <v>87331008.382775113</v>
      </c>
      <c r="V48" s="471">
        <f>U48/F48</f>
        <v>0.90138224600983885</v>
      </c>
      <c r="W48" s="416"/>
      <c r="X48" s="416"/>
      <c r="Y48" s="416"/>
      <c r="Z48" s="416"/>
      <c r="AA48" s="416"/>
      <c r="AB48" s="416"/>
      <c r="AC48" s="416"/>
      <c r="AD48" s="416"/>
      <c r="AE48" s="416">
        <f>[8]Prognosa!G37</f>
        <v>103192480</v>
      </c>
      <c r="AF48" s="436" t="e">
        <f>AE48-#REF!</f>
        <v>#REF!</v>
      </c>
      <c r="AG48" s="436">
        <v>7602610</v>
      </c>
      <c r="AO48" s="436"/>
      <c r="AS48" s="580"/>
    </row>
    <row r="49" spans="1:45">
      <c r="A49" s="404"/>
      <c r="B49" s="412"/>
      <c r="C49" s="413"/>
      <c r="D49" s="414">
        <v>2</v>
      </c>
      <c r="E49" s="415" t="s">
        <v>987</v>
      </c>
      <c r="F49" s="416"/>
      <c r="G49" s="416"/>
      <c r="H49" s="416"/>
      <c r="I49" s="416"/>
      <c r="J49" s="416"/>
      <c r="K49" s="416"/>
      <c r="L49" s="416"/>
      <c r="M49" s="416"/>
      <c r="N49" s="416"/>
      <c r="O49" s="416"/>
      <c r="P49" s="416">
        <f t="shared" si="22"/>
        <v>0</v>
      </c>
      <c r="Q49" s="416"/>
      <c r="R49" s="416"/>
      <c r="S49" s="416"/>
      <c r="T49" s="579">
        <f t="shared" si="23"/>
        <v>0</v>
      </c>
      <c r="U49" s="416">
        <f t="shared" si="24"/>
        <v>0</v>
      </c>
      <c r="V49" s="471" t="e">
        <f>U49/F49</f>
        <v>#DIV/0!</v>
      </c>
      <c r="W49" s="416"/>
      <c r="X49" s="416"/>
      <c r="Y49" s="416"/>
      <c r="Z49" s="416"/>
      <c r="AA49" s="416"/>
      <c r="AB49" s="416"/>
      <c r="AC49" s="416"/>
      <c r="AD49" s="416"/>
      <c r="AE49" s="416"/>
      <c r="AF49" s="436"/>
      <c r="AG49" s="436"/>
      <c r="AO49" s="436"/>
    </row>
    <row r="50" spans="1:45">
      <c r="A50" s="404"/>
      <c r="B50" s="412"/>
      <c r="C50" s="413"/>
      <c r="D50" s="414">
        <v>3</v>
      </c>
      <c r="E50" s="418" t="s">
        <v>903</v>
      </c>
      <c r="F50" s="416">
        <v>832180702</v>
      </c>
      <c r="G50" s="416"/>
      <c r="H50" s="416">
        <v>32285032</v>
      </c>
      <c r="I50" s="416"/>
      <c r="J50" s="416"/>
      <c r="K50" s="416"/>
      <c r="L50" s="416"/>
      <c r="M50" s="416"/>
      <c r="N50" s="416"/>
      <c r="O50" s="416"/>
      <c r="P50" s="416">
        <f t="shared" si="22"/>
        <v>32285032</v>
      </c>
      <c r="Q50" s="416">
        <f>832180702-50000000</f>
        <v>782180702</v>
      </c>
      <c r="R50" s="416"/>
      <c r="S50" s="416"/>
      <c r="T50" s="579">
        <f t="shared" si="23"/>
        <v>782180702</v>
      </c>
      <c r="U50" s="416">
        <f t="shared" si="24"/>
        <v>814465734</v>
      </c>
      <c r="V50" s="471">
        <f>U50/F50</f>
        <v>0.97871259456338611</v>
      </c>
      <c r="W50" s="416"/>
      <c r="X50" s="416"/>
      <c r="Y50" s="416"/>
      <c r="Z50" s="416"/>
      <c r="AA50" s="416"/>
      <c r="AB50" s="416"/>
      <c r="AC50" s="416"/>
      <c r="AD50" s="416"/>
      <c r="AE50" s="416"/>
      <c r="AF50" s="436"/>
      <c r="AG50" s="436"/>
      <c r="AO50" s="436"/>
    </row>
    <row r="51" spans="1:45">
      <c r="A51" s="404"/>
      <c r="B51" s="412"/>
      <c r="C51" s="413"/>
      <c r="D51" s="414">
        <v>4</v>
      </c>
      <c r="E51" s="418" t="s">
        <v>32</v>
      </c>
      <c r="F51" s="416">
        <v>361231212</v>
      </c>
      <c r="G51" s="416"/>
      <c r="H51" s="416">
        <v>6872000</v>
      </c>
      <c r="I51" s="416">
        <v>8305000</v>
      </c>
      <c r="J51" s="416"/>
      <c r="K51" s="416">
        <v>10810000</v>
      </c>
      <c r="L51" s="416">
        <v>11500000</v>
      </c>
      <c r="M51" s="416">
        <v>4914000</v>
      </c>
      <c r="N51" s="416">
        <v>10784000</v>
      </c>
      <c r="O51" s="416">
        <v>3641000</v>
      </c>
      <c r="P51" s="416">
        <f>SUM(G51:O51)</f>
        <v>56826000</v>
      </c>
      <c r="Q51" s="416">
        <v>183766042.40000001</v>
      </c>
      <c r="R51" s="416">
        <v>23766042.399999999</v>
      </c>
      <c r="S51" s="416">
        <v>23766042.399999999</v>
      </c>
      <c r="T51" s="579">
        <f t="shared" si="23"/>
        <v>231298127.20000002</v>
      </c>
      <c r="U51" s="416">
        <f t="shared" si="24"/>
        <v>288124127.20000005</v>
      </c>
      <c r="V51" s="471">
        <f>U51/F51</f>
        <v>0.79761692131963402</v>
      </c>
      <c r="W51" s="416"/>
      <c r="X51" s="416"/>
      <c r="Y51" s="416"/>
      <c r="Z51" s="416"/>
      <c r="AA51" s="416"/>
      <c r="AB51" s="416"/>
      <c r="AC51" s="416"/>
      <c r="AD51" s="416"/>
      <c r="AE51" s="416"/>
      <c r="AF51" s="436"/>
      <c r="AG51" s="436"/>
      <c r="AO51" s="436"/>
      <c r="AS51" s="580"/>
    </row>
    <row r="52" spans="1:45">
      <c r="A52" s="404"/>
      <c r="B52" s="412"/>
      <c r="C52" s="413"/>
      <c r="D52" s="414">
        <v>5</v>
      </c>
      <c r="E52" s="418" t="s">
        <v>43</v>
      </c>
      <c r="F52" s="416">
        <v>296954844</v>
      </c>
      <c r="G52" s="416"/>
      <c r="H52" s="416">
        <v>54523600</v>
      </c>
      <c r="I52" s="416">
        <v>19759500</v>
      </c>
      <c r="J52" s="416"/>
      <c r="K52" s="416">
        <v>8586000</v>
      </c>
      <c r="L52" s="416">
        <v>10528600</v>
      </c>
      <c r="M52" s="416">
        <v>13726600</v>
      </c>
      <c r="N52" s="416">
        <v>9880000</v>
      </c>
      <c r="O52" s="416">
        <v>12402000</v>
      </c>
      <c r="P52" s="416">
        <f t="shared" ref="P52:P54" si="25">SUM(G52:O52)</f>
        <v>129406300</v>
      </c>
      <c r="Q52" s="416">
        <v>17966108.800000001</v>
      </c>
      <c r="R52" s="416">
        <f>17966108.8+40000000</f>
        <v>57966108.799999997</v>
      </c>
      <c r="S52" s="416">
        <v>17966108.800000001</v>
      </c>
      <c r="T52" s="579">
        <f t="shared" si="23"/>
        <v>93898326.399999991</v>
      </c>
      <c r="U52" s="416">
        <f t="shared" si="24"/>
        <v>223304626.39999998</v>
      </c>
      <c r="V52" s="471">
        <f>U52/F52</f>
        <v>0.75198176056693644</v>
      </c>
      <c r="W52" s="416"/>
      <c r="X52" s="416"/>
      <c r="Y52" s="416"/>
      <c r="Z52" s="416"/>
      <c r="AA52" s="416"/>
      <c r="AB52" s="416"/>
      <c r="AC52" s="416"/>
      <c r="AD52" s="416"/>
      <c r="AE52" s="416">
        <f>[8]Prognosa!G38</f>
        <v>1252641038</v>
      </c>
      <c r="AF52" s="436" t="e">
        <f>AE52-#REF!</f>
        <v>#REF!</v>
      </c>
      <c r="AG52" s="436">
        <v>634775737.33999991</v>
      </c>
      <c r="AO52" s="436"/>
      <c r="AS52" s="580"/>
    </row>
    <row r="53" spans="1:45">
      <c r="A53" s="404"/>
      <c r="B53" s="412"/>
      <c r="C53" s="413"/>
      <c r="D53" s="414">
        <v>6</v>
      </c>
      <c r="E53" s="418" t="s">
        <v>904</v>
      </c>
      <c r="F53" s="416">
        <v>114961155.55555555</v>
      </c>
      <c r="G53" s="416"/>
      <c r="H53" s="416"/>
      <c r="I53" s="416"/>
      <c r="J53" s="416"/>
      <c r="K53" s="416"/>
      <c r="L53" s="416"/>
      <c r="M53" s="416"/>
      <c r="N53" s="416"/>
      <c r="O53" s="416"/>
      <c r="P53" s="416">
        <f t="shared" si="25"/>
        <v>0</v>
      </c>
      <c r="Q53" s="416">
        <f>F53</f>
        <v>114961155.55555555</v>
      </c>
      <c r="R53" s="416"/>
      <c r="S53" s="416"/>
      <c r="T53" s="579">
        <f t="shared" si="23"/>
        <v>114961155.55555555</v>
      </c>
      <c r="U53" s="416">
        <f t="shared" si="24"/>
        <v>114961155.55555555</v>
      </c>
      <c r="V53" s="471">
        <f>U53/F53</f>
        <v>1</v>
      </c>
      <c r="W53" s="416"/>
      <c r="X53" s="416"/>
      <c r="Y53" s="416"/>
      <c r="Z53" s="416"/>
      <c r="AA53" s="416"/>
      <c r="AB53" s="416"/>
      <c r="AC53" s="416"/>
      <c r="AD53" s="416"/>
      <c r="AE53" s="416">
        <f>[8]Prognosa!G39</f>
        <v>36200500</v>
      </c>
      <c r="AF53" s="436" t="e">
        <f>AE53-#REF!</f>
        <v>#REF!</v>
      </c>
      <c r="AG53" s="436">
        <v>-86896650</v>
      </c>
      <c r="AO53" s="436"/>
    </row>
    <row r="54" spans="1:45">
      <c r="A54" s="404"/>
      <c r="B54" s="412"/>
      <c r="C54" s="413"/>
      <c r="D54" s="414">
        <v>7</v>
      </c>
      <c r="E54" s="418" t="s">
        <v>985</v>
      </c>
      <c r="F54" s="416">
        <v>88550000</v>
      </c>
      <c r="G54" s="416">
        <v>25000000</v>
      </c>
      <c r="H54" s="416"/>
      <c r="I54" s="416"/>
      <c r="J54" s="416">
        <v>97752150</v>
      </c>
      <c r="K54" s="416"/>
      <c r="L54" s="416"/>
      <c r="M54" s="416"/>
      <c r="N54" s="416"/>
      <c r="O54" s="416"/>
      <c r="P54" s="416">
        <f t="shared" si="25"/>
        <v>122752150</v>
      </c>
      <c r="Q54" s="416">
        <v>38550000</v>
      </c>
      <c r="R54" s="416"/>
      <c r="S54" s="416"/>
      <c r="T54" s="579">
        <f t="shared" si="23"/>
        <v>38550000</v>
      </c>
      <c r="U54" s="416">
        <f t="shared" si="24"/>
        <v>161302150</v>
      </c>
      <c r="V54" s="471">
        <f>U54/F54</f>
        <v>1.8215940146809713</v>
      </c>
      <c r="W54" s="416"/>
      <c r="X54" s="416"/>
      <c r="Y54" s="416"/>
      <c r="Z54" s="416"/>
      <c r="AA54" s="416"/>
      <c r="AB54" s="416"/>
      <c r="AC54" s="416"/>
      <c r="AD54" s="416"/>
      <c r="AE54" s="416">
        <f>[8]Prognosa!G40</f>
        <v>80313000</v>
      </c>
      <c r="AF54" s="436" t="e">
        <f>AE54-#REF!</f>
        <v>#REF!</v>
      </c>
      <c r="AG54" s="436">
        <v>-35307097.5</v>
      </c>
      <c r="AO54" s="436"/>
    </row>
    <row r="55" spans="1:45">
      <c r="A55" s="404"/>
      <c r="B55" s="412"/>
      <c r="C55" s="413"/>
      <c r="D55" s="414">
        <v>8</v>
      </c>
      <c r="E55" s="418" t="s">
        <v>986</v>
      </c>
      <c r="F55" s="416">
        <v>15150000</v>
      </c>
      <c r="G55" s="416"/>
      <c r="H55" s="416"/>
      <c r="I55" s="416"/>
      <c r="J55" s="416"/>
      <c r="K55" s="416"/>
      <c r="L55" s="416"/>
      <c r="M55" s="416"/>
      <c r="N55" s="416"/>
      <c r="O55" s="416"/>
      <c r="P55" s="416">
        <f>SUM(G55:O55)</f>
        <v>0</v>
      </c>
      <c r="Q55" s="416">
        <f>F55</f>
        <v>15150000</v>
      </c>
      <c r="R55" s="416"/>
      <c r="S55" s="416"/>
      <c r="T55" s="579">
        <f t="shared" si="23"/>
        <v>15150000</v>
      </c>
      <c r="U55" s="416">
        <f t="shared" si="24"/>
        <v>15150000</v>
      </c>
      <c r="V55" s="471">
        <f>U55/F55</f>
        <v>1</v>
      </c>
      <c r="W55" s="416"/>
      <c r="X55" s="416"/>
      <c r="Y55" s="416"/>
      <c r="Z55" s="416"/>
      <c r="AA55" s="416"/>
      <c r="AB55" s="416"/>
      <c r="AC55" s="416"/>
      <c r="AD55" s="416"/>
      <c r="AE55" s="416">
        <f>[8]Prognosa!G41</f>
        <v>116550000</v>
      </c>
      <c r="AF55" s="436" t="e">
        <f>AE55-#REF!</f>
        <v>#REF!</v>
      </c>
      <c r="AG55" s="436">
        <v>0</v>
      </c>
      <c r="AO55" s="436"/>
    </row>
    <row r="56" spans="1:45">
      <c r="A56" s="419"/>
      <c r="B56" s="420"/>
      <c r="C56" s="421"/>
      <c r="D56" s="422"/>
      <c r="E56" s="423" t="s">
        <v>905</v>
      </c>
      <c r="F56" s="424">
        <f>SUM(F48:F55)</f>
        <v>1805913567.5268476</v>
      </c>
      <c r="G56" s="424">
        <f t="shared" ref="G56" si="26">SUM(G48:G55)</f>
        <v>25000000</v>
      </c>
      <c r="H56" s="424">
        <f t="shared" ref="H56" si="27">SUM(H48:H55)</f>
        <v>100100632</v>
      </c>
      <c r="I56" s="424">
        <f t="shared" ref="I56" si="28">SUM(I48:I55)</f>
        <v>34117140</v>
      </c>
      <c r="J56" s="424">
        <f t="shared" ref="J56" si="29">SUM(J48:J55)</f>
        <v>103804790</v>
      </c>
      <c r="K56" s="424">
        <f t="shared" ref="K56" si="30">SUM(K48:K55)</f>
        <v>25448640</v>
      </c>
      <c r="L56" s="424">
        <f t="shared" ref="L56" si="31">SUM(L48:L55)</f>
        <v>28081240</v>
      </c>
      <c r="M56" s="424">
        <f t="shared" ref="M56" si="32">SUM(M48:M55)</f>
        <v>30745880</v>
      </c>
      <c r="N56" s="424">
        <f t="shared" ref="N56" si="33">SUM(N48:N55)</f>
        <v>26716640</v>
      </c>
      <c r="O56" s="424">
        <f t="shared" ref="O56" si="34">SUM(O48:O55)</f>
        <v>22095640</v>
      </c>
      <c r="P56" s="424">
        <f>SUM(P47:P55)</f>
        <v>396110602</v>
      </c>
      <c r="Q56" s="424">
        <f t="shared" ref="Q56" si="35">SUM(Q48:Q55)</f>
        <v>1163403971.5498137</v>
      </c>
      <c r="R56" s="424">
        <f t="shared" ref="R56" si="36">SUM(R48:R55)</f>
        <v>92562113.994258374</v>
      </c>
      <c r="S56" s="424">
        <f t="shared" ref="S56" si="37">SUM(S48:S55)</f>
        <v>52562113.994258374</v>
      </c>
      <c r="T56" s="424">
        <f t="shared" ref="T56" si="38">SUM(T48:T55)</f>
        <v>1308528199.5383308</v>
      </c>
      <c r="U56" s="424">
        <f t="shared" ref="U56" si="39">SUM(U48:U55)</f>
        <v>1704638801.5383308</v>
      </c>
      <c r="V56" s="472">
        <f>U56/F56</f>
        <v>0.94392048002208095</v>
      </c>
      <c r="W56" s="424"/>
      <c r="X56" s="424"/>
      <c r="Y56" s="424"/>
      <c r="Z56" s="424"/>
      <c r="AA56" s="424"/>
      <c r="AB56" s="424"/>
      <c r="AC56" s="424"/>
      <c r="AD56" s="424"/>
      <c r="AE56" s="424">
        <f>SUM(AE48:AE55)</f>
        <v>1588897018</v>
      </c>
      <c r="AF56" s="424" t="e">
        <f>SUM(AF48:AF55)</f>
        <v>#REF!</v>
      </c>
      <c r="AG56" s="424">
        <v>164503365.83999991</v>
      </c>
      <c r="AP56" s="559"/>
      <c r="AQ56" s="472"/>
    </row>
    <row r="57" spans="1:45">
      <c r="A57" s="564"/>
      <c r="B57" s="565"/>
      <c r="C57" s="416"/>
      <c r="D57" s="566"/>
      <c r="E57" s="567"/>
      <c r="F57" s="417"/>
      <c r="G57" s="417"/>
      <c r="H57" s="417"/>
      <c r="I57" s="417"/>
      <c r="J57" s="417"/>
      <c r="K57" s="417"/>
      <c r="L57" s="417"/>
      <c r="M57" s="417"/>
      <c r="N57" s="568"/>
      <c r="O57" s="568"/>
      <c r="P57" s="416">
        <f t="shared" ref="P57:P60" si="40">SUM(G57:O57)</f>
        <v>0</v>
      </c>
      <c r="Q57" s="568"/>
      <c r="R57" s="568"/>
      <c r="S57" s="568"/>
      <c r="T57" s="579">
        <f t="shared" ref="T57:T65" si="41">SUM(Q57:S57)</f>
        <v>0</v>
      </c>
      <c r="U57" s="416">
        <f t="shared" ref="U57:U65" si="42">P57+T57</f>
        <v>0</v>
      </c>
      <c r="V57" s="569"/>
      <c r="W57" s="568"/>
      <c r="X57" s="568"/>
      <c r="Y57" s="568"/>
      <c r="Z57" s="568"/>
      <c r="AA57" s="568"/>
      <c r="AB57" s="568"/>
      <c r="AC57" s="568"/>
      <c r="AD57" s="568"/>
      <c r="AE57" s="568"/>
      <c r="AF57" s="570"/>
      <c r="AG57" s="570"/>
      <c r="AP57" s="571"/>
      <c r="AQ57" s="572"/>
    </row>
    <row r="58" spans="1:45">
      <c r="A58" s="404"/>
      <c r="B58" s="412">
        <v>6</v>
      </c>
      <c r="C58" s="413" t="s">
        <v>978</v>
      </c>
      <c r="D58" s="414">
        <v>1</v>
      </c>
      <c r="E58" s="415" t="s">
        <v>902</v>
      </c>
      <c r="F58" s="416">
        <v>174180612.19019145</v>
      </c>
      <c r="G58" s="416"/>
      <c r="H58" s="416">
        <v>32100000</v>
      </c>
      <c r="I58" s="416">
        <v>36261500</v>
      </c>
      <c r="J58" s="416">
        <v>36207160</v>
      </c>
      <c r="K58" s="416">
        <v>30263200</v>
      </c>
      <c r="L58" s="416">
        <v>30263200</v>
      </c>
      <c r="M58" s="416">
        <v>60526400</v>
      </c>
      <c r="N58" s="416">
        <v>12105280</v>
      </c>
      <c r="O58" s="416"/>
      <c r="P58" s="416">
        <f t="shared" si="40"/>
        <v>237726740</v>
      </c>
      <c r="Q58" s="416">
        <v>24511500</v>
      </c>
      <c r="R58" s="416">
        <v>24511500</v>
      </c>
      <c r="S58" s="416">
        <v>24511500</v>
      </c>
      <c r="T58" s="579">
        <f t="shared" si="41"/>
        <v>73534500</v>
      </c>
      <c r="U58" s="416">
        <f t="shared" si="42"/>
        <v>311261240</v>
      </c>
      <c r="V58" s="471">
        <f>U58/F58</f>
        <v>1.7870027902998029</v>
      </c>
      <c r="W58" s="416"/>
      <c r="X58" s="416"/>
      <c r="Y58" s="416"/>
      <c r="Z58" s="416"/>
      <c r="AA58" s="416"/>
      <c r="AB58" s="416"/>
      <c r="AC58" s="416"/>
      <c r="AD58" s="416"/>
      <c r="AE58" s="416">
        <f>[8]Prognosa!G45</f>
        <v>653548850</v>
      </c>
      <c r="AF58" s="436" t="e">
        <f>AE58-#REF!</f>
        <v>#REF!</v>
      </c>
      <c r="AG58" s="436">
        <v>7602610</v>
      </c>
      <c r="AO58" s="581" t="s">
        <v>993</v>
      </c>
    </row>
    <row r="59" spans="1:45">
      <c r="A59" s="404"/>
      <c r="B59" s="412"/>
      <c r="C59" s="413"/>
      <c r="D59" s="414">
        <v>2</v>
      </c>
      <c r="E59" s="415" t="s">
        <v>987</v>
      </c>
      <c r="F59" s="416">
        <v>0</v>
      </c>
      <c r="G59" s="416"/>
      <c r="H59" s="416"/>
      <c r="I59" s="416"/>
      <c r="J59" s="416"/>
      <c r="K59" s="416"/>
      <c r="L59" s="416"/>
      <c r="M59" s="416"/>
      <c r="N59" s="416"/>
      <c r="O59" s="416"/>
      <c r="P59" s="416">
        <f t="shared" si="40"/>
        <v>0</v>
      </c>
      <c r="Q59" s="416"/>
      <c r="R59" s="416"/>
      <c r="S59" s="416"/>
      <c r="T59" s="579">
        <f t="shared" si="41"/>
        <v>0</v>
      </c>
      <c r="U59" s="416">
        <f t="shared" si="42"/>
        <v>0</v>
      </c>
      <c r="V59" s="471" t="e">
        <f>U59/F59</f>
        <v>#DIV/0!</v>
      </c>
      <c r="W59" s="416"/>
      <c r="X59" s="416"/>
      <c r="Y59" s="416"/>
      <c r="Z59" s="416"/>
      <c r="AA59" s="416"/>
      <c r="AB59" s="416"/>
      <c r="AC59" s="416"/>
      <c r="AD59" s="416"/>
      <c r="AE59" s="416">
        <f>[8]Prognosa!G46</f>
        <v>213177250</v>
      </c>
      <c r="AF59" s="436" t="e">
        <f>AE59-#REF!</f>
        <v>#REF!</v>
      </c>
      <c r="AG59" s="436">
        <v>634775737.33999991</v>
      </c>
    </row>
    <row r="60" spans="1:45">
      <c r="A60" s="404"/>
      <c r="B60" s="412"/>
      <c r="C60" s="413"/>
      <c r="D60" s="414">
        <v>3</v>
      </c>
      <c r="E60" s="418" t="s">
        <v>903</v>
      </c>
      <c r="F60" s="416">
        <v>921672938</v>
      </c>
      <c r="G60" s="416"/>
      <c r="H60" s="416"/>
      <c r="I60" s="416"/>
      <c r="J60" s="416"/>
      <c r="K60" s="416"/>
      <c r="L60" s="416"/>
      <c r="M60" s="416"/>
      <c r="N60" s="416"/>
      <c r="O60" s="416">
        <v>559274150</v>
      </c>
      <c r="P60" s="416">
        <f t="shared" si="40"/>
        <v>559274150</v>
      </c>
      <c r="Q60" s="416"/>
      <c r="R60" s="416"/>
      <c r="S60" s="416"/>
      <c r="T60" s="579">
        <f t="shared" si="41"/>
        <v>0</v>
      </c>
      <c r="U60" s="416">
        <f t="shared" si="42"/>
        <v>559274150</v>
      </c>
      <c r="V60" s="471">
        <f>U60/F60</f>
        <v>0.6068032671259791</v>
      </c>
      <c r="W60" s="416"/>
      <c r="X60" s="416"/>
      <c r="Y60" s="416"/>
      <c r="Z60" s="416"/>
      <c r="AA60" s="416"/>
      <c r="AB60" s="416"/>
      <c r="AC60" s="416"/>
      <c r="AD60" s="416"/>
      <c r="AE60" s="416">
        <f>[8]Prognosa!G47</f>
        <v>232968700</v>
      </c>
      <c r="AF60" s="436" t="e">
        <f>AE60-#REF!</f>
        <v>#REF!</v>
      </c>
      <c r="AG60" s="436">
        <v>-86896650</v>
      </c>
    </row>
    <row r="61" spans="1:45">
      <c r="A61" s="404"/>
      <c r="B61" s="412"/>
      <c r="C61" s="413"/>
      <c r="D61" s="414">
        <v>4</v>
      </c>
      <c r="E61" s="418" t="s">
        <v>32</v>
      </c>
      <c r="F61" s="416">
        <v>435061594</v>
      </c>
      <c r="G61" s="416">
        <v>11000000</v>
      </c>
      <c r="H61" s="416">
        <v>30443000</v>
      </c>
      <c r="I61" s="416">
        <v>9253000</v>
      </c>
      <c r="J61" s="416"/>
      <c r="K61" s="416">
        <v>6899000</v>
      </c>
      <c r="L61" s="416">
        <v>12957000</v>
      </c>
      <c r="M61" s="416">
        <v>14594000</v>
      </c>
      <c r="N61" s="416">
        <v>9699000</v>
      </c>
      <c r="O61" s="416">
        <v>197950200</v>
      </c>
      <c r="P61" s="416">
        <f>SUM(G61:O61)</f>
        <v>292795200</v>
      </c>
      <c r="Q61" s="416">
        <v>29983118.800000001</v>
      </c>
      <c r="R61" s="416">
        <v>29983118.800000001</v>
      </c>
      <c r="S61" s="416">
        <v>29983118.800000001</v>
      </c>
      <c r="T61" s="579">
        <f t="shared" si="41"/>
        <v>89949356.400000006</v>
      </c>
      <c r="U61" s="416">
        <f t="shared" si="42"/>
        <v>382744556.39999998</v>
      </c>
      <c r="V61" s="471">
        <f>U61/F61</f>
        <v>0.87974797517980863</v>
      </c>
      <c r="W61" s="416"/>
      <c r="X61" s="416"/>
      <c r="Y61" s="416"/>
      <c r="Z61" s="416"/>
      <c r="AA61" s="416"/>
      <c r="AB61" s="416"/>
      <c r="AC61" s="416"/>
      <c r="AD61" s="416"/>
      <c r="AE61" s="416"/>
      <c r="AF61" s="436"/>
      <c r="AG61" s="436"/>
      <c r="AO61" s="436"/>
      <c r="AS61" s="580"/>
    </row>
    <row r="62" spans="1:45">
      <c r="A62" s="404"/>
      <c r="B62" s="412"/>
      <c r="C62" s="413"/>
      <c r="D62" s="414">
        <v>5</v>
      </c>
      <c r="E62" s="418" t="s">
        <v>43</v>
      </c>
      <c r="F62" s="416">
        <v>412269212</v>
      </c>
      <c r="G62" s="416"/>
      <c r="H62" s="416">
        <v>38161310</v>
      </c>
      <c r="I62" s="416">
        <v>28798600</v>
      </c>
      <c r="J62" s="416"/>
      <c r="K62" s="416">
        <v>8940000</v>
      </c>
      <c r="L62" s="416">
        <v>51771000</v>
      </c>
      <c r="M62" s="416">
        <v>13917400</v>
      </c>
      <c r="N62" s="416">
        <v>8850000</v>
      </c>
      <c r="O62" s="416">
        <v>104617890</v>
      </c>
      <c r="P62" s="416">
        <f t="shared" ref="P62:P64" si="43">SUM(G62:O62)</f>
        <v>255056200</v>
      </c>
      <c r="Q62" s="416">
        <v>14136180.4</v>
      </c>
      <c r="R62" s="416">
        <v>14136180.4</v>
      </c>
      <c r="S62" s="416">
        <v>14136180.4</v>
      </c>
      <c r="T62" s="579">
        <f t="shared" si="41"/>
        <v>42408541.200000003</v>
      </c>
      <c r="U62" s="416">
        <f t="shared" si="42"/>
        <v>297464741.19999999</v>
      </c>
      <c r="V62" s="471">
        <f>U62/F62</f>
        <v>0.7215303314961099</v>
      </c>
      <c r="W62" s="416"/>
      <c r="X62" s="416"/>
      <c r="Y62" s="416"/>
      <c r="Z62" s="416"/>
      <c r="AA62" s="416"/>
      <c r="AB62" s="416"/>
      <c r="AC62" s="416"/>
      <c r="AD62" s="416"/>
      <c r="AE62" s="416"/>
      <c r="AF62" s="436"/>
      <c r="AG62" s="436"/>
      <c r="AO62" s="436"/>
      <c r="AS62" s="580"/>
    </row>
    <row r="63" spans="1:45">
      <c r="A63" s="404"/>
      <c r="B63" s="412"/>
      <c r="C63" s="413"/>
      <c r="D63" s="414">
        <v>6</v>
      </c>
      <c r="E63" s="418" t="s">
        <v>904</v>
      </c>
      <c r="F63" s="416">
        <v>220193455.55555552</v>
      </c>
      <c r="G63" s="416"/>
      <c r="H63" s="416"/>
      <c r="I63" s="416"/>
      <c r="J63" s="416"/>
      <c r="K63" s="416"/>
      <c r="L63" s="416"/>
      <c r="M63" s="416"/>
      <c r="N63" s="416"/>
      <c r="O63" s="416">
        <v>340791756</v>
      </c>
      <c r="P63" s="416">
        <f t="shared" si="43"/>
        <v>340791756</v>
      </c>
      <c r="Q63" s="416"/>
      <c r="R63" s="416"/>
      <c r="S63" s="416"/>
      <c r="T63" s="579">
        <f t="shared" si="41"/>
        <v>0</v>
      </c>
      <c r="U63" s="416">
        <f t="shared" si="42"/>
        <v>340791756</v>
      </c>
      <c r="V63" s="471">
        <f>U63/F63</f>
        <v>1.5476924831402046</v>
      </c>
      <c r="W63" s="416"/>
      <c r="X63" s="416"/>
      <c r="Y63" s="416"/>
      <c r="Z63" s="416"/>
      <c r="AA63" s="416"/>
      <c r="AB63" s="416"/>
      <c r="AC63" s="416"/>
      <c r="AD63" s="416"/>
      <c r="AE63" s="416"/>
      <c r="AF63" s="436"/>
      <c r="AG63" s="436"/>
    </row>
    <row r="64" spans="1:45">
      <c r="A64" s="404"/>
      <c r="B64" s="412"/>
      <c r="C64" s="413"/>
      <c r="D64" s="414">
        <v>7</v>
      </c>
      <c r="E64" s="418" t="s">
        <v>985</v>
      </c>
      <c r="F64" s="416">
        <v>85250000</v>
      </c>
      <c r="G64" s="416">
        <v>17649000</v>
      </c>
      <c r="H64" s="416"/>
      <c r="I64" s="416"/>
      <c r="J64" s="416">
        <v>68301630</v>
      </c>
      <c r="K64" s="416"/>
      <c r="L64" s="416"/>
      <c r="M64" s="416"/>
      <c r="N64" s="416"/>
      <c r="O64" s="416">
        <v>69500000</v>
      </c>
      <c r="P64" s="416">
        <f t="shared" si="43"/>
        <v>155450630</v>
      </c>
      <c r="Q64" s="416"/>
      <c r="R64" s="416"/>
      <c r="S64" s="416"/>
      <c r="T64" s="579">
        <f t="shared" si="41"/>
        <v>0</v>
      </c>
      <c r="U64" s="416">
        <f t="shared" si="42"/>
        <v>155450630</v>
      </c>
      <c r="V64" s="471">
        <f>U64/F64</f>
        <v>1.8234678005865104</v>
      </c>
      <c r="W64" s="416"/>
      <c r="X64" s="416"/>
      <c r="Y64" s="416"/>
      <c r="Z64" s="416"/>
      <c r="AA64" s="416"/>
      <c r="AB64" s="416"/>
      <c r="AC64" s="416"/>
      <c r="AD64" s="416"/>
      <c r="AE64" s="416">
        <f>[8]Prognosa!G48</f>
        <v>20548000</v>
      </c>
      <c r="AF64" s="436" t="e">
        <f>AE64-#REF!</f>
        <v>#REF!</v>
      </c>
      <c r="AG64" s="436">
        <v>-35307097.5</v>
      </c>
    </row>
    <row r="65" spans="1:46">
      <c r="A65" s="404"/>
      <c r="B65" s="412"/>
      <c r="C65" s="413"/>
      <c r="D65" s="414">
        <v>8</v>
      </c>
      <c r="E65" s="418" t="s">
        <v>986</v>
      </c>
      <c r="F65" s="416">
        <v>24900000</v>
      </c>
      <c r="G65" s="416"/>
      <c r="H65" s="416"/>
      <c r="I65" s="416"/>
      <c r="J65" s="416"/>
      <c r="K65" s="416"/>
      <c r="L65" s="416"/>
      <c r="M65" s="416"/>
      <c r="N65" s="416"/>
      <c r="O65" s="416">
        <v>0</v>
      </c>
      <c r="P65" s="416">
        <f>SUM(G65:O65)</f>
        <v>0</v>
      </c>
      <c r="Q65" s="416"/>
      <c r="R65" s="416"/>
      <c r="S65" s="416"/>
      <c r="T65" s="579">
        <f t="shared" si="41"/>
        <v>0</v>
      </c>
      <c r="U65" s="416">
        <f t="shared" si="42"/>
        <v>0</v>
      </c>
      <c r="V65" s="471">
        <f>U65/F65</f>
        <v>0</v>
      </c>
      <c r="W65" s="416"/>
      <c r="X65" s="416"/>
      <c r="Y65" s="416"/>
      <c r="Z65" s="416"/>
      <c r="AA65" s="416"/>
      <c r="AB65" s="416"/>
      <c r="AC65" s="416"/>
      <c r="AD65" s="416"/>
      <c r="AE65" s="416">
        <f>[8]Prognosa!G49</f>
        <v>0</v>
      </c>
      <c r="AF65" s="436" t="e">
        <f>AE65-#REF!</f>
        <v>#REF!</v>
      </c>
      <c r="AG65" s="436">
        <v>0</v>
      </c>
    </row>
    <row r="66" spans="1:46">
      <c r="A66" s="419"/>
      <c r="B66" s="420"/>
      <c r="C66" s="421"/>
      <c r="D66" s="422"/>
      <c r="E66" s="423" t="s">
        <v>905</v>
      </c>
      <c r="F66" s="424">
        <f>SUM(F58:F65)</f>
        <v>2273527811.7457471</v>
      </c>
      <c r="G66" s="424">
        <f t="shared" ref="G66" si="44">SUM(G58:G65)</f>
        <v>28649000</v>
      </c>
      <c r="H66" s="424">
        <f t="shared" ref="H66" si="45">SUM(H58:H65)</f>
        <v>100704310</v>
      </c>
      <c r="I66" s="424">
        <f t="shared" ref="I66" si="46">SUM(I58:I65)</f>
        <v>74313100</v>
      </c>
      <c r="J66" s="424">
        <f t="shared" ref="J66" si="47">SUM(J58:J65)</f>
        <v>104508790</v>
      </c>
      <c r="K66" s="424">
        <f t="shared" ref="K66" si="48">SUM(K58:K65)</f>
        <v>46102200</v>
      </c>
      <c r="L66" s="424">
        <f t="shared" ref="L66" si="49">SUM(L58:L65)</f>
        <v>94991200</v>
      </c>
      <c r="M66" s="424">
        <f t="shared" ref="M66" si="50">SUM(M58:M65)</f>
        <v>89037800</v>
      </c>
      <c r="N66" s="424">
        <f t="shared" ref="N66" si="51">SUM(N58:N65)</f>
        <v>30654280</v>
      </c>
      <c r="O66" s="424">
        <f t="shared" ref="O66:P66" si="52">SUM(O58:O65)</f>
        <v>1272133996</v>
      </c>
      <c r="P66" s="424">
        <f>SUM(P57:P65)</f>
        <v>1841094676</v>
      </c>
      <c r="Q66" s="424">
        <f t="shared" ref="Q66" si="53">SUM(Q58:Q65)</f>
        <v>68630799.200000003</v>
      </c>
      <c r="R66" s="424">
        <f t="shared" ref="R66" si="54">SUM(R58:R65)</f>
        <v>68630799.200000003</v>
      </c>
      <c r="S66" s="424">
        <f t="shared" ref="S66" si="55">SUM(S58:S65)</f>
        <v>68630799.200000003</v>
      </c>
      <c r="T66" s="424">
        <f t="shared" ref="T66" si="56">SUM(T58:T65)</f>
        <v>205892397.60000002</v>
      </c>
      <c r="U66" s="424">
        <f t="shared" ref="U66" si="57">SUM(U58:U65)</f>
        <v>2046987073.6000001</v>
      </c>
      <c r="V66" s="472">
        <f>U66/F66</f>
        <v>0.90035717312303487</v>
      </c>
      <c r="W66" s="424"/>
      <c r="X66" s="424"/>
      <c r="Y66" s="424"/>
      <c r="Z66" s="424"/>
      <c r="AA66" s="424"/>
      <c r="AB66" s="424"/>
      <c r="AC66" s="424"/>
      <c r="AD66" s="424"/>
      <c r="AE66" s="424">
        <f t="shared" ref="AE66:AF66" si="58">SUM(AE58:AE65)</f>
        <v>1120242800</v>
      </c>
      <c r="AF66" s="424" t="e">
        <f t="shared" si="58"/>
        <v>#REF!</v>
      </c>
      <c r="AG66" s="424">
        <v>164503365.83999991</v>
      </c>
      <c r="AP66" s="559"/>
      <c r="AQ66" s="472"/>
    </row>
    <row r="67" spans="1:46">
      <c r="A67" s="564"/>
      <c r="B67" s="565"/>
      <c r="C67" s="416"/>
      <c r="D67" s="566"/>
      <c r="E67" s="567"/>
      <c r="F67" s="417"/>
      <c r="G67" s="417"/>
      <c r="H67" s="417"/>
      <c r="I67" s="417"/>
      <c r="J67" s="417"/>
      <c r="K67" s="417"/>
      <c r="L67" s="417"/>
      <c r="M67" s="417"/>
      <c r="N67" s="568"/>
      <c r="O67" s="568"/>
      <c r="P67" s="416">
        <f t="shared" ref="P67:P70" si="59">SUM(G67:O67)</f>
        <v>0</v>
      </c>
      <c r="Q67" s="568"/>
      <c r="R67" s="568"/>
      <c r="S67" s="568"/>
      <c r="T67" s="579">
        <f t="shared" ref="T67:T75" si="60">SUM(Q67:S67)</f>
        <v>0</v>
      </c>
      <c r="U67" s="416">
        <f t="shared" ref="U67:U75" si="61">P67+T67</f>
        <v>0</v>
      </c>
      <c r="V67" s="569"/>
      <c r="W67" s="568"/>
      <c r="X67" s="568"/>
      <c r="Y67" s="568"/>
      <c r="Z67" s="568"/>
      <c r="AA67" s="568"/>
      <c r="AB67" s="568"/>
      <c r="AC67" s="568"/>
      <c r="AD67" s="568"/>
      <c r="AE67" s="568"/>
      <c r="AF67" s="570"/>
      <c r="AG67" s="570"/>
      <c r="AP67" s="571"/>
      <c r="AQ67" s="572"/>
    </row>
    <row r="68" spans="1:46">
      <c r="A68" s="404"/>
      <c r="B68" s="412">
        <v>7</v>
      </c>
      <c r="C68" s="413" t="s">
        <v>979</v>
      </c>
      <c r="D68" s="414">
        <v>1</v>
      </c>
      <c r="E68" s="415" t="s">
        <v>902</v>
      </c>
      <c r="F68" s="416">
        <v>189001140</v>
      </c>
      <c r="G68" s="416"/>
      <c r="H68" s="416"/>
      <c r="I68" s="416"/>
      <c r="J68" s="416"/>
      <c r="K68" s="416"/>
      <c r="L68" s="416">
        <v>12105280</v>
      </c>
      <c r="M68" s="416">
        <v>12105280</v>
      </c>
      <c r="N68" s="416">
        <v>12105280</v>
      </c>
      <c r="O68" s="416">
        <v>0</v>
      </c>
      <c r="P68" s="416">
        <f t="shared" si="59"/>
        <v>36315840</v>
      </c>
      <c r="Q68" s="416">
        <v>12105280</v>
      </c>
      <c r="R68" s="416">
        <v>30958116</v>
      </c>
      <c r="S68" s="416">
        <v>12105280</v>
      </c>
      <c r="T68" s="579">
        <f t="shared" si="60"/>
        <v>55168676</v>
      </c>
      <c r="U68" s="416">
        <f t="shared" si="61"/>
        <v>91484516</v>
      </c>
      <c r="V68" s="471">
        <f>U68/F68</f>
        <v>0.48404213858180961</v>
      </c>
      <c r="W68" s="416"/>
      <c r="X68" s="416"/>
      <c r="Y68" s="416"/>
      <c r="Z68" s="416"/>
      <c r="AA68" s="416"/>
      <c r="AB68" s="416"/>
      <c r="AC68" s="416"/>
      <c r="AD68" s="416"/>
      <c r="AE68" s="416">
        <f>[8]Prognosa!G53</f>
        <v>0</v>
      </c>
      <c r="AF68" s="436" t="e">
        <f>AE68-#REF!</f>
        <v>#REF!</v>
      </c>
      <c r="AG68" s="436">
        <v>7602610</v>
      </c>
      <c r="AO68" s="436"/>
      <c r="AS68" s="436"/>
    </row>
    <row r="69" spans="1:46">
      <c r="A69" s="404"/>
      <c r="B69" s="412"/>
      <c r="C69" s="413"/>
      <c r="D69" s="414">
        <v>2</v>
      </c>
      <c r="E69" s="415" t="s">
        <v>987</v>
      </c>
      <c r="F69" s="416"/>
      <c r="G69" s="416"/>
      <c r="H69" s="416"/>
      <c r="I69" s="416"/>
      <c r="J69" s="416"/>
      <c r="K69" s="416"/>
      <c r="L69" s="416"/>
      <c r="M69" s="416"/>
      <c r="N69" s="416"/>
      <c r="O69" s="416"/>
      <c r="P69" s="416">
        <f t="shared" si="59"/>
        <v>0</v>
      </c>
      <c r="Q69" s="416"/>
      <c r="R69" s="416"/>
      <c r="S69" s="416"/>
      <c r="T69" s="579">
        <f t="shared" si="60"/>
        <v>0</v>
      </c>
      <c r="U69" s="416">
        <f t="shared" si="61"/>
        <v>0</v>
      </c>
      <c r="V69" s="471" t="e">
        <f>U69/F69</f>
        <v>#DIV/0!</v>
      </c>
      <c r="W69" s="416"/>
      <c r="X69" s="416"/>
      <c r="Y69" s="416"/>
      <c r="Z69" s="416"/>
      <c r="AA69" s="416"/>
      <c r="AB69" s="416"/>
      <c r="AC69" s="416"/>
      <c r="AD69" s="416"/>
      <c r="AE69" s="416">
        <f>[8]Prognosa!G54</f>
        <v>0</v>
      </c>
      <c r="AF69" s="436" t="e">
        <f>AE69-#REF!</f>
        <v>#REF!</v>
      </c>
      <c r="AG69" s="436">
        <v>634775737.33999991</v>
      </c>
      <c r="AO69" s="436"/>
      <c r="AS69" s="436"/>
    </row>
    <row r="70" spans="1:46">
      <c r="A70" s="404"/>
      <c r="B70" s="412"/>
      <c r="C70" s="413"/>
      <c r="D70" s="414">
        <v>3</v>
      </c>
      <c r="E70" s="418" t="s">
        <v>903</v>
      </c>
      <c r="F70" s="416">
        <v>1002326052</v>
      </c>
      <c r="G70" s="416"/>
      <c r="H70" s="416">
        <v>64256388</v>
      </c>
      <c r="I70" s="416"/>
      <c r="J70" s="416"/>
      <c r="K70" s="416"/>
      <c r="L70" s="416"/>
      <c r="M70" s="416"/>
      <c r="N70" s="416"/>
      <c r="O70" s="416"/>
      <c r="P70" s="416">
        <f t="shared" si="59"/>
        <v>64256388</v>
      </c>
      <c r="Q70" s="416">
        <f>1002326052*90%</f>
        <v>902093446.80000007</v>
      </c>
      <c r="R70" s="416"/>
      <c r="S70" s="416"/>
      <c r="T70" s="579">
        <f t="shared" si="60"/>
        <v>902093446.80000007</v>
      </c>
      <c r="U70" s="416">
        <f t="shared" si="61"/>
        <v>966349834.80000007</v>
      </c>
      <c r="V70" s="471">
        <f>U70/F70</f>
        <v>0.96410727115371841</v>
      </c>
      <c r="W70" s="416"/>
      <c r="X70" s="416"/>
      <c r="Y70" s="416"/>
      <c r="Z70" s="416"/>
      <c r="AA70" s="416"/>
      <c r="AB70" s="416"/>
      <c r="AC70" s="416"/>
      <c r="AD70" s="416"/>
      <c r="AE70" s="416">
        <f>[8]Prognosa!G55</f>
        <v>0</v>
      </c>
      <c r="AF70" s="436" t="e">
        <f>AE70-#REF!</f>
        <v>#REF!</v>
      </c>
      <c r="AG70" s="436">
        <v>-86896650</v>
      </c>
      <c r="AO70" s="436"/>
      <c r="AS70" s="436"/>
    </row>
    <row r="71" spans="1:46">
      <c r="A71" s="404"/>
      <c r="B71" s="412"/>
      <c r="C71" s="413"/>
      <c r="D71" s="414">
        <v>4</v>
      </c>
      <c r="E71" s="418" t="s">
        <v>32</v>
      </c>
      <c r="F71" s="416">
        <v>425454753.25</v>
      </c>
      <c r="G71" s="416"/>
      <c r="H71" s="416">
        <v>61018200</v>
      </c>
      <c r="I71" s="416">
        <v>8299000</v>
      </c>
      <c r="J71" s="416">
        <v>0</v>
      </c>
      <c r="K71" s="416">
        <v>4997000</v>
      </c>
      <c r="L71" s="416">
        <v>13182000</v>
      </c>
      <c r="M71" s="416">
        <v>15724000</v>
      </c>
      <c r="N71" s="416">
        <v>8590000</v>
      </c>
      <c r="O71" s="416">
        <v>0</v>
      </c>
      <c r="P71" s="416">
        <f>SUM(G71:O71)</f>
        <v>111810200</v>
      </c>
      <c r="Q71" s="416">
        <v>224446910.65000001</v>
      </c>
      <c r="R71" s="416">
        <v>18446910.649999999</v>
      </c>
      <c r="S71" s="416">
        <v>18446910.649999999</v>
      </c>
      <c r="T71" s="579">
        <f t="shared" si="60"/>
        <v>261340731.95000002</v>
      </c>
      <c r="U71" s="416">
        <f t="shared" si="61"/>
        <v>373150931.95000005</v>
      </c>
      <c r="V71" s="471">
        <f>U71/F71</f>
        <v>0.87706372792768894</v>
      </c>
      <c r="W71" s="416"/>
      <c r="X71" s="416"/>
      <c r="Y71" s="416"/>
      <c r="Z71" s="416"/>
      <c r="AA71" s="416"/>
      <c r="AB71" s="416"/>
      <c r="AC71" s="416"/>
      <c r="AD71" s="416"/>
      <c r="AE71" s="416"/>
      <c r="AF71" s="436"/>
      <c r="AG71" s="436"/>
      <c r="AO71" s="436"/>
      <c r="AS71" s="436"/>
    </row>
    <row r="72" spans="1:46">
      <c r="A72" s="404"/>
      <c r="B72" s="412"/>
      <c r="C72" s="413"/>
      <c r="D72" s="414">
        <v>5</v>
      </c>
      <c r="E72" s="418" t="s">
        <v>43</v>
      </c>
      <c r="F72" s="416">
        <v>465835904</v>
      </c>
      <c r="G72" s="416"/>
      <c r="H72" s="416">
        <v>26585000</v>
      </c>
      <c r="I72" s="416">
        <v>38485300</v>
      </c>
      <c r="J72" s="416">
        <v>1680000</v>
      </c>
      <c r="K72" s="416">
        <v>1335000</v>
      </c>
      <c r="L72" s="416">
        <v>84897000</v>
      </c>
      <c r="M72" s="416">
        <v>19201100</v>
      </c>
      <c r="N72" s="416">
        <v>12150000</v>
      </c>
      <c r="O72" s="416">
        <v>0</v>
      </c>
      <c r="P72" s="416">
        <f t="shared" ref="P72:P74" si="62">SUM(G72:O72)</f>
        <v>184333400</v>
      </c>
      <c r="Q72" s="416">
        <v>218730500.80000001</v>
      </c>
      <c r="R72" s="416">
        <v>15730500.800000001</v>
      </c>
      <c r="S72" s="416">
        <v>15730500.800000001</v>
      </c>
      <c r="T72" s="579">
        <f t="shared" si="60"/>
        <v>250191502.40000004</v>
      </c>
      <c r="U72" s="416">
        <f t="shared" si="61"/>
        <v>434524902.40000004</v>
      </c>
      <c r="V72" s="471">
        <f>U72/F72</f>
        <v>0.93278534065077134</v>
      </c>
      <c r="W72" s="416"/>
      <c r="X72" s="416"/>
      <c r="Y72" s="416"/>
      <c r="Z72" s="416"/>
      <c r="AA72" s="416"/>
      <c r="AB72" s="416"/>
      <c r="AC72" s="416"/>
      <c r="AD72" s="416"/>
      <c r="AE72" s="416"/>
      <c r="AF72" s="436"/>
      <c r="AG72" s="436"/>
      <c r="AO72" s="436"/>
      <c r="AS72" s="436"/>
    </row>
    <row r="73" spans="1:46">
      <c r="A73" s="404"/>
      <c r="B73" s="412"/>
      <c r="C73" s="413"/>
      <c r="D73" s="414">
        <v>6</v>
      </c>
      <c r="E73" s="418" t="s">
        <v>904</v>
      </c>
      <c r="F73" s="416">
        <v>219830585.55555555</v>
      </c>
      <c r="G73" s="416"/>
      <c r="H73" s="416"/>
      <c r="I73" s="416"/>
      <c r="J73" s="416"/>
      <c r="K73" s="416"/>
      <c r="L73" s="416"/>
      <c r="M73" s="416"/>
      <c r="N73" s="416"/>
      <c r="O73" s="416"/>
      <c r="P73" s="416">
        <f t="shared" si="62"/>
        <v>0</v>
      </c>
      <c r="Q73" s="416">
        <v>168000000</v>
      </c>
      <c r="R73" s="416"/>
      <c r="S73" s="416"/>
      <c r="T73" s="579">
        <f t="shared" si="60"/>
        <v>168000000</v>
      </c>
      <c r="U73" s="416">
        <f t="shared" si="61"/>
        <v>168000000</v>
      </c>
      <c r="V73" s="471">
        <f>U73/F73</f>
        <v>0.76422486696030323</v>
      </c>
      <c r="W73" s="416"/>
      <c r="X73" s="416"/>
      <c r="Y73" s="416"/>
      <c r="Z73" s="416"/>
      <c r="AA73" s="416"/>
      <c r="AB73" s="416"/>
      <c r="AC73" s="416"/>
      <c r="AD73" s="416"/>
      <c r="AE73" s="416"/>
      <c r="AF73" s="436"/>
      <c r="AG73" s="436"/>
      <c r="AO73" s="436"/>
      <c r="AS73" s="436"/>
    </row>
    <row r="74" spans="1:46">
      <c r="A74" s="404"/>
      <c r="B74" s="412"/>
      <c r="C74" s="413"/>
      <c r="D74" s="414">
        <v>7</v>
      </c>
      <c r="E74" s="418" t="s">
        <v>985</v>
      </c>
      <c r="F74" s="416">
        <v>87450000</v>
      </c>
      <c r="G74" s="416"/>
      <c r="H74" s="416">
        <v>42069000</v>
      </c>
      <c r="I74" s="416"/>
      <c r="J74" s="416">
        <v>99401055</v>
      </c>
      <c r="K74" s="416">
        <v>15401250</v>
      </c>
      <c r="L74" s="416">
        <v>55500000</v>
      </c>
      <c r="M74" s="416"/>
      <c r="N74" s="416"/>
      <c r="O74" s="416"/>
      <c r="P74" s="416">
        <f t="shared" si="62"/>
        <v>212371305</v>
      </c>
      <c r="Q74" s="416">
        <v>37450000</v>
      </c>
      <c r="R74" s="416"/>
      <c r="S74" s="416"/>
      <c r="T74" s="579">
        <f t="shared" si="60"/>
        <v>37450000</v>
      </c>
      <c r="U74" s="416">
        <f t="shared" si="61"/>
        <v>249821305</v>
      </c>
      <c r="V74" s="471">
        <f>U74/F74</f>
        <v>2.8567330474556889</v>
      </c>
      <c r="W74" s="416"/>
      <c r="X74" s="416"/>
      <c r="Y74" s="416"/>
      <c r="Z74" s="416"/>
      <c r="AA74" s="416"/>
      <c r="AB74" s="416"/>
      <c r="AC74" s="416"/>
      <c r="AD74" s="416"/>
      <c r="AE74" s="416">
        <f>[8]Prognosa!G56</f>
        <v>0</v>
      </c>
      <c r="AF74" s="436" t="e">
        <f>AE74-#REF!</f>
        <v>#REF!</v>
      </c>
      <c r="AG74" s="436">
        <v>-35307097.5</v>
      </c>
      <c r="AO74" s="436"/>
      <c r="AS74" s="436"/>
    </row>
    <row r="75" spans="1:46">
      <c r="A75" s="404"/>
      <c r="B75" s="412"/>
      <c r="C75" s="413"/>
      <c r="D75" s="414">
        <v>8</v>
      </c>
      <c r="E75" s="418" t="s">
        <v>986</v>
      </c>
      <c r="F75" s="416">
        <v>28750000</v>
      </c>
      <c r="G75" s="416"/>
      <c r="H75" s="416"/>
      <c r="I75" s="416"/>
      <c r="J75" s="416"/>
      <c r="K75" s="416"/>
      <c r="L75" s="416"/>
      <c r="M75" s="416"/>
      <c r="N75" s="416"/>
      <c r="O75" s="416"/>
      <c r="P75" s="416">
        <f>SUM(G75:O75)</f>
        <v>0</v>
      </c>
      <c r="Q75" s="416">
        <v>28750000</v>
      </c>
      <c r="R75" s="416"/>
      <c r="S75" s="416"/>
      <c r="T75" s="579">
        <f t="shared" si="60"/>
        <v>28750000</v>
      </c>
      <c r="U75" s="416">
        <f t="shared" si="61"/>
        <v>28750000</v>
      </c>
      <c r="V75" s="471">
        <f>U75/F75</f>
        <v>1</v>
      </c>
      <c r="W75" s="416"/>
      <c r="X75" s="416"/>
      <c r="Y75" s="416"/>
      <c r="Z75" s="416"/>
      <c r="AA75" s="416"/>
      <c r="AB75" s="416"/>
      <c r="AC75" s="416"/>
      <c r="AD75" s="416"/>
      <c r="AE75" s="416">
        <f>[8]Prognosa!G57</f>
        <v>0</v>
      </c>
      <c r="AF75" s="436" t="e">
        <f>AE75-#REF!</f>
        <v>#REF!</v>
      </c>
      <c r="AG75" s="436">
        <v>0</v>
      </c>
      <c r="AO75" s="436"/>
      <c r="AS75" s="436"/>
    </row>
    <row r="76" spans="1:46">
      <c r="A76" s="419"/>
      <c r="B76" s="420"/>
      <c r="C76" s="421"/>
      <c r="D76" s="422"/>
      <c r="E76" s="423" t="s">
        <v>905</v>
      </c>
      <c r="F76" s="424">
        <f>SUM(F68:F75)</f>
        <v>2418648434.8055553</v>
      </c>
      <c r="G76" s="424">
        <f t="shared" ref="G76" si="63">SUM(G68:G75)</f>
        <v>0</v>
      </c>
      <c r="H76" s="424">
        <f t="shared" ref="H76" si="64">SUM(H68:H75)</f>
        <v>193928588</v>
      </c>
      <c r="I76" s="424">
        <f t="shared" ref="I76" si="65">SUM(I68:I75)</f>
        <v>46784300</v>
      </c>
      <c r="J76" s="424">
        <f t="shared" ref="J76" si="66">SUM(J68:J75)</f>
        <v>101081055</v>
      </c>
      <c r="K76" s="424">
        <f t="shared" ref="K76" si="67">SUM(K68:K75)</f>
        <v>21733250</v>
      </c>
      <c r="L76" s="424">
        <f t="shared" ref="L76" si="68">SUM(L68:L75)</f>
        <v>165684280</v>
      </c>
      <c r="M76" s="424">
        <f t="shared" ref="M76" si="69">SUM(M68:M75)</f>
        <v>47030380</v>
      </c>
      <c r="N76" s="424">
        <f t="shared" ref="N76" si="70">SUM(N68:N75)</f>
        <v>32845280</v>
      </c>
      <c r="O76" s="424">
        <f t="shared" ref="O76" si="71">SUM(O68:O75)</f>
        <v>0</v>
      </c>
      <c r="P76" s="424">
        <f>SUM(P67:P75)</f>
        <v>609087133</v>
      </c>
      <c r="Q76" s="424">
        <f t="shared" ref="Q76" si="72">SUM(Q68:Q75)</f>
        <v>1591576138.25</v>
      </c>
      <c r="R76" s="424">
        <f t="shared" ref="R76" si="73">SUM(R68:R75)</f>
        <v>65135527.450000003</v>
      </c>
      <c r="S76" s="424">
        <f t="shared" ref="S76" si="74">SUM(S68:S75)</f>
        <v>46282691.450000003</v>
      </c>
      <c r="T76" s="424">
        <f t="shared" ref="T76" si="75">SUM(T68:T75)</f>
        <v>1702994357.1500001</v>
      </c>
      <c r="U76" s="424">
        <f t="shared" ref="U76" si="76">SUM(U68:U75)</f>
        <v>2312081490.1500001</v>
      </c>
      <c r="V76" s="472">
        <f>U76/F76</f>
        <v>0.95593946473493052</v>
      </c>
      <c r="W76" s="424"/>
      <c r="X76" s="424"/>
      <c r="Y76" s="424"/>
      <c r="Z76" s="424"/>
      <c r="AA76" s="424"/>
      <c r="AB76" s="424"/>
      <c r="AC76" s="424"/>
      <c r="AD76" s="424"/>
      <c r="AE76" s="424">
        <f t="shared" ref="AE76:AF76" si="77">SUM(AE68:AE75)</f>
        <v>0</v>
      </c>
      <c r="AF76" s="424" t="e">
        <f t="shared" si="77"/>
        <v>#REF!</v>
      </c>
      <c r="AG76" s="424">
        <v>164503365.83999991</v>
      </c>
      <c r="AP76" s="559"/>
      <c r="AQ76" s="472"/>
    </row>
    <row r="77" spans="1:46">
      <c r="A77" s="564"/>
      <c r="B77" s="565"/>
      <c r="C77" s="416"/>
      <c r="D77" s="566"/>
      <c r="E77" s="567"/>
      <c r="F77" s="417"/>
      <c r="G77" s="417"/>
      <c r="H77" s="417"/>
      <c r="I77" s="417"/>
      <c r="J77" s="417"/>
      <c r="K77" s="417"/>
      <c r="L77" s="417"/>
      <c r="M77" s="417"/>
      <c r="N77" s="568"/>
      <c r="O77" s="568"/>
      <c r="P77" s="416">
        <f t="shared" ref="P77:P80" si="78">SUM(G77:O77)</f>
        <v>0</v>
      </c>
      <c r="Q77" s="568"/>
      <c r="R77" s="568"/>
      <c r="S77" s="568"/>
      <c r="T77" s="579">
        <f t="shared" ref="T77:T85" si="79">SUM(Q77:S77)</f>
        <v>0</v>
      </c>
      <c r="U77" s="416">
        <f t="shared" ref="U77:U85" si="80">P77+T77</f>
        <v>0</v>
      </c>
      <c r="V77" s="569"/>
      <c r="W77" s="568"/>
      <c r="X77" s="568"/>
      <c r="Y77" s="568"/>
      <c r="Z77" s="568"/>
      <c r="AA77" s="568"/>
      <c r="AB77" s="568"/>
      <c r="AC77" s="568"/>
      <c r="AD77" s="568"/>
      <c r="AE77" s="568"/>
      <c r="AF77" s="570"/>
      <c r="AG77" s="570"/>
      <c r="AP77" s="571"/>
      <c r="AQ77" s="572"/>
    </row>
    <row r="78" spans="1:46">
      <c r="A78" s="404"/>
      <c r="B78" s="412">
        <v>8</v>
      </c>
      <c r="C78" s="413" t="s">
        <v>980</v>
      </c>
      <c r="D78" s="414">
        <v>1</v>
      </c>
      <c r="E78" s="415" t="s">
        <v>902</v>
      </c>
      <c r="F78" s="416">
        <v>142470809.56937802</v>
      </c>
      <c r="G78" s="416"/>
      <c r="H78" s="416">
        <v>19260000</v>
      </c>
      <c r="I78" s="416">
        <v>18157920</v>
      </c>
      <c r="J78" s="416">
        <v>18103580</v>
      </c>
      <c r="K78" s="416">
        <v>18157920</v>
      </c>
      <c r="L78" s="416">
        <v>18157920</v>
      </c>
      <c r="M78" s="416">
        <v>36315840</v>
      </c>
      <c r="N78" s="416">
        <v>18157920</v>
      </c>
      <c r="O78" s="416">
        <v>18157920</v>
      </c>
      <c r="P78" s="416">
        <f t="shared" si="78"/>
        <v>164469020</v>
      </c>
      <c r="Q78" s="416">
        <v>18157920</v>
      </c>
      <c r="R78" s="416">
        <v>18157920</v>
      </c>
      <c r="S78" s="416">
        <v>18157920</v>
      </c>
      <c r="T78" s="579">
        <f t="shared" si="79"/>
        <v>54473760</v>
      </c>
      <c r="U78" s="416">
        <f t="shared" si="80"/>
        <v>218942780</v>
      </c>
      <c r="V78" s="471">
        <f>U78/F78</f>
        <v>1.5367553582503015</v>
      </c>
      <c r="W78" s="416"/>
      <c r="X78" s="416"/>
      <c r="Y78" s="416"/>
      <c r="Z78" s="416"/>
      <c r="AA78" s="416"/>
      <c r="AB78" s="416"/>
      <c r="AC78" s="416"/>
      <c r="AD78" s="416"/>
      <c r="AE78" s="416">
        <f>[8]Prognosa!G61</f>
        <v>0</v>
      </c>
      <c r="AF78" s="436" t="e">
        <f>AE78-#REF!</f>
        <v>#REF!</v>
      </c>
      <c r="AG78" s="436">
        <v>7602610</v>
      </c>
      <c r="AO78" s="436"/>
      <c r="AT78" s="436"/>
    </row>
    <row r="79" spans="1:46">
      <c r="A79" s="404"/>
      <c r="B79" s="412"/>
      <c r="C79" s="413"/>
      <c r="D79" s="414">
        <v>2</v>
      </c>
      <c r="E79" s="415" t="s">
        <v>987</v>
      </c>
      <c r="F79" s="416"/>
      <c r="G79" s="416"/>
      <c r="H79" s="416"/>
      <c r="I79" s="416"/>
      <c r="J79" s="416"/>
      <c r="K79" s="416"/>
      <c r="L79" s="416"/>
      <c r="M79" s="416"/>
      <c r="N79" s="416"/>
      <c r="O79" s="416"/>
      <c r="P79" s="416">
        <f t="shared" si="78"/>
        <v>0</v>
      </c>
      <c r="Q79" s="416"/>
      <c r="R79" s="416"/>
      <c r="S79" s="416"/>
      <c r="T79" s="579">
        <f t="shared" si="79"/>
        <v>0</v>
      </c>
      <c r="U79" s="416">
        <f t="shared" si="80"/>
        <v>0</v>
      </c>
      <c r="V79" s="471" t="e">
        <f>U79/F79</f>
        <v>#DIV/0!</v>
      </c>
      <c r="W79" s="416"/>
      <c r="X79" s="416"/>
      <c r="Y79" s="416"/>
      <c r="Z79" s="416"/>
      <c r="AA79" s="416"/>
      <c r="AB79" s="416"/>
      <c r="AC79" s="416"/>
      <c r="AD79" s="416"/>
      <c r="AE79" s="416">
        <f>[8]Prognosa!G62</f>
        <v>0</v>
      </c>
      <c r="AF79" s="436" t="e">
        <f>AE79-#REF!</f>
        <v>#REF!</v>
      </c>
      <c r="AG79" s="436">
        <v>634775737.33999991</v>
      </c>
      <c r="AO79" s="436"/>
    </row>
    <row r="80" spans="1:46">
      <c r="A80" s="404"/>
      <c r="B80" s="412"/>
      <c r="C80" s="413"/>
      <c r="D80" s="414">
        <v>3</v>
      </c>
      <c r="E80" s="418" t="s">
        <v>903</v>
      </c>
      <c r="F80" s="416">
        <v>893617924.79999995</v>
      </c>
      <c r="G80" s="416"/>
      <c r="H80" s="416"/>
      <c r="I80" s="416"/>
      <c r="J80" s="416"/>
      <c r="K80" s="416"/>
      <c r="L80" s="416"/>
      <c r="M80" s="416"/>
      <c r="N80" s="416"/>
      <c r="O80" s="416">
        <v>541639300</v>
      </c>
      <c r="P80" s="416">
        <f t="shared" si="78"/>
        <v>541639300</v>
      </c>
      <c r="Q80" s="416"/>
      <c r="R80" s="416"/>
      <c r="S80" s="416"/>
      <c r="T80" s="579">
        <f t="shared" si="79"/>
        <v>0</v>
      </c>
      <c r="U80" s="416">
        <f t="shared" si="80"/>
        <v>541639300</v>
      </c>
      <c r="V80" s="471">
        <f>U80/F80</f>
        <v>0.60611955620879465</v>
      </c>
      <c r="W80" s="416"/>
      <c r="X80" s="416"/>
      <c r="Y80" s="416"/>
      <c r="Z80" s="416"/>
      <c r="AA80" s="416"/>
      <c r="AB80" s="416"/>
      <c r="AC80" s="416"/>
      <c r="AD80" s="416"/>
      <c r="AE80" s="416">
        <f>[8]Prognosa!G63</f>
        <v>0</v>
      </c>
      <c r="AF80" s="436" t="e">
        <f>AE80-#REF!</f>
        <v>#REF!</v>
      </c>
      <c r="AG80" s="436">
        <v>-86896650</v>
      </c>
      <c r="AO80" s="436"/>
    </row>
    <row r="81" spans="1:45">
      <c r="A81" s="404"/>
      <c r="B81" s="412"/>
      <c r="C81" s="413"/>
      <c r="D81" s="414">
        <v>4</v>
      </c>
      <c r="E81" s="418" t="s">
        <v>32</v>
      </c>
      <c r="F81" s="416">
        <v>358126315</v>
      </c>
      <c r="G81" s="416">
        <v>0</v>
      </c>
      <c r="H81" s="416">
        <v>11129000</v>
      </c>
      <c r="I81" s="416">
        <v>7883000</v>
      </c>
      <c r="J81" s="416">
        <v>0</v>
      </c>
      <c r="K81" s="416">
        <v>4092000</v>
      </c>
      <c r="L81" s="416">
        <v>17726000</v>
      </c>
      <c r="M81" s="416">
        <v>8109000</v>
      </c>
      <c r="N81" s="416">
        <v>4895000</v>
      </c>
      <c r="O81" s="416">
        <v>132978500</v>
      </c>
      <c r="P81" s="416">
        <f>SUM(G81:O81)</f>
        <v>186812500</v>
      </c>
      <c r="Q81" s="416">
        <v>13000000</v>
      </c>
      <c r="R81" s="416">
        <v>13000000</v>
      </c>
      <c r="S81" s="416">
        <v>13000000</v>
      </c>
      <c r="T81" s="579">
        <f t="shared" si="79"/>
        <v>39000000</v>
      </c>
      <c r="U81" s="416">
        <f t="shared" si="80"/>
        <v>225812500</v>
      </c>
      <c r="V81" s="471">
        <f>U81/F81</f>
        <v>0.63053869693993303</v>
      </c>
      <c r="W81" s="416"/>
      <c r="X81" s="416"/>
      <c r="Y81" s="416"/>
      <c r="Z81" s="416"/>
      <c r="AA81" s="416"/>
      <c r="AB81" s="416"/>
      <c r="AC81" s="416"/>
      <c r="AD81" s="416"/>
      <c r="AE81" s="416"/>
      <c r="AF81" s="436"/>
      <c r="AG81" s="436"/>
      <c r="AO81" s="436"/>
    </row>
    <row r="82" spans="1:45">
      <c r="A82" s="404"/>
      <c r="B82" s="412"/>
      <c r="C82" s="413"/>
      <c r="D82" s="414">
        <v>5</v>
      </c>
      <c r="E82" s="418" t="s">
        <v>43</v>
      </c>
      <c r="F82" s="416">
        <v>419962216</v>
      </c>
      <c r="G82" s="416">
        <v>47150000</v>
      </c>
      <c r="H82" s="416">
        <v>8686500</v>
      </c>
      <c r="I82" s="416">
        <v>13125000</v>
      </c>
      <c r="J82" s="416">
        <v>0</v>
      </c>
      <c r="K82" s="416">
        <v>7803144</v>
      </c>
      <c r="L82" s="416">
        <v>10309000</v>
      </c>
      <c r="M82" s="416">
        <v>21457800</v>
      </c>
      <c r="N82" s="416">
        <v>10775000</v>
      </c>
      <c r="O82" s="416">
        <v>10880000</v>
      </c>
      <c r="P82" s="416">
        <f t="shared" ref="P82:P84" si="81">SUM(G82:O82)</f>
        <v>130186444</v>
      </c>
      <c r="Q82" s="416">
        <v>12183911.3999916</v>
      </c>
      <c r="R82" s="416">
        <v>12183911.3999916</v>
      </c>
      <c r="S82" s="416">
        <v>12183911.3999916</v>
      </c>
      <c r="T82" s="579">
        <f t="shared" si="79"/>
        <v>36551734.199974798</v>
      </c>
      <c r="U82" s="416">
        <f t="shared" si="80"/>
        <v>166738178.19997481</v>
      </c>
      <c r="V82" s="471">
        <f>U82/F82</f>
        <v>0.39703138008009464</v>
      </c>
      <c r="W82" s="416"/>
      <c r="X82" s="416"/>
      <c r="Y82" s="416"/>
      <c r="Z82" s="416"/>
      <c r="AA82" s="416"/>
      <c r="AB82" s="416"/>
      <c r="AC82" s="416"/>
      <c r="AD82" s="416"/>
      <c r="AE82" s="416"/>
      <c r="AF82" s="436"/>
      <c r="AG82" s="436"/>
      <c r="AO82" s="436"/>
    </row>
    <row r="83" spans="1:45">
      <c r="A83" s="404"/>
      <c r="B83" s="412"/>
      <c r="C83" s="413"/>
      <c r="D83" s="414">
        <v>6</v>
      </c>
      <c r="E83" s="418" t="s">
        <v>904</v>
      </c>
      <c r="F83" s="416">
        <v>189151956.19047618</v>
      </c>
      <c r="G83" s="416"/>
      <c r="H83" s="416"/>
      <c r="I83" s="416"/>
      <c r="J83" s="416"/>
      <c r="K83" s="416"/>
      <c r="L83" s="416"/>
      <c r="M83" s="416"/>
      <c r="N83" s="416"/>
      <c r="O83" s="416">
        <v>204709840</v>
      </c>
      <c r="P83" s="416">
        <f t="shared" si="81"/>
        <v>204709840</v>
      </c>
      <c r="Q83" s="416"/>
      <c r="R83" s="416"/>
      <c r="S83" s="416"/>
      <c r="T83" s="579">
        <f t="shared" si="79"/>
        <v>0</v>
      </c>
      <c r="U83" s="416">
        <f t="shared" si="80"/>
        <v>204709840</v>
      </c>
      <c r="V83" s="471">
        <f>U83/F83</f>
        <v>1.0822507158945638</v>
      </c>
      <c r="W83" s="416"/>
      <c r="X83" s="416"/>
      <c r="Y83" s="416"/>
      <c r="Z83" s="416"/>
      <c r="AA83" s="416"/>
      <c r="AB83" s="416"/>
      <c r="AC83" s="416"/>
      <c r="AD83" s="416"/>
      <c r="AE83" s="416"/>
      <c r="AF83" s="436"/>
      <c r="AG83" s="436"/>
      <c r="AO83" s="436"/>
    </row>
    <row r="84" spans="1:45">
      <c r="A84" s="404"/>
      <c r="B84" s="412"/>
      <c r="C84" s="413"/>
      <c r="D84" s="414">
        <v>7</v>
      </c>
      <c r="E84" s="418" t="s">
        <v>985</v>
      </c>
      <c r="F84" s="416">
        <v>83600000</v>
      </c>
      <c r="G84" s="416"/>
      <c r="H84" s="416"/>
      <c r="I84" s="416"/>
      <c r="J84" s="416">
        <v>30108750</v>
      </c>
      <c r="K84" s="416"/>
      <c r="L84" s="416"/>
      <c r="M84" s="416"/>
      <c r="N84" s="416"/>
      <c r="O84" s="416">
        <v>63825000</v>
      </c>
      <c r="P84" s="416">
        <f t="shared" si="81"/>
        <v>93933750</v>
      </c>
      <c r="Q84" s="416"/>
      <c r="R84" s="416"/>
      <c r="S84" s="416"/>
      <c r="T84" s="579">
        <f t="shared" si="79"/>
        <v>0</v>
      </c>
      <c r="U84" s="416">
        <f t="shared" si="80"/>
        <v>93933750</v>
      </c>
      <c r="V84" s="471">
        <f>U84/F84</f>
        <v>1.1236094497607656</v>
      </c>
      <c r="W84" s="416"/>
      <c r="X84" s="416"/>
      <c r="Y84" s="416"/>
      <c r="Z84" s="416"/>
      <c r="AA84" s="416"/>
      <c r="AB84" s="416"/>
      <c r="AC84" s="416"/>
      <c r="AD84" s="416"/>
      <c r="AE84" s="416">
        <f>[8]Prognosa!G64</f>
        <v>0</v>
      </c>
      <c r="AF84" s="436" t="e">
        <f>AE84-#REF!</f>
        <v>#REF!</v>
      </c>
      <c r="AG84" s="436">
        <v>-35307097.5</v>
      </c>
      <c r="AO84" s="436"/>
    </row>
    <row r="85" spans="1:45">
      <c r="A85" s="404"/>
      <c r="B85" s="412"/>
      <c r="C85" s="413"/>
      <c r="D85" s="414">
        <v>8</v>
      </c>
      <c r="E85" s="418" t="s">
        <v>986</v>
      </c>
      <c r="F85" s="416">
        <v>22450000</v>
      </c>
      <c r="G85" s="416"/>
      <c r="H85" s="416"/>
      <c r="I85" s="416"/>
      <c r="J85" s="416"/>
      <c r="K85" s="416"/>
      <c r="L85" s="416"/>
      <c r="M85" s="416"/>
      <c r="N85" s="416"/>
      <c r="O85" s="416"/>
      <c r="P85" s="416">
        <f>SUM(G85:O85)</f>
        <v>0</v>
      </c>
      <c r="Q85" s="416"/>
      <c r="R85" s="416"/>
      <c r="S85" s="416"/>
      <c r="T85" s="579">
        <f t="shared" si="79"/>
        <v>0</v>
      </c>
      <c r="U85" s="416">
        <f t="shared" si="80"/>
        <v>0</v>
      </c>
      <c r="V85" s="471">
        <f>U85/F85</f>
        <v>0</v>
      </c>
      <c r="W85" s="416"/>
      <c r="X85" s="416"/>
      <c r="Y85" s="416"/>
      <c r="Z85" s="416"/>
      <c r="AA85" s="416"/>
      <c r="AB85" s="416"/>
      <c r="AC85" s="416"/>
      <c r="AD85" s="416"/>
      <c r="AE85" s="416">
        <f>[8]Prognosa!G65</f>
        <v>0</v>
      </c>
      <c r="AF85" s="436" t="e">
        <f>AE85-#REF!</f>
        <v>#REF!</v>
      </c>
      <c r="AG85" s="436">
        <v>0</v>
      </c>
      <c r="AO85" s="436"/>
    </row>
    <row r="86" spans="1:45">
      <c r="A86" s="419"/>
      <c r="B86" s="420"/>
      <c r="C86" s="421"/>
      <c r="D86" s="422"/>
      <c r="E86" s="423" t="s">
        <v>905</v>
      </c>
      <c r="F86" s="424">
        <f>SUM(F78:F85)</f>
        <v>2109379221.5598543</v>
      </c>
      <c r="G86" s="424">
        <f t="shared" ref="G86" si="82">SUM(G78:G85)</f>
        <v>47150000</v>
      </c>
      <c r="H86" s="424">
        <f t="shared" ref="H86" si="83">SUM(H78:H85)</f>
        <v>39075500</v>
      </c>
      <c r="I86" s="424">
        <f t="shared" ref="I86" si="84">SUM(I78:I85)</f>
        <v>39165920</v>
      </c>
      <c r="J86" s="424">
        <f t="shared" ref="J86" si="85">SUM(J78:J85)</f>
        <v>48212330</v>
      </c>
      <c r="K86" s="424">
        <f t="shared" ref="K86" si="86">SUM(K78:K85)</f>
        <v>30053064</v>
      </c>
      <c r="L86" s="424">
        <f t="shared" ref="L86" si="87">SUM(L78:L85)</f>
        <v>46192920</v>
      </c>
      <c r="M86" s="424">
        <f t="shared" ref="M86" si="88">SUM(M78:M85)</f>
        <v>65882640</v>
      </c>
      <c r="N86" s="424">
        <f t="shared" ref="N86" si="89">SUM(N78:N85)</f>
        <v>33827920</v>
      </c>
      <c r="O86" s="424">
        <f t="shared" ref="O86" si="90">SUM(O78:O85)</f>
        <v>972190560</v>
      </c>
      <c r="P86" s="424">
        <f>SUM(P77:P85)</f>
        <v>1321750854</v>
      </c>
      <c r="Q86" s="424">
        <f t="shared" ref="Q86" si="91">SUM(Q78:Q85)</f>
        <v>43341831.399991602</v>
      </c>
      <c r="R86" s="424">
        <f t="shared" ref="R86" si="92">SUM(R78:R85)</f>
        <v>43341831.399991602</v>
      </c>
      <c r="S86" s="424">
        <f t="shared" ref="S86" si="93">SUM(S78:S85)</f>
        <v>43341831.399991602</v>
      </c>
      <c r="T86" s="424">
        <f t="shared" ref="T86" si="94">SUM(T78:T85)</f>
        <v>130025494.19997481</v>
      </c>
      <c r="U86" s="424">
        <f t="shared" ref="U86" si="95">SUM(U78:U85)</f>
        <v>1451776348.1999748</v>
      </c>
      <c r="V86" s="472">
        <f>U86/F86</f>
        <v>0.68824815062244138</v>
      </c>
      <c r="W86" s="424"/>
      <c r="X86" s="424"/>
      <c r="Y86" s="424"/>
      <c r="Z86" s="424"/>
      <c r="AA86" s="424"/>
      <c r="AB86" s="424"/>
      <c r="AC86" s="424"/>
      <c r="AD86" s="424"/>
      <c r="AE86" s="424">
        <f t="shared" ref="AE86:AF86" si="96">SUM(AE78:AE85)</f>
        <v>0</v>
      </c>
      <c r="AF86" s="424" t="e">
        <f t="shared" si="96"/>
        <v>#REF!</v>
      </c>
      <c r="AG86" s="424">
        <v>164503365.83999991</v>
      </c>
      <c r="AP86" s="559"/>
      <c r="AQ86" s="472"/>
    </row>
    <row r="87" spans="1:45">
      <c r="A87" s="564"/>
      <c r="B87" s="565"/>
      <c r="C87" s="416"/>
      <c r="D87" s="566"/>
      <c r="E87" s="567"/>
      <c r="F87" s="417"/>
      <c r="G87" s="417"/>
      <c r="H87" s="417"/>
      <c r="I87" s="417"/>
      <c r="J87" s="417"/>
      <c r="K87" s="417"/>
      <c r="L87" s="417"/>
      <c r="M87" s="417"/>
      <c r="N87" s="568"/>
      <c r="O87" s="568"/>
      <c r="P87" s="416">
        <f t="shared" ref="P87:P90" si="97">SUM(G87:O87)</f>
        <v>0</v>
      </c>
      <c r="Q87" s="568"/>
      <c r="R87" s="568"/>
      <c r="S87" s="568"/>
      <c r="T87" s="579">
        <f t="shared" ref="T87:T95" si="98">SUM(Q87:S87)</f>
        <v>0</v>
      </c>
      <c r="U87" s="416">
        <f t="shared" ref="U87:U95" si="99">P87+T87</f>
        <v>0</v>
      </c>
      <c r="V87" s="569"/>
      <c r="W87" s="568"/>
      <c r="X87" s="568"/>
      <c r="Y87" s="568"/>
      <c r="Z87" s="568"/>
      <c r="AA87" s="568"/>
      <c r="AB87" s="568"/>
      <c r="AC87" s="568"/>
      <c r="AD87" s="568"/>
      <c r="AE87" s="568"/>
      <c r="AF87" s="570"/>
      <c r="AG87" s="570"/>
      <c r="AP87" s="571"/>
      <c r="AQ87" s="572"/>
    </row>
    <row r="88" spans="1:45">
      <c r="A88" s="404"/>
      <c r="B88" s="412">
        <v>9</v>
      </c>
      <c r="C88" s="413" t="s">
        <v>981</v>
      </c>
      <c r="D88" s="414">
        <v>1</v>
      </c>
      <c r="E88" s="415" t="s">
        <v>902</v>
      </c>
      <c r="F88" s="416">
        <v>325557242.7124837</v>
      </c>
      <c r="G88" s="416"/>
      <c r="H88" s="416">
        <v>6420000</v>
      </c>
      <c r="I88" s="416">
        <v>5178639</v>
      </c>
      <c r="J88" s="416">
        <v>7366668</v>
      </c>
      <c r="K88" s="416">
        <v>7918669</v>
      </c>
      <c r="L88" s="416">
        <v>7497405</v>
      </c>
      <c r="M88" s="416">
        <v>7918669</v>
      </c>
      <c r="N88" s="416">
        <v>7918669</v>
      </c>
      <c r="O88" s="416">
        <v>7918669</v>
      </c>
      <c r="P88" s="416">
        <f t="shared" si="97"/>
        <v>58137388</v>
      </c>
      <c r="Q88" s="416">
        <v>21479609</v>
      </c>
      <c r="R88" s="416">
        <v>21479609</v>
      </c>
      <c r="S88" s="416">
        <v>21479609</v>
      </c>
      <c r="T88" s="579">
        <f t="shared" si="98"/>
        <v>64438827</v>
      </c>
      <c r="U88" s="416">
        <f t="shared" si="99"/>
        <v>122576215</v>
      </c>
      <c r="V88" s="471">
        <f>U88/F88</f>
        <v>0.37651201975639453</v>
      </c>
      <c r="W88" s="416"/>
      <c r="X88" s="416"/>
      <c r="Y88" s="416"/>
      <c r="Z88" s="416"/>
      <c r="AA88" s="416"/>
      <c r="AB88" s="416"/>
      <c r="AC88" s="416"/>
      <c r="AD88" s="416"/>
      <c r="AE88" s="416">
        <f>[8]Prognosa!G69</f>
        <v>0</v>
      </c>
      <c r="AF88" s="436" t="e">
        <f>AE88-#REF!</f>
        <v>#REF!</v>
      </c>
      <c r="AG88" s="436">
        <v>7602610</v>
      </c>
      <c r="AO88" s="436"/>
      <c r="AS88" s="580"/>
    </row>
    <row r="89" spans="1:45">
      <c r="A89" s="404"/>
      <c r="B89" s="412"/>
      <c r="C89" s="413"/>
      <c r="D89" s="414">
        <v>2</v>
      </c>
      <c r="E89" s="415" t="s">
        <v>987</v>
      </c>
      <c r="F89" s="416"/>
      <c r="G89" s="416"/>
      <c r="H89" s="416"/>
      <c r="I89" s="416"/>
      <c r="J89" s="416"/>
      <c r="K89" s="416"/>
      <c r="L89" s="416"/>
      <c r="M89" s="416"/>
      <c r="N89" s="416"/>
      <c r="O89" s="416"/>
      <c r="P89" s="416">
        <f t="shared" si="97"/>
        <v>0</v>
      </c>
      <c r="Q89" s="416"/>
      <c r="R89" s="416"/>
      <c r="S89" s="416"/>
      <c r="T89" s="579">
        <f t="shared" si="98"/>
        <v>0</v>
      </c>
      <c r="U89" s="416">
        <f t="shared" si="99"/>
        <v>0</v>
      </c>
      <c r="V89" s="471" t="e">
        <f>U89/F89</f>
        <v>#DIV/0!</v>
      </c>
      <c r="W89" s="416"/>
      <c r="X89" s="416"/>
      <c r="Y89" s="416"/>
      <c r="Z89" s="416"/>
      <c r="AA89" s="416"/>
      <c r="AB89" s="416"/>
      <c r="AC89" s="416"/>
      <c r="AD89" s="416"/>
      <c r="AE89" s="416">
        <f>[8]Prognosa!G70</f>
        <v>0</v>
      </c>
      <c r="AF89" s="436" t="e">
        <f>AE89-#REF!</f>
        <v>#REF!</v>
      </c>
      <c r="AG89" s="436">
        <v>634775737.33999991</v>
      </c>
      <c r="AO89" s="436"/>
    </row>
    <row r="90" spans="1:45">
      <c r="A90" s="404"/>
      <c r="B90" s="412"/>
      <c r="C90" s="413"/>
      <c r="D90" s="414">
        <v>3</v>
      </c>
      <c r="E90" s="418" t="s">
        <v>903</v>
      </c>
      <c r="F90" s="416">
        <v>864345312</v>
      </c>
      <c r="G90" s="416">
        <v>12500000</v>
      </c>
      <c r="H90" s="416">
        <v>1375000</v>
      </c>
      <c r="I90" s="416"/>
      <c r="J90" s="416"/>
      <c r="K90" s="416"/>
      <c r="L90" s="416"/>
      <c r="M90" s="416"/>
      <c r="N90" s="416"/>
      <c r="O90" s="416"/>
      <c r="P90" s="416">
        <f t="shared" si="97"/>
        <v>13875000</v>
      </c>
      <c r="Q90" s="416"/>
      <c r="R90" s="416">
        <v>900470312</v>
      </c>
      <c r="S90" s="416"/>
      <c r="T90" s="579">
        <f t="shared" si="98"/>
        <v>900470312</v>
      </c>
      <c r="U90" s="416">
        <f t="shared" si="99"/>
        <v>914345312</v>
      </c>
      <c r="V90" s="471">
        <f>U90/F90</f>
        <v>1.0578472507524863</v>
      </c>
      <c r="W90" s="416"/>
      <c r="X90" s="416"/>
      <c r="Y90" s="416"/>
      <c r="Z90" s="416"/>
      <c r="AA90" s="416"/>
      <c r="AB90" s="416"/>
      <c r="AC90" s="416"/>
      <c r="AD90" s="416"/>
      <c r="AE90" s="416">
        <f>[8]Prognosa!G71</f>
        <v>0</v>
      </c>
      <c r="AF90" s="436" t="e">
        <f>AE90-#REF!</f>
        <v>#REF!</v>
      </c>
      <c r="AG90" s="436">
        <v>-86896650</v>
      </c>
      <c r="AO90" s="436"/>
    </row>
    <row r="91" spans="1:45">
      <c r="A91" s="404"/>
      <c r="B91" s="412"/>
      <c r="C91" s="413"/>
      <c r="D91" s="414">
        <v>4</v>
      </c>
      <c r="E91" s="418" t="s">
        <v>32</v>
      </c>
      <c r="F91" s="416">
        <v>507992545.75</v>
      </c>
      <c r="G91" s="416"/>
      <c r="H91" s="416">
        <v>20403000</v>
      </c>
      <c r="I91" s="416">
        <v>2834175</v>
      </c>
      <c r="J91" s="416">
        <v>0</v>
      </c>
      <c r="K91" s="416">
        <v>7975397</v>
      </c>
      <c r="L91" s="416">
        <v>5689762</v>
      </c>
      <c r="M91" s="416">
        <v>7840186</v>
      </c>
      <c r="N91" s="416">
        <v>12252000</v>
      </c>
      <c r="O91" s="416">
        <v>11635000</v>
      </c>
      <c r="P91" s="416">
        <f>SUM(G91:O91)</f>
        <v>68629520</v>
      </c>
      <c r="Q91" s="416">
        <v>52650005.149999999</v>
      </c>
      <c r="R91" s="416">
        <v>252650005.15000001</v>
      </c>
      <c r="S91" s="416">
        <v>52650005.149999999</v>
      </c>
      <c r="T91" s="579">
        <f t="shared" si="98"/>
        <v>357950015.44999999</v>
      </c>
      <c r="U91" s="416">
        <f t="shared" si="99"/>
        <v>426579535.44999999</v>
      </c>
      <c r="V91" s="471">
        <f>U91/F91</f>
        <v>0.83973581702896472</v>
      </c>
      <c r="W91" s="416"/>
      <c r="X91" s="416"/>
      <c r="Y91" s="416"/>
      <c r="Z91" s="416"/>
      <c r="AA91" s="416"/>
      <c r="AB91" s="416"/>
      <c r="AC91" s="416"/>
      <c r="AD91" s="416"/>
      <c r="AE91" s="416"/>
      <c r="AF91" s="436"/>
      <c r="AG91" s="436"/>
      <c r="AO91" s="436"/>
      <c r="AS91" s="580"/>
    </row>
    <row r="92" spans="1:45">
      <c r="A92" s="404"/>
      <c r="B92" s="412"/>
      <c r="C92" s="413"/>
      <c r="D92" s="414">
        <v>5</v>
      </c>
      <c r="E92" s="418" t="s">
        <v>43</v>
      </c>
      <c r="F92" s="416">
        <v>495189164</v>
      </c>
      <c r="G92" s="416"/>
      <c r="H92" s="416">
        <v>29088270</v>
      </c>
      <c r="I92" s="416">
        <v>8829792</v>
      </c>
      <c r="J92" s="416">
        <v>23530600</v>
      </c>
      <c r="K92" s="416">
        <v>4005033</v>
      </c>
      <c r="L92" s="416">
        <v>6990954</v>
      </c>
      <c r="M92" s="416">
        <v>3448103</v>
      </c>
      <c r="N92" s="416">
        <v>8105000</v>
      </c>
      <c r="O92" s="416">
        <v>12879000</v>
      </c>
      <c r="P92" s="416">
        <f t="shared" ref="P92:P94" si="100">SUM(G92:O92)</f>
        <v>96876752</v>
      </c>
      <c r="Q92" s="416">
        <v>43859282.399999999</v>
      </c>
      <c r="R92" s="416">
        <v>243859282.40000001</v>
      </c>
      <c r="S92" s="416">
        <v>43859282.399999999</v>
      </c>
      <c r="T92" s="579">
        <f t="shared" si="98"/>
        <v>331577847.19999999</v>
      </c>
      <c r="U92" s="416">
        <f t="shared" si="99"/>
        <v>428454599.19999999</v>
      </c>
      <c r="V92" s="471">
        <f>U92/F92</f>
        <v>0.86523419805688639</v>
      </c>
      <c r="W92" s="416"/>
      <c r="X92" s="416"/>
      <c r="Y92" s="416"/>
      <c r="Z92" s="416"/>
      <c r="AA92" s="416"/>
      <c r="AB92" s="416"/>
      <c r="AC92" s="416"/>
      <c r="AD92" s="416"/>
      <c r="AE92" s="416"/>
      <c r="AF92" s="436"/>
      <c r="AG92" s="436"/>
      <c r="AO92" s="436"/>
      <c r="AS92" s="580"/>
    </row>
    <row r="93" spans="1:45">
      <c r="A93" s="404"/>
      <c r="B93" s="412"/>
      <c r="C93" s="413"/>
      <c r="D93" s="414">
        <v>6</v>
      </c>
      <c r="E93" s="418" t="s">
        <v>904</v>
      </c>
      <c r="F93" s="416">
        <v>205215030</v>
      </c>
      <c r="G93" s="416">
        <v>3454000</v>
      </c>
      <c r="H93" s="416"/>
      <c r="I93" s="416"/>
      <c r="J93" s="416"/>
      <c r="K93" s="416"/>
      <c r="L93" s="416"/>
      <c r="M93" s="416"/>
      <c r="N93" s="416"/>
      <c r="O93" s="416"/>
      <c r="P93" s="416">
        <f t="shared" si="100"/>
        <v>3454000</v>
      </c>
      <c r="Q93" s="416"/>
      <c r="R93" s="416">
        <f>F93</f>
        <v>205215030</v>
      </c>
      <c r="S93" s="416"/>
      <c r="T93" s="579">
        <f t="shared" si="98"/>
        <v>205215030</v>
      </c>
      <c r="U93" s="416">
        <f t="shared" si="99"/>
        <v>208669030</v>
      </c>
      <c r="V93" s="471">
        <f>U93/F93</f>
        <v>1.0168311258683147</v>
      </c>
      <c r="W93" s="416"/>
      <c r="X93" s="416"/>
      <c r="Y93" s="416"/>
      <c r="Z93" s="416"/>
      <c r="AA93" s="416"/>
      <c r="AB93" s="416"/>
      <c r="AC93" s="416"/>
      <c r="AD93" s="416"/>
      <c r="AE93" s="416"/>
      <c r="AF93" s="436"/>
      <c r="AG93" s="436"/>
      <c r="AO93" s="436"/>
      <c r="AS93" s="580"/>
    </row>
    <row r="94" spans="1:45">
      <c r="A94" s="404"/>
      <c r="B94" s="412"/>
      <c r="C94" s="413"/>
      <c r="D94" s="414">
        <v>7</v>
      </c>
      <c r="E94" s="418" t="s">
        <v>985</v>
      </c>
      <c r="F94" s="416">
        <v>107250000</v>
      </c>
      <c r="G94" s="416"/>
      <c r="H94" s="416">
        <v>9157500</v>
      </c>
      <c r="I94" s="416"/>
      <c r="J94" s="416">
        <v>31527393</v>
      </c>
      <c r="K94" s="416"/>
      <c r="L94" s="416"/>
      <c r="M94" s="416"/>
      <c r="N94" s="416"/>
      <c r="O94" s="416"/>
      <c r="P94" s="416">
        <f t="shared" si="100"/>
        <v>40684893</v>
      </c>
      <c r="Q94" s="416"/>
      <c r="R94" s="416">
        <v>66565107</v>
      </c>
      <c r="S94" s="416"/>
      <c r="T94" s="579">
        <f t="shared" si="98"/>
        <v>66565107</v>
      </c>
      <c r="U94" s="416">
        <f t="shared" si="99"/>
        <v>107250000</v>
      </c>
      <c r="V94" s="471">
        <f>U94/F94</f>
        <v>1</v>
      </c>
      <c r="W94" s="416"/>
      <c r="X94" s="416"/>
      <c r="Y94" s="416"/>
      <c r="Z94" s="416"/>
      <c r="AA94" s="416"/>
      <c r="AB94" s="416"/>
      <c r="AC94" s="416"/>
      <c r="AD94" s="416"/>
      <c r="AE94" s="416">
        <f>[8]Prognosa!G72</f>
        <v>0</v>
      </c>
      <c r="AF94" s="436" t="e">
        <f>AE94-#REF!</f>
        <v>#REF!</v>
      </c>
      <c r="AG94" s="436">
        <v>-35307097.5</v>
      </c>
      <c r="AO94" s="436">
        <f>F94-U94</f>
        <v>0</v>
      </c>
    </row>
    <row r="95" spans="1:45">
      <c r="A95" s="404"/>
      <c r="B95" s="412"/>
      <c r="C95" s="413"/>
      <c r="D95" s="414">
        <v>8</v>
      </c>
      <c r="E95" s="418" t="s">
        <v>986</v>
      </c>
      <c r="F95" s="416">
        <v>34650000</v>
      </c>
      <c r="G95" s="416"/>
      <c r="H95" s="416"/>
      <c r="I95" s="416"/>
      <c r="J95" s="416"/>
      <c r="K95" s="416"/>
      <c r="L95" s="416"/>
      <c r="M95" s="416"/>
      <c r="N95" s="416"/>
      <c r="O95" s="416"/>
      <c r="P95" s="416">
        <f>SUM(G95:O95)</f>
        <v>0</v>
      </c>
      <c r="Q95" s="416"/>
      <c r="R95" s="416">
        <v>34650000</v>
      </c>
      <c r="S95" s="416"/>
      <c r="T95" s="579">
        <f t="shared" si="98"/>
        <v>34650000</v>
      </c>
      <c r="U95" s="416">
        <f t="shared" si="99"/>
        <v>34650000</v>
      </c>
      <c r="V95" s="471">
        <f>U95/F95</f>
        <v>1</v>
      </c>
      <c r="W95" s="416"/>
      <c r="X95" s="416"/>
      <c r="Y95" s="416"/>
      <c r="Z95" s="416"/>
      <c r="AA95" s="416"/>
      <c r="AB95" s="416"/>
      <c r="AC95" s="416"/>
      <c r="AD95" s="416"/>
      <c r="AE95" s="416">
        <f>[8]Prognosa!G73</f>
        <v>0</v>
      </c>
      <c r="AF95" s="436" t="e">
        <f>AE95-#REF!</f>
        <v>#REF!</v>
      </c>
      <c r="AG95" s="436">
        <v>0</v>
      </c>
      <c r="AO95" s="436">
        <f>F95-U95</f>
        <v>0</v>
      </c>
    </row>
    <row r="96" spans="1:45">
      <c r="A96" s="419"/>
      <c r="B96" s="420"/>
      <c r="C96" s="421"/>
      <c r="D96" s="422"/>
      <c r="E96" s="423" t="s">
        <v>905</v>
      </c>
      <c r="F96" s="424">
        <f>SUM(F88:F95)</f>
        <v>2540199294.4624834</v>
      </c>
      <c r="G96" s="424">
        <f t="shared" ref="G96" si="101">SUM(G88:G95)</f>
        <v>15954000</v>
      </c>
      <c r="H96" s="424">
        <f t="shared" ref="H96" si="102">SUM(H88:H95)</f>
        <v>66443770</v>
      </c>
      <c r="I96" s="424">
        <f t="shared" ref="I96" si="103">SUM(I88:I95)</f>
        <v>16842606</v>
      </c>
      <c r="J96" s="424">
        <f t="shared" ref="J96" si="104">SUM(J88:J95)</f>
        <v>62424661</v>
      </c>
      <c r="K96" s="424">
        <f t="shared" ref="K96" si="105">SUM(K88:K95)</f>
        <v>19899099</v>
      </c>
      <c r="L96" s="424">
        <f t="shared" ref="L96" si="106">SUM(L88:L95)</f>
        <v>20178121</v>
      </c>
      <c r="M96" s="424">
        <f t="shared" ref="M96" si="107">SUM(M88:M95)</f>
        <v>19206958</v>
      </c>
      <c r="N96" s="424">
        <f t="shared" ref="N96" si="108">SUM(N88:N95)</f>
        <v>28275669</v>
      </c>
      <c r="O96" s="424">
        <f t="shared" ref="O96" si="109">SUM(O88:O95)</f>
        <v>32432669</v>
      </c>
      <c r="P96" s="424">
        <f>SUM(P87:P95)</f>
        <v>281657553</v>
      </c>
      <c r="Q96" s="424">
        <f t="shared" ref="Q96" si="110">SUM(Q88:Q95)</f>
        <v>117988896.55000001</v>
      </c>
      <c r="R96" s="424">
        <f t="shared" ref="R96" si="111">SUM(R88:R95)</f>
        <v>1724889345.5500002</v>
      </c>
      <c r="S96" s="424">
        <f t="shared" ref="S96" si="112">SUM(S88:S95)</f>
        <v>117988896.55000001</v>
      </c>
      <c r="T96" s="424">
        <f t="shared" ref="T96" si="113">SUM(T88:T95)</f>
        <v>1960867138.6500001</v>
      </c>
      <c r="U96" s="424">
        <f t="shared" ref="U96" si="114">SUM(U88:U95)</f>
        <v>2242524691.6500001</v>
      </c>
      <c r="V96" s="472">
        <f>U96/F96</f>
        <v>0.8828144691397245</v>
      </c>
      <c r="W96" s="424"/>
      <c r="X96" s="424"/>
      <c r="Y96" s="424"/>
      <c r="Z96" s="424"/>
      <c r="AA96" s="424"/>
      <c r="AB96" s="424"/>
      <c r="AC96" s="424"/>
      <c r="AD96" s="424"/>
      <c r="AE96" s="424">
        <f t="shared" ref="AE96:AF96" si="115">SUM(AE88:AE95)</f>
        <v>0</v>
      </c>
      <c r="AF96" s="424" t="e">
        <f t="shared" si="115"/>
        <v>#REF!</v>
      </c>
      <c r="AG96" s="424">
        <v>164503365.83999991</v>
      </c>
      <c r="AP96" s="559"/>
      <c r="AQ96" s="472"/>
    </row>
    <row r="97" spans="1:45">
      <c r="A97" s="564"/>
      <c r="B97" s="565"/>
      <c r="C97" s="416"/>
      <c r="D97" s="566"/>
      <c r="E97" s="567"/>
      <c r="F97" s="417"/>
      <c r="G97" s="417"/>
      <c r="H97" s="417"/>
      <c r="I97" s="417"/>
      <c r="J97" s="417"/>
      <c r="K97" s="417"/>
      <c r="L97" s="417"/>
      <c r="M97" s="417"/>
      <c r="N97" s="568"/>
      <c r="O97" s="568"/>
      <c r="P97" s="416">
        <f t="shared" ref="P97:P100" si="116">SUM(G97:O97)</f>
        <v>0</v>
      </c>
      <c r="Q97" s="568"/>
      <c r="R97" s="568"/>
      <c r="S97" s="568"/>
      <c r="T97" s="579">
        <f t="shared" ref="T97:T105" si="117">SUM(Q97:S97)</f>
        <v>0</v>
      </c>
      <c r="U97" s="416">
        <f t="shared" ref="U97:U105" si="118">P97+T97</f>
        <v>0</v>
      </c>
      <c r="V97" s="569"/>
      <c r="W97" s="568"/>
      <c r="X97" s="568"/>
      <c r="Y97" s="568"/>
      <c r="Z97" s="568"/>
      <c r="AA97" s="568"/>
      <c r="AB97" s="568"/>
      <c r="AC97" s="568"/>
      <c r="AD97" s="568"/>
      <c r="AE97" s="568"/>
      <c r="AF97" s="570"/>
      <c r="AG97" s="570"/>
      <c r="AP97" s="571"/>
      <c r="AQ97" s="572"/>
    </row>
    <row r="98" spans="1:45">
      <c r="A98" s="404"/>
      <c r="B98" s="412">
        <v>10</v>
      </c>
      <c r="C98" s="413" t="s">
        <v>982</v>
      </c>
      <c r="D98" s="414">
        <v>1</v>
      </c>
      <c r="E98" s="415" t="s">
        <v>902</v>
      </c>
      <c r="F98" s="416">
        <v>172354027.20574164</v>
      </c>
      <c r="G98" s="416"/>
      <c r="H98" s="416">
        <v>25680000</v>
      </c>
      <c r="I98" s="416">
        <v>24210560</v>
      </c>
      <c r="J98" s="416">
        <v>24156220</v>
      </c>
      <c r="K98" s="416">
        <v>24210560</v>
      </c>
      <c r="L98" s="416">
        <v>24210560</v>
      </c>
      <c r="M98" s="416">
        <v>54419420</v>
      </c>
      <c r="N98" s="416">
        <v>24210560</v>
      </c>
      <c r="O98" s="416">
        <v>24210560</v>
      </c>
      <c r="P98" s="416">
        <f t="shared" si="116"/>
        <v>225308440</v>
      </c>
      <c r="Q98" s="416">
        <v>24210560</v>
      </c>
      <c r="R98" s="416">
        <v>24210560</v>
      </c>
      <c r="S98" s="416">
        <v>24210560</v>
      </c>
      <c r="T98" s="579">
        <f t="shared" si="117"/>
        <v>72631680</v>
      </c>
      <c r="U98" s="416">
        <f t="shared" si="118"/>
        <v>297940120</v>
      </c>
      <c r="V98" s="471">
        <f>U98/F98</f>
        <v>1.7286519197160639</v>
      </c>
      <c r="W98" s="416"/>
      <c r="X98" s="416"/>
      <c r="Y98" s="416"/>
      <c r="Z98" s="416"/>
      <c r="AA98" s="416"/>
      <c r="AB98" s="416"/>
      <c r="AC98" s="416"/>
      <c r="AD98" s="416"/>
      <c r="AE98" s="416">
        <f>[8]Prognosa!G77</f>
        <v>0</v>
      </c>
      <c r="AF98" s="436" t="e">
        <f>AE98-#REF!</f>
        <v>#REF!</v>
      </c>
      <c r="AG98" s="436">
        <v>7602610</v>
      </c>
      <c r="AO98" s="436"/>
    </row>
    <row r="99" spans="1:45">
      <c r="A99" s="404"/>
      <c r="B99" s="412"/>
      <c r="C99" s="413"/>
      <c r="D99" s="414">
        <v>2</v>
      </c>
      <c r="E99" s="415" t="s">
        <v>987</v>
      </c>
      <c r="F99" s="416"/>
      <c r="G99" s="416"/>
      <c r="H99" s="416"/>
      <c r="I99" s="416"/>
      <c r="J99" s="416"/>
      <c r="K99" s="416"/>
      <c r="L99" s="416"/>
      <c r="M99" s="416"/>
      <c r="N99" s="416"/>
      <c r="O99" s="416"/>
      <c r="P99" s="416">
        <f t="shared" si="116"/>
        <v>0</v>
      </c>
      <c r="Q99" s="416"/>
      <c r="R99" s="416"/>
      <c r="S99" s="416"/>
      <c r="T99" s="579">
        <f t="shared" si="117"/>
        <v>0</v>
      </c>
      <c r="U99" s="416">
        <f t="shared" si="118"/>
        <v>0</v>
      </c>
      <c r="V99" s="471" t="e">
        <f>U99/F99</f>
        <v>#DIV/0!</v>
      </c>
      <c r="W99" s="416"/>
      <c r="X99" s="416"/>
      <c r="Y99" s="416"/>
      <c r="Z99" s="416"/>
      <c r="AA99" s="416"/>
      <c r="AB99" s="416"/>
      <c r="AC99" s="416"/>
      <c r="AD99" s="416"/>
      <c r="AE99" s="416">
        <f>[8]Prognosa!G78</f>
        <v>0</v>
      </c>
      <c r="AF99" s="436" t="e">
        <f>AE99-#REF!</f>
        <v>#REF!</v>
      </c>
      <c r="AG99" s="436">
        <v>634775737.33999991</v>
      </c>
      <c r="AO99" s="436"/>
    </row>
    <row r="100" spans="1:45">
      <c r="A100" s="404"/>
      <c r="B100" s="412"/>
      <c r="C100" s="413"/>
      <c r="D100" s="414">
        <v>3</v>
      </c>
      <c r="E100" s="418" t="s">
        <v>903</v>
      </c>
      <c r="F100" s="416">
        <v>799203677</v>
      </c>
      <c r="G100" s="416"/>
      <c r="H100" s="416"/>
      <c r="I100" s="416"/>
      <c r="J100" s="416"/>
      <c r="K100" s="416">
        <v>347350474</v>
      </c>
      <c r="L100" s="416">
        <v>244143426</v>
      </c>
      <c r="M100" s="416">
        <v>428806877</v>
      </c>
      <c r="N100" s="416"/>
      <c r="O100" s="416"/>
      <c r="P100" s="416">
        <f t="shared" si="116"/>
        <v>1020300777</v>
      </c>
      <c r="Q100" s="416"/>
      <c r="R100" s="416"/>
      <c r="S100" s="416"/>
      <c r="T100" s="579">
        <f t="shared" si="117"/>
        <v>0</v>
      </c>
      <c r="U100" s="416">
        <f t="shared" si="118"/>
        <v>1020300777</v>
      </c>
      <c r="V100" s="471">
        <f>U100/F100</f>
        <v>1.2766467502125869</v>
      </c>
      <c r="W100" s="416"/>
      <c r="X100" s="416"/>
      <c r="Y100" s="416"/>
      <c r="Z100" s="416"/>
      <c r="AA100" s="416"/>
      <c r="AB100" s="416"/>
      <c r="AC100" s="416"/>
      <c r="AD100" s="416"/>
      <c r="AE100" s="416">
        <f>[8]Prognosa!G79</f>
        <v>0</v>
      </c>
      <c r="AF100" s="436" t="e">
        <f>AE100-#REF!</f>
        <v>#REF!</v>
      </c>
      <c r="AG100" s="436">
        <v>-86896650</v>
      </c>
      <c r="AO100" s="436"/>
    </row>
    <row r="101" spans="1:45">
      <c r="A101" s="404"/>
      <c r="B101" s="412"/>
      <c r="C101" s="413"/>
      <c r="D101" s="414">
        <v>4</v>
      </c>
      <c r="E101" s="418" t="s">
        <v>32</v>
      </c>
      <c r="F101" s="416">
        <v>401292202</v>
      </c>
      <c r="G101" s="416"/>
      <c r="H101" s="416">
        <v>2163000</v>
      </c>
      <c r="I101" s="416">
        <v>8345000</v>
      </c>
      <c r="J101" s="416"/>
      <c r="K101" s="416">
        <v>78854000</v>
      </c>
      <c r="L101" s="416">
        <v>84635000</v>
      </c>
      <c r="M101" s="416">
        <v>10542000</v>
      </c>
      <c r="N101" s="416">
        <v>9797000</v>
      </c>
      <c r="O101" s="416">
        <v>6294000</v>
      </c>
      <c r="P101" s="416">
        <f>SUM(G101:O101)</f>
        <v>200630000</v>
      </c>
      <c r="Q101" s="416">
        <v>23350640.399999999</v>
      </c>
      <c r="R101" s="416">
        <v>23350640.399999999</v>
      </c>
      <c r="S101" s="416">
        <v>23350640.399999999</v>
      </c>
      <c r="T101" s="579">
        <f t="shared" si="117"/>
        <v>70051921.199999988</v>
      </c>
      <c r="U101" s="416">
        <f t="shared" si="118"/>
        <v>270681921.19999999</v>
      </c>
      <c r="V101" s="471">
        <f>U101/F101</f>
        <v>0.67452574421069855</v>
      </c>
      <c r="W101" s="416"/>
      <c r="X101" s="416"/>
      <c r="Y101" s="416"/>
      <c r="Z101" s="416"/>
      <c r="AA101" s="416"/>
      <c r="AB101" s="416"/>
      <c r="AC101" s="416"/>
      <c r="AD101" s="416"/>
      <c r="AE101" s="416"/>
      <c r="AF101" s="436"/>
      <c r="AG101" s="436"/>
      <c r="AO101" s="436"/>
      <c r="AS101" s="436"/>
    </row>
    <row r="102" spans="1:45">
      <c r="A102" s="404"/>
      <c r="B102" s="412"/>
      <c r="C102" s="413"/>
      <c r="D102" s="414">
        <v>5</v>
      </c>
      <c r="E102" s="418" t="s">
        <v>43</v>
      </c>
      <c r="F102" s="416">
        <v>431237824</v>
      </c>
      <c r="G102" s="416"/>
      <c r="H102" s="416">
        <v>4400000</v>
      </c>
      <c r="I102" s="416">
        <v>169993950</v>
      </c>
      <c r="J102" s="416"/>
      <c r="K102" s="416">
        <v>31559200</v>
      </c>
      <c r="L102" s="416">
        <v>0</v>
      </c>
      <c r="M102" s="416">
        <v>25956300</v>
      </c>
      <c r="N102" s="416">
        <v>9180000</v>
      </c>
      <c r="O102" s="416">
        <v>12068000</v>
      </c>
      <c r="P102" s="416">
        <f t="shared" ref="P102:P104" si="119">SUM(G102:O102)</f>
        <v>253157450</v>
      </c>
      <c r="Q102" s="416">
        <v>39865674.799999997</v>
      </c>
      <c r="R102" s="416">
        <v>39865674.799999997</v>
      </c>
      <c r="S102" s="416">
        <v>39865674.799999997</v>
      </c>
      <c r="T102" s="579">
        <f t="shared" si="117"/>
        <v>119597024.39999999</v>
      </c>
      <c r="U102" s="416">
        <f t="shared" si="118"/>
        <v>372754474.39999998</v>
      </c>
      <c r="V102" s="471">
        <f>U102/F102</f>
        <v>0.86438260666114475</v>
      </c>
      <c r="W102" s="416"/>
      <c r="X102" s="416"/>
      <c r="Y102" s="416"/>
      <c r="Z102" s="416"/>
      <c r="AA102" s="416"/>
      <c r="AB102" s="416"/>
      <c r="AC102" s="416"/>
      <c r="AD102" s="416"/>
      <c r="AE102" s="416"/>
      <c r="AF102" s="436"/>
      <c r="AG102" s="436"/>
      <c r="AO102" s="436"/>
      <c r="AS102" s="436"/>
    </row>
    <row r="103" spans="1:45">
      <c r="A103" s="404"/>
      <c r="B103" s="412"/>
      <c r="C103" s="413"/>
      <c r="D103" s="414">
        <v>6</v>
      </c>
      <c r="E103" s="418" t="s">
        <v>904</v>
      </c>
      <c r="F103" s="416">
        <v>126525336.66666669</v>
      </c>
      <c r="G103" s="416"/>
      <c r="H103" s="416"/>
      <c r="I103" s="416"/>
      <c r="J103" s="416">
        <v>213028210</v>
      </c>
      <c r="K103" s="416"/>
      <c r="L103" s="416"/>
      <c r="M103" s="416"/>
      <c r="N103" s="416"/>
      <c r="O103" s="416"/>
      <c r="P103" s="416">
        <f t="shared" si="119"/>
        <v>213028210</v>
      </c>
      <c r="Q103" s="416"/>
      <c r="R103" s="416"/>
      <c r="S103" s="416"/>
      <c r="T103" s="579">
        <f t="shared" si="117"/>
        <v>0</v>
      </c>
      <c r="U103" s="416">
        <f t="shared" si="118"/>
        <v>213028210</v>
      </c>
      <c r="V103" s="471">
        <f>U103/F103</f>
        <v>1.6836802462832146</v>
      </c>
      <c r="W103" s="416"/>
      <c r="X103" s="416"/>
      <c r="Y103" s="416"/>
      <c r="Z103" s="416"/>
      <c r="AA103" s="416"/>
      <c r="AB103" s="416"/>
      <c r="AC103" s="416"/>
      <c r="AD103" s="416"/>
      <c r="AE103" s="416"/>
      <c r="AF103" s="436"/>
      <c r="AG103" s="436"/>
      <c r="AO103" s="436"/>
    </row>
    <row r="104" spans="1:45">
      <c r="A104" s="404"/>
      <c r="B104" s="412"/>
      <c r="C104" s="413"/>
      <c r="D104" s="414">
        <v>7</v>
      </c>
      <c r="E104" s="418" t="s">
        <v>985</v>
      </c>
      <c r="F104" s="416">
        <v>99550000</v>
      </c>
      <c r="G104" s="416"/>
      <c r="H104" s="416"/>
      <c r="I104" s="416"/>
      <c r="J104" s="416"/>
      <c r="K104" s="416"/>
      <c r="L104" s="416">
        <v>27000000</v>
      </c>
      <c r="M104" s="416"/>
      <c r="N104" s="416"/>
      <c r="O104" s="416"/>
      <c r="P104" s="416">
        <f t="shared" si="119"/>
        <v>27000000</v>
      </c>
      <c r="Q104" s="416"/>
      <c r="R104" s="416"/>
      <c r="S104" s="416"/>
      <c r="T104" s="579">
        <f t="shared" si="117"/>
        <v>0</v>
      </c>
      <c r="U104" s="416">
        <f t="shared" si="118"/>
        <v>27000000</v>
      </c>
      <c r="V104" s="471">
        <f>U104/F104</f>
        <v>0.27122049221496736</v>
      </c>
      <c r="W104" s="416"/>
      <c r="X104" s="416"/>
      <c r="Y104" s="416"/>
      <c r="Z104" s="416"/>
      <c r="AA104" s="416"/>
      <c r="AB104" s="416"/>
      <c r="AC104" s="416"/>
      <c r="AD104" s="416"/>
      <c r="AE104" s="416">
        <f>[8]Prognosa!G80</f>
        <v>0</v>
      </c>
      <c r="AF104" s="436" t="e">
        <f>AE104-#REF!</f>
        <v>#REF!</v>
      </c>
      <c r="AG104" s="436">
        <v>-35307097.5</v>
      </c>
      <c r="AO104" s="436"/>
    </row>
    <row r="105" spans="1:45">
      <c r="A105" s="404"/>
      <c r="B105" s="412"/>
      <c r="C105" s="413"/>
      <c r="D105" s="414">
        <v>8</v>
      </c>
      <c r="E105" s="418" t="s">
        <v>986</v>
      </c>
      <c r="F105" s="416">
        <v>22450000</v>
      </c>
      <c r="G105" s="416"/>
      <c r="H105" s="416"/>
      <c r="I105" s="416"/>
      <c r="J105" s="416"/>
      <c r="K105" s="416"/>
      <c r="L105" s="416"/>
      <c r="M105" s="416"/>
      <c r="N105" s="416"/>
      <c r="O105" s="416"/>
      <c r="P105" s="416">
        <f>SUM(G105:O105)</f>
        <v>0</v>
      </c>
      <c r="Q105" s="416"/>
      <c r="R105" s="416"/>
      <c r="S105" s="416"/>
      <c r="T105" s="579">
        <f t="shared" si="117"/>
        <v>0</v>
      </c>
      <c r="U105" s="416">
        <f t="shared" si="118"/>
        <v>0</v>
      </c>
      <c r="V105" s="471">
        <f>U105/F105</f>
        <v>0</v>
      </c>
      <c r="W105" s="416"/>
      <c r="X105" s="416"/>
      <c r="Y105" s="416"/>
      <c r="Z105" s="416"/>
      <c r="AA105" s="416"/>
      <c r="AB105" s="416"/>
      <c r="AC105" s="416"/>
      <c r="AD105" s="416"/>
      <c r="AE105" s="416">
        <f>[8]Prognosa!G81</f>
        <v>0</v>
      </c>
      <c r="AF105" s="436" t="e">
        <f>AE105-#REF!</f>
        <v>#REF!</v>
      </c>
      <c r="AG105" s="436">
        <v>0</v>
      </c>
      <c r="AO105" s="436"/>
    </row>
    <row r="106" spans="1:45">
      <c r="A106" s="419"/>
      <c r="B106" s="420"/>
      <c r="C106" s="421"/>
      <c r="D106" s="422"/>
      <c r="E106" s="423" t="s">
        <v>905</v>
      </c>
      <c r="F106" s="424">
        <f>SUM(F98:F105)</f>
        <v>2052613066.8724084</v>
      </c>
      <c r="G106" s="424">
        <f t="shared" ref="G106" si="120">SUM(G98:G105)</f>
        <v>0</v>
      </c>
      <c r="H106" s="424">
        <f t="shared" ref="H106" si="121">SUM(H98:H105)</f>
        <v>32243000</v>
      </c>
      <c r="I106" s="424">
        <f t="shared" ref="I106" si="122">SUM(I98:I105)</f>
        <v>202549510</v>
      </c>
      <c r="J106" s="424">
        <f t="shared" ref="J106" si="123">SUM(J98:J105)</f>
        <v>237184430</v>
      </c>
      <c r="K106" s="424">
        <f t="shared" ref="K106" si="124">SUM(K98:K105)</f>
        <v>481974234</v>
      </c>
      <c r="L106" s="424">
        <f t="shared" ref="L106" si="125">SUM(L98:L105)</f>
        <v>379988986</v>
      </c>
      <c r="M106" s="424">
        <f t="shared" ref="M106" si="126">SUM(M98:M105)</f>
        <v>519724597</v>
      </c>
      <c r="N106" s="424">
        <f t="shared" ref="N106" si="127">SUM(N98:N105)</f>
        <v>43187560</v>
      </c>
      <c r="O106" s="424">
        <f t="shared" ref="O106" si="128">SUM(O98:O105)</f>
        <v>42572560</v>
      </c>
      <c r="P106" s="424">
        <f>SUM(P97:P105)</f>
        <v>1939424877</v>
      </c>
      <c r="Q106" s="424">
        <f t="shared" ref="Q106" si="129">SUM(Q98:Q105)</f>
        <v>87426875.199999988</v>
      </c>
      <c r="R106" s="424">
        <f t="shared" ref="R106" si="130">SUM(R98:R105)</f>
        <v>87426875.199999988</v>
      </c>
      <c r="S106" s="424">
        <f t="shared" ref="S106" si="131">SUM(S98:S105)</f>
        <v>87426875.199999988</v>
      </c>
      <c r="T106" s="424">
        <f t="shared" ref="T106" si="132">SUM(T98:T105)</f>
        <v>262280625.59999996</v>
      </c>
      <c r="U106" s="424">
        <f t="shared" ref="U106" si="133">SUM(U98:U105)</f>
        <v>2201705502.5999999</v>
      </c>
      <c r="V106" s="472">
        <f>U106/F106</f>
        <v>1.0726354314575057</v>
      </c>
      <c r="W106" s="424"/>
      <c r="X106" s="424"/>
      <c r="Y106" s="424"/>
      <c r="Z106" s="424"/>
      <c r="AA106" s="424"/>
      <c r="AB106" s="424"/>
      <c r="AC106" s="424"/>
      <c r="AD106" s="424"/>
      <c r="AE106" s="424">
        <f t="shared" ref="AE106:AF106" si="134">SUM(AE98:AE105)</f>
        <v>0</v>
      </c>
      <c r="AF106" s="424" t="e">
        <f t="shared" si="134"/>
        <v>#REF!</v>
      </c>
      <c r="AG106" s="424">
        <v>164503365.83999991</v>
      </c>
      <c r="AP106" s="559"/>
      <c r="AQ106" s="472"/>
    </row>
    <row r="107" spans="1:45">
      <c r="A107" s="564"/>
      <c r="B107" s="565"/>
      <c r="C107" s="416"/>
      <c r="D107" s="566"/>
      <c r="E107" s="567"/>
      <c r="F107" s="417"/>
      <c r="G107" s="417"/>
      <c r="H107" s="417"/>
      <c r="I107" s="417"/>
      <c r="J107" s="417"/>
      <c r="K107" s="417"/>
      <c r="L107" s="417"/>
      <c r="M107" s="417"/>
      <c r="N107" s="568"/>
      <c r="O107" s="568"/>
      <c r="P107" s="416">
        <f t="shared" ref="P107:P110" si="135">SUM(G107:O107)</f>
        <v>0</v>
      </c>
      <c r="Q107" s="568"/>
      <c r="R107" s="568"/>
      <c r="S107" s="568"/>
      <c r="T107" s="579">
        <f t="shared" ref="T107:T115" si="136">SUM(Q107:S107)</f>
        <v>0</v>
      </c>
      <c r="U107" s="416">
        <f t="shared" ref="U107:U115" si="137">P107+T107</f>
        <v>0</v>
      </c>
      <c r="V107" s="569"/>
      <c r="W107" s="568"/>
      <c r="X107" s="568"/>
      <c r="Y107" s="568"/>
      <c r="Z107" s="568"/>
      <c r="AA107" s="568"/>
      <c r="AB107" s="568"/>
      <c r="AC107" s="568"/>
      <c r="AD107" s="568"/>
      <c r="AE107" s="568"/>
      <c r="AF107" s="570"/>
      <c r="AG107" s="570"/>
      <c r="AP107" s="571"/>
      <c r="AQ107" s="572"/>
    </row>
    <row r="108" spans="1:45">
      <c r="A108" s="404"/>
      <c r="B108" s="412">
        <v>11</v>
      </c>
      <c r="C108" s="413" t="s">
        <v>983</v>
      </c>
      <c r="D108" s="414">
        <v>1</v>
      </c>
      <c r="E108" s="415" t="s">
        <v>902</v>
      </c>
      <c r="F108" s="416">
        <v>162072392.72727272</v>
      </c>
      <c r="G108" s="416"/>
      <c r="H108" s="416">
        <v>12105280</v>
      </c>
      <c r="I108" s="416">
        <v>12105280</v>
      </c>
      <c r="J108" s="416">
        <v>12105280</v>
      </c>
      <c r="K108" s="416">
        <v>12105280</v>
      </c>
      <c r="L108" s="416">
        <v>18157920</v>
      </c>
      <c r="M108" s="416">
        <v>5998300</v>
      </c>
      <c r="N108" s="416">
        <v>12105280</v>
      </c>
      <c r="O108" s="416">
        <v>12105280</v>
      </c>
      <c r="P108" s="416">
        <f t="shared" si="135"/>
        <v>96787900</v>
      </c>
      <c r="Q108" s="416">
        <v>12105280</v>
      </c>
      <c r="R108" s="416">
        <v>12105280</v>
      </c>
      <c r="S108" s="416">
        <v>12105280</v>
      </c>
      <c r="T108" s="579">
        <f t="shared" si="136"/>
        <v>36315840</v>
      </c>
      <c r="U108" s="416">
        <f t="shared" si="137"/>
        <v>133103740</v>
      </c>
      <c r="V108" s="471">
        <f>U108/F108</f>
        <v>0.82126102885381769</v>
      </c>
      <c r="W108" s="416"/>
      <c r="X108" s="416"/>
      <c r="Y108" s="416"/>
      <c r="Z108" s="416"/>
      <c r="AA108" s="416"/>
      <c r="AB108" s="416"/>
      <c r="AC108" s="416"/>
      <c r="AD108" s="416"/>
      <c r="AE108" s="416">
        <f>[8]Prognosa!G85</f>
        <v>0</v>
      </c>
      <c r="AF108" s="436" t="e">
        <f>AE108-#REF!</f>
        <v>#REF!</v>
      </c>
      <c r="AG108" s="436">
        <v>7602610</v>
      </c>
      <c r="AO108" s="436"/>
      <c r="AS108" s="580"/>
    </row>
    <row r="109" spans="1:45">
      <c r="A109" s="404"/>
      <c r="B109" s="412"/>
      <c r="C109" s="413"/>
      <c r="D109" s="414">
        <v>2</v>
      </c>
      <c r="E109" s="415" t="s">
        <v>987</v>
      </c>
      <c r="F109" s="416"/>
      <c r="G109" s="416"/>
      <c r="H109" s="416"/>
      <c r="I109" s="416"/>
      <c r="J109" s="416"/>
      <c r="K109" s="416"/>
      <c r="L109" s="416"/>
      <c r="M109" s="416"/>
      <c r="N109" s="416"/>
      <c r="O109" s="416"/>
      <c r="P109" s="416">
        <f t="shared" si="135"/>
        <v>0</v>
      </c>
      <c r="Q109" s="416"/>
      <c r="R109" s="416"/>
      <c r="S109" s="416"/>
      <c r="T109" s="579">
        <f t="shared" si="136"/>
        <v>0</v>
      </c>
      <c r="U109" s="416">
        <f t="shared" si="137"/>
        <v>0</v>
      </c>
      <c r="V109" s="471" t="e">
        <f>U109/F109</f>
        <v>#DIV/0!</v>
      </c>
      <c r="W109" s="416"/>
      <c r="X109" s="416"/>
      <c r="Y109" s="416"/>
      <c r="Z109" s="416"/>
      <c r="AA109" s="416"/>
      <c r="AB109" s="416"/>
      <c r="AC109" s="416"/>
      <c r="AD109" s="416"/>
      <c r="AE109" s="416">
        <f>[8]Prognosa!G86</f>
        <v>0</v>
      </c>
      <c r="AF109" s="436" t="e">
        <f>AE109-#REF!</f>
        <v>#REF!</v>
      </c>
      <c r="AG109" s="436">
        <v>634775737.33999991</v>
      </c>
    </row>
    <row r="110" spans="1:45">
      <c r="A110" s="404"/>
      <c r="B110" s="412"/>
      <c r="C110" s="413"/>
      <c r="D110" s="414">
        <v>3</v>
      </c>
      <c r="E110" s="418" t="s">
        <v>903</v>
      </c>
      <c r="F110" s="416">
        <v>1048653151.5</v>
      </c>
      <c r="G110" s="416"/>
      <c r="H110" s="416"/>
      <c r="I110" s="416"/>
      <c r="J110" s="416"/>
      <c r="K110" s="416"/>
      <c r="L110" s="416">
        <v>378997083</v>
      </c>
      <c r="M110" s="416">
        <v>263967374</v>
      </c>
      <c r="N110" s="416"/>
      <c r="O110" s="416"/>
      <c r="P110" s="416">
        <f t="shared" si="135"/>
        <v>642964457</v>
      </c>
      <c r="Q110" s="416"/>
      <c r="R110" s="416"/>
      <c r="S110" s="416"/>
      <c r="T110" s="579">
        <f t="shared" si="136"/>
        <v>0</v>
      </c>
      <c r="U110" s="416">
        <f t="shared" si="137"/>
        <v>642964457</v>
      </c>
      <c r="V110" s="471">
        <f>U110/F110</f>
        <v>0.61313357622613318</v>
      </c>
      <c r="W110" s="416"/>
      <c r="X110" s="416"/>
      <c r="Y110" s="416"/>
      <c r="Z110" s="416"/>
      <c r="AA110" s="416"/>
      <c r="AB110" s="416"/>
      <c r="AC110" s="416"/>
      <c r="AD110" s="416"/>
      <c r="AE110" s="416">
        <f>[8]Prognosa!G87</f>
        <v>0</v>
      </c>
      <c r="AF110" s="436" t="e">
        <f>AE110-#REF!</f>
        <v>#REF!</v>
      </c>
      <c r="AG110" s="436">
        <v>-86896650</v>
      </c>
      <c r="AO110" s="436"/>
    </row>
    <row r="111" spans="1:45">
      <c r="A111" s="404"/>
      <c r="B111" s="412"/>
      <c r="C111" s="413"/>
      <c r="D111" s="414">
        <v>4</v>
      </c>
      <c r="E111" s="418" t="s">
        <v>32</v>
      </c>
      <c r="F111" s="416">
        <v>442906510</v>
      </c>
      <c r="G111" s="416"/>
      <c r="H111" s="416">
        <v>33739000</v>
      </c>
      <c r="I111" s="416">
        <v>6838000</v>
      </c>
      <c r="J111" s="416">
        <v>8950000</v>
      </c>
      <c r="K111" s="416">
        <v>4686000</v>
      </c>
      <c r="L111" s="416">
        <v>15104400</v>
      </c>
      <c r="M111" s="416">
        <v>192522500</v>
      </c>
      <c r="N111" s="416">
        <v>10528000</v>
      </c>
      <c r="O111" s="416">
        <v>10989000</v>
      </c>
      <c r="P111" s="416">
        <f>SUM(G111:O111)</f>
        <v>283356900</v>
      </c>
      <c r="Q111" s="416">
        <v>36213322</v>
      </c>
      <c r="R111" s="416">
        <v>36213322</v>
      </c>
      <c r="S111" s="416">
        <v>36213322</v>
      </c>
      <c r="T111" s="579">
        <f t="shared" si="136"/>
        <v>108639966</v>
      </c>
      <c r="U111" s="416">
        <f t="shared" si="137"/>
        <v>391996866</v>
      </c>
      <c r="V111" s="471">
        <f>U111/F111</f>
        <v>0.88505555269440495</v>
      </c>
      <c r="W111" s="416"/>
      <c r="X111" s="416"/>
      <c r="Y111" s="416"/>
      <c r="Z111" s="416"/>
      <c r="AA111" s="416"/>
      <c r="AB111" s="416"/>
      <c r="AC111" s="416"/>
      <c r="AD111" s="416"/>
      <c r="AE111" s="416"/>
      <c r="AF111" s="436"/>
      <c r="AG111" s="436"/>
      <c r="AO111" s="436"/>
      <c r="AS111" s="436"/>
    </row>
    <row r="112" spans="1:45">
      <c r="A112" s="404"/>
      <c r="B112" s="412"/>
      <c r="C112" s="413"/>
      <c r="D112" s="414">
        <v>5</v>
      </c>
      <c r="E112" s="418" t="s">
        <v>43</v>
      </c>
      <c r="F112" s="416">
        <v>426795988</v>
      </c>
      <c r="G112" s="416"/>
      <c r="H112" s="416">
        <v>12817200</v>
      </c>
      <c r="I112" s="416">
        <v>17272200</v>
      </c>
      <c r="J112" s="416">
        <v>2900000</v>
      </c>
      <c r="K112" s="416">
        <v>1650000</v>
      </c>
      <c r="L112" s="416">
        <v>31519000</v>
      </c>
      <c r="M112" s="416">
        <v>51477500</v>
      </c>
      <c r="N112" s="416">
        <v>7619000</v>
      </c>
      <c r="O112" s="416">
        <v>12222000</v>
      </c>
      <c r="P112" s="416">
        <f t="shared" ref="P112:P114" si="138">SUM(G112:O112)</f>
        <v>137476900</v>
      </c>
      <c r="Q112" s="416">
        <v>61832017.600000001</v>
      </c>
      <c r="R112" s="416">
        <v>61832017.600000001</v>
      </c>
      <c r="S112" s="416">
        <v>61832017.600000001</v>
      </c>
      <c r="T112" s="579">
        <f t="shared" si="136"/>
        <v>185496052.80000001</v>
      </c>
      <c r="U112" s="416">
        <f t="shared" si="137"/>
        <v>322972952.80000001</v>
      </c>
      <c r="V112" s="471">
        <f>U112/F112</f>
        <v>0.75673849305256358</v>
      </c>
      <c r="W112" s="416"/>
      <c r="X112" s="416"/>
      <c r="Y112" s="416"/>
      <c r="Z112" s="416"/>
      <c r="AA112" s="416"/>
      <c r="AB112" s="416"/>
      <c r="AC112" s="416"/>
      <c r="AD112" s="416"/>
      <c r="AE112" s="416"/>
      <c r="AF112" s="436"/>
      <c r="AG112" s="436"/>
      <c r="AO112" s="436"/>
      <c r="AS112" s="436"/>
    </row>
    <row r="113" spans="1:45">
      <c r="A113" s="404"/>
      <c r="B113" s="412"/>
      <c r="C113" s="413"/>
      <c r="D113" s="414">
        <v>6</v>
      </c>
      <c r="E113" s="418" t="s">
        <v>904</v>
      </c>
      <c r="F113" s="416">
        <v>180204196.66666666</v>
      </c>
      <c r="G113" s="416"/>
      <c r="H113" s="416"/>
      <c r="I113" s="416"/>
      <c r="J113" s="416"/>
      <c r="K113" s="416"/>
      <c r="L113" s="416"/>
      <c r="M113" s="416"/>
      <c r="N113" s="416"/>
      <c r="O113" s="416"/>
      <c r="P113" s="416">
        <f t="shared" si="138"/>
        <v>0</v>
      </c>
      <c r="Q113" s="416"/>
      <c r="R113" s="416"/>
      <c r="S113" s="416"/>
      <c r="T113" s="579">
        <f t="shared" si="136"/>
        <v>0</v>
      </c>
      <c r="U113" s="416">
        <f t="shared" si="137"/>
        <v>0</v>
      </c>
      <c r="V113" s="471">
        <f>U113/F113</f>
        <v>0</v>
      </c>
      <c r="W113" s="416"/>
      <c r="X113" s="416"/>
      <c r="Y113" s="416"/>
      <c r="Z113" s="416"/>
      <c r="AA113" s="416"/>
      <c r="AB113" s="416"/>
      <c r="AC113" s="416"/>
      <c r="AD113" s="416"/>
      <c r="AE113" s="416"/>
      <c r="AF113" s="436"/>
      <c r="AG113" s="436"/>
      <c r="AO113" s="436"/>
    </row>
    <row r="114" spans="1:45">
      <c r="A114" s="404"/>
      <c r="B114" s="412"/>
      <c r="C114" s="413"/>
      <c r="D114" s="414">
        <v>7</v>
      </c>
      <c r="E114" s="418" t="s">
        <v>985</v>
      </c>
      <c r="F114" s="416">
        <v>87450000</v>
      </c>
      <c r="G114" s="416"/>
      <c r="H114" s="416"/>
      <c r="I114" s="416"/>
      <c r="J114" s="416">
        <v>28749000</v>
      </c>
      <c r="K114" s="416"/>
      <c r="L114" s="416"/>
      <c r="M114" s="416">
        <v>25000000</v>
      </c>
      <c r="N114" s="416"/>
      <c r="O114" s="416"/>
      <c r="P114" s="416">
        <f t="shared" si="138"/>
        <v>53749000</v>
      </c>
      <c r="Q114" s="416"/>
      <c r="R114" s="416"/>
      <c r="S114" s="416"/>
      <c r="T114" s="579">
        <f t="shared" si="136"/>
        <v>0</v>
      </c>
      <c r="U114" s="416">
        <f t="shared" si="137"/>
        <v>53749000</v>
      </c>
      <c r="V114" s="471">
        <f>U114/F114</f>
        <v>0.61462550028587759</v>
      </c>
      <c r="W114" s="416"/>
      <c r="X114" s="416"/>
      <c r="Y114" s="416"/>
      <c r="Z114" s="416"/>
      <c r="AA114" s="416"/>
      <c r="AB114" s="416"/>
      <c r="AC114" s="416"/>
      <c r="AD114" s="416"/>
      <c r="AE114" s="416">
        <f>[8]Prognosa!G88</f>
        <v>0</v>
      </c>
      <c r="AF114" s="436" t="e">
        <f>AE114-#REF!</f>
        <v>#REF!</v>
      </c>
      <c r="AG114" s="436">
        <v>-35307097.5</v>
      </c>
      <c r="AO114" s="436"/>
    </row>
    <row r="115" spans="1:45">
      <c r="A115" s="404"/>
      <c r="B115" s="412"/>
      <c r="C115" s="413"/>
      <c r="D115" s="414">
        <v>8</v>
      </c>
      <c r="E115" s="418" t="s">
        <v>986</v>
      </c>
      <c r="F115" s="416">
        <v>30550000</v>
      </c>
      <c r="G115" s="416"/>
      <c r="H115" s="416"/>
      <c r="I115" s="416"/>
      <c r="J115" s="416"/>
      <c r="K115" s="416"/>
      <c r="L115" s="416"/>
      <c r="M115" s="416"/>
      <c r="N115" s="416"/>
      <c r="O115" s="416"/>
      <c r="P115" s="416">
        <f>SUM(G115:O115)</f>
        <v>0</v>
      </c>
      <c r="Q115" s="416"/>
      <c r="R115" s="416"/>
      <c r="S115" s="416"/>
      <c r="T115" s="579">
        <f t="shared" si="136"/>
        <v>0</v>
      </c>
      <c r="U115" s="416">
        <f t="shared" si="137"/>
        <v>0</v>
      </c>
      <c r="V115" s="471">
        <f>U115/F115</f>
        <v>0</v>
      </c>
      <c r="W115" s="416"/>
      <c r="X115" s="416"/>
      <c r="Y115" s="416"/>
      <c r="Z115" s="416"/>
      <c r="AA115" s="416"/>
      <c r="AB115" s="416"/>
      <c r="AC115" s="416"/>
      <c r="AD115" s="416"/>
      <c r="AE115" s="416">
        <f>[8]Prognosa!G89</f>
        <v>0</v>
      </c>
      <c r="AF115" s="436" t="e">
        <f>AE115-#REF!</f>
        <v>#REF!</v>
      </c>
      <c r="AG115" s="436">
        <v>0</v>
      </c>
      <c r="AO115" s="436"/>
    </row>
    <row r="116" spans="1:45">
      <c r="A116" s="419"/>
      <c r="B116" s="420"/>
      <c r="C116" s="421"/>
      <c r="D116" s="422"/>
      <c r="E116" s="423" t="s">
        <v>905</v>
      </c>
      <c r="F116" s="424">
        <f>SUM(F108:F115)</f>
        <v>2378632238.8939395</v>
      </c>
      <c r="G116" s="424">
        <f t="shared" ref="G116" si="139">SUM(G108:G115)</f>
        <v>0</v>
      </c>
      <c r="H116" s="424">
        <f t="shared" ref="H116" si="140">SUM(H108:H115)</f>
        <v>58661480</v>
      </c>
      <c r="I116" s="424">
        <f t="shared" ref="I116" si="141">SUM(I108:I115)</f>
        <v>36215480</v>
      </c>
      <c r="J116" s="424">
        <f t="shared" ref="J116" si="142">SUM(J108:J115)</f>
        <v>52704280</v>
      </c>
      <c r="K116" s="424">
        <f t="shared" ref="K116" si="143">SUM(K108:K115)</f>
        <v>18441280</v>
      </c>
      <c r="L116" s="424">
        <f t="shared" ref="L116" si="144">SUM(L108:L115)</f>
        <v>443778403</v>
      </c>
      <c r="M116" s="424">
        <f t="shared" ref="M116" si="145">SUM(M108:M115)</f>
        <v>538965674</v>
      </c>
      <c r="N116" s="424">
        <f t="shared" ref="N116" si="146">SUM(N108:N115)</f>
        <v>30252280</v>
      </c>
      <c r="O116" s="424">
        <f t="shared" ref="O116" si="147">SUM(O108:O115)</f>
        <v>35316280</v>
      </c>
      <c r="P116" s="424"/>
      <c r="Q116" s="424">
        <f t="shared" ref="Q116" si="148">SUM(Q108:Q115)</f>
        <v>110150619.59999999</v>
      </c>
      <c r="R116" s="424">
        <f t="shared" ref="R116" si="149">SUM(R108:R115)</f>
        <v>110150619.59999999</v>
      </c>
      <c r="S116" s="424">
        <f t="shared" ref="S116" si="150">SUM(S108:S115)</f>
        <v>110150619.59999999</v>
      </c>
      <c r="T116" s="424">
        <f t="shared" ref="T116" si="151">SUM(T108:T115)</f>
        <v>330451858.80000001</v>
      </c>
      <c r="U116" s="424">
        <f t="shared" ref="U116" si="152">SUM(U108:U115)</f>
        <v>1544787015.8</v>
      </c>
      <c r="V116" s="472">
        <f>U116/F116</f>
        <v>0.64944340303666437</v>
      </c>
      <c r="W116" s="424"/>
      <c r="X116" s="424"/>
      <c r="Y116" s="424"/>
      <c r="Z116" s="424"/>
      <c r="AA116" s="424"/>
      <c r="AB116" s="424"/>
      <c r="AC116" s="424"/>
      <c r="AD116" s="424"/>
      <c r="AE116" s="424">
        <f t="shared" ref="AE116:AF116" si="153">SUM(AE108:AE115)</f>
        <v>0</v>
      </c>
      <c r="AF116" s="424" t="e">
        <f t="shared" si="153"/>
        <v>#REF!</v>
      </c>
      <c r="AG116" s="424">
        <v>164503365.83999991</v>
      </c>
      <c r="AP116" s="559"/>
      <c r="AQ116" s="472"/>
    </row>
    <row r="117" spans="1:45">
      <c r="A117" s="564"/>
      <c r="B117" s="565"/>
      <c r="C117" s="416"/>
      <c r="D117" s="566"/>
      <c r="E117" s="567"/>
      <c r="F117" s="417"/>
      <c r="G117" s="417"/>
      <c r="H117" s="417"/>
      <c r="I117" s="417"/>
      <c r="J117" s="417"/>
      <c r="K117" s="417"/>
      <c r="L117" s="417"/>
      <c r="M117" s="417"/>
      <c r="N117" s="568"/>
      <c r="O117" s="568"/>
      <c r="P117" s="416">
        <f t="shared" ref="P117:P120" si="154">SUM(G117:O117)</f>
        <v>0</v>
      </c>
      <c r="Q117" s="568"/>
      <c r="R117" s="568"/>
      <c r="S117" s="568"/>
      <c r="T117" s="579">
        <f t="shared" ref="T117:T125" si="155">SUM(Q117:S117)</f>
        <v>0</v>
      </c>
      <c r="U117" s="416">
        <f t="shared" ref="U117:U125" si="156">P117+T117</f>
        <v>0</v>
      </c>
      <c r="V117" s="569"/>
      <c r="W117" s="568"/>
      <c r="X117" s="568"/>
      <c r="Y117" s="568"/>
      <c r="Z117" s="568"/>
      <c r="AA117" s="568"/>
      <c r="AB117" s="568"/>
      <c r="AC117" s="568"/>
      <c r="AD117" s="568"/>
      <c r="AE117" s="568"/>
      <c r="AF117" s="570"/>
      <c r="AG117" s="570"/>
      <c r="AP117" s="571"/>
      <c r="AQ117" s="572"/>
    </row>
    <row r="118" spans="1:45">
      <c r="A118" s="419"/>
      <c r="B118" s="412">
        <v>12</v>
      </c>
      <c r="C118" s="413" t="s">
        <v>984</v>
      </c>
      <c r="D118" s="414">
        <v>1</v>
      </c>
      <c r="E118" s="415" t="s">
        <v>902</v>
      </c>
      <c r="F118" s="416">
        <v>10574864.433811802</v>
      </c>
      <c r="G118" s="416"/>
      <c r="H118" s="416"/>
      <c r="I118" s="416"/>
      <c r="J118" s="416"/>
      <c r="K118" s="416"/>
      <c r="L118" s="416"/>
      <c r="M118" s="416"/>
      <c r="N118" s="416">
        <v>450000</v>
      </c>
      <c r="O118" s="416">
        <v>974316</v>
      </c>
      <c r="P118" s="416">
        <f t="shared" si="154"/>
        <v>1424316</v>
      </c>
      <c r="Q118" s="416">
        <v>2570000</v>
      </c>
      <c r="R118" s="416">
        <v>10574864.433811802</v>
      </c>
      <c r="S118" s="416"/>
      <c r="T118" s="579">
        <f t="shared" si="155"/>
        <v>13144864.433811802</v>
      </c>
      <c r="U118" s="416">
        <f t="shared" si="156"/>
        <v>14569180.433811802</v>
      </c>
      <c r="V118" s="471">
        <f>U118/F118</f>
        <v>1.377717939080966</v>
      </c>
      <c r="W118" s="416"/>
      <c r="X118" s="416"/>
      <c r="Y118" s="416"/>
      <c r="Z118" s="416"/>
      <c r="AA118" s="416"/>
      <c r="AB118" s="416"/>
      <c r="AC118" s="416"/>
      <c r="AD118" s="416"/>
      <c r="AE118" s="416">
        <f>[8]Prognosa!G44</f>
        <v>70508220</v>
      </c>
      <c r="AF118" s="436" t="e">
        <f>AE118-#REF!</f>
        <v>#REF!</v>
      </c>
      <c r="AG118" s="436">
        <v>18774450</v>
      </c>
      <c r="AI118" s="411" t="s">
        <v>821</v>
      </c>
      <c r="AJ118" s="411" t="s">
        <v>822</v>
      </c>
      <c r="AK118" s="411" t="s">
        <v>835</v>
      </c>
      <c r="AL118" s="411" t="s">
        <v>842</v>
      </c>
      <c r="AO118" s="436"/>
    </row>
    <row r="119" spans="1:45" ht="14.25" customHeight="1">
      <c r="A119" s="404"/>
      <c r="B119" s="412"/>
      <c r="C119" s="591"/>
      <c r="D119" s="414">
        <v>2</v>
      </c>
      <c r="E119" s="415" t="s">
        <v>987</v>
      </c>
      <c r="F119" s="416"/>
      <c r="G119" s="416"/>
      <c r="H119" s="416"/>
      <c r="I119" s="416"/>
      <c r="J119" s="416"/>
      <c r="K119" s="416"/>
      <c r="L119" s="416"/>
      <c r="M119" s="416"/>
      <c r="N119" s="416"/>
      <c r="O119" s="416"/>
      <c r="P119" s="416">
        <f t="shared" si="154"/>
        <v>0</v>
      </c>
      <c r="Q119" s="416"/>
      <c r="R119" s="416"/>
      <c r="S119" s="416"/>
      <c r="T119" s="579">
        <f t="shared" si="155"/>
        <v>0</v>
      </c>
      <c r="U119" s="416">
        <f t="shared" si="156"/>
        <v>0</v>
      </c>
      <c r="V119" s="471" t="e">
        <f>U119/F119</f>
        <v>#DIV/0!</v>
      </c>
      <c r="W119" s="416"/>
      <c r="X119" s="416"/>
      <c r="Y119" s="416"/>
      <c r="Z119" s="416"/>
      <c r="AA119" s="416"/>
      <c r="AB119" s="416"/>
      <c r="AC119" s="416"/>
      <c r="AD119" s="416"/>
      <c r="AE119" s="416">
        <f>[8]Prognosa!G45</f>
        <v>653548850</v>
      </c>
      <c r="AF119" s="436" t="e">
        <f>AE119-#REF!</f>
        <v>#REF!</v>
      </c>
      <c r="AG119" s="436">
        <v>-334025189</v>
      </c>
      <c r="AI119" s="436">
        <v>28744815.000000004</v>
      </c>
      <c r="AJ119" s="436">
        <v>21600000</v>
      </c>
      <c r="AK119" s="436">
        <v>32400000</v>
      </c>
      <c r="AL119" s="436">
        <v>45040000</v>
      </c>
      <c r="AM119" s="436">
        <f>SUM(AI119:AL119)</f>
        <v>127784815</v>
      </c>
      <c r="AN119" s="436">
        <f>SUM(AJ119:AL119)</f>
        <v>99040000</v>
      </c>
      <c r="AO119" s="436"/>
    </row>
    <row r="120" spans="1:45">
      <c r="A120" s="419"/>
      <c r="B120" s="412"/>
      <c r="C120" s="591"/>
      <c r="D120" s="414">
        <v>3</v>
      </c>
      <c r="E120" s="418" t="s">
        <v>903</v>
      </c>
      <c r="F120" s="416">
        <v>263369573.5</v>
      </c>
      <c r="G120" s="416"/>
      <c r="H120" s="416"/>
      <c r="I120" s="416"/>
      <c r="J120" s="416"/>
      <c r="K120" s="416"/>
      <c r="L120" s="416"/>
      <c r="M120" s="416"/>
      <c r="N120" s="416"/>
      <c r="O120" s="416"/>
      <c r="P120" s="416">
        <f t="shared" si="154"/>
        <v>0</v>
      </c>
      <c r="Q120" s="416"/>
      <c r="R120" s="416">
        <v>263369573.5</v>
      </c>
      <c r="S120" s="416"/>
      <c r="T120" s="579">
        <f t="shared" si="155"/>
        <v>263369573.5</v>
      </c>
      <c r="U120" s="416">
        <f t="shared" si="156"/>
        <v>263369573.5</v>
      </c>
      <c r="V120" s="471">
        <f>U120/F120</f>
        <v>1</v>
      </c>
      <c r="W120" s="416"/>
      <c r="X120" s="416"/>
      <c r="Y120" s="416"/>
      <c r="Z120" s="416"/>
      <c r="AA120" s="416"/>
      <c r="AB120" s="416"/>
      <c r="AC120" s="416"/>
      <c r="AD120" s="416"/>
      <c r="AE120" s="416">
        <f>[8]Prognosa!G46</f>
        <v>213177250</v>
      </c>
      <c r="AF120" s="436" t="e">
        <f>AE120-#REF!</f>
        <v>#REF!</v>
      </c>
      <c r="AG120" s="436">
        <v>-28336365</v>
      </c>
      <c r="AI120" s="436">
        <v>0</v>
      </c>
      <c r="AJ120" s="436">
        <v>0</v>
      </c>
      <c r="AK120" s="436">
        <v>0</v>
      </c>
      <c r="AL120" s="436">
        <v>0</v>
      </c>
      <c r="AM120" s="436">
        <f>SUM(AI120:AL120)</f>
        <v>0</v>
      </c>
      <c r="AO120" s="436"/>
    </row>
    <row r="121" spans="1:45">
      <c r="A121" s="419"/>
      <c r="B121" s="412"/>
      <c r="C121" s="591"/>
      <c r="D121" s="414">
        <v>4</v>
      </c>
      <c r="E121" s="418" t="s">
        <v>32</v>
      </c>
      <c r="F121" s="416">
        <v>139517833.19999999</v>
      </c>
      <c r="G121" s="416"/>
      <c r="H121" s="416"/>
      <c r="I121" s="416"/>
      <c r="J121" s="416"/>
      <c r="K121" s="416">
        <v>2480000</v>
      </c>
      <c r="L121" s="416">
        <v>11750000</v>
      </c>
      <c r="M121" s="416">
        <v>1332000</v>
      </c>
      <c r="N121" s="416">
        <v>7253000</v>
      </c>
      <c r="O121" s="416">
        <v>5913000</v>
      </c>
      <c r="P121" s="416">
        <f>SUM(G121:O121)</f>
        <v>28728000</v>
      </c>
      <c r="Q121" s="416">
        <v>8957000</v>
      </c>
      <c r="R121" s="416">
        <v>123955833.2</v>
      </c>
      <c r="S121" s="416"/>
      <c r="T121" s="579">
        <f t="shared" si="155"/>
        <v>132912833.2</v>
      </c>
      <c r="U121" s="416">
        <f t="shared" si="156"/>
        <v>161640833.19999999</v>
      </c>
      <c r="V121" s="471">
        <f>U121/F121</f>
        <v>1.1585675428909972</v>
      </c>
      <c r="W121" s="416"/>
      <c r="X121" s="416"/>
      <c r="Y121" s="416"/>
      <c r="Z121" s="416"/>
      <c r="AA121" s="416"/>
      <c r="AB121" s="416"/>
      <c r="AC121" s="416"/>
      <c r="AD121" s="416"/>
      <c r="AE121" s="416"/>
      <c r="AF121" s="436"/>
      <c r="AG121" s="436"/>
      <c r="AI121" s="436"/>
      <c r="AJ121" s="436"/>
      <c r="AK121" s="436"/>
      <c r="AL121" s="436"/>
      <c r="AM121" s="436"/>
      <c r="AO121" s="436"/>
      <c r="AS121" s="436"/>
    </row>
    <row r="122" spans="1:45">
      <c r="A122" s="419"/>
      <c r="B122" s="412"/>
      <c r="C122" s="591"/>
      <c r="D122" s="414">
        <v>5</v>
      </c>
      <c r="E122" s="418" t="s">
        <v>43</v>
      </c>
      <c r="F122" s="416">
        <v>60971920</v>
      </c>
      <c r="G122" s="416"/>
      <c r="H122" s="416"/>
      <c r="I122" s="416"/>
      <c r="J122" s="416"/>
      <c r="K122" s="416">
        <v>0</v>
      </c>
      <c r="L122" s="416">
        <v>0</v>
      </c>
      <c r="M122" s="416"/>
      <c r="N122" s="416">
        <v>2657000</v>
      </c>
      <c r="O122" s="416">
        <v>2352000</v>
      </c>
      <c r="P122" s="416">
        <f t="shared" ref="P122:P124" si="157">SUM(G122:O122)</f>
        <v>5009000</v>
      </c>
      <c r="Q122" s="416">
        <v>3475000</v>
      </c>
      <c r="R122" s="416">
        <v>60971920</v>
      </c>
      <c r="S122" s="416"/>
      <c r="T122" s="579">
        <f t="shared" si="155"/>
        <v>64446920</v>
      </c>
      <c r="U122" s="416">
        <f t="shared" si="156"/>
        <v>69455920</v>
      </c>
      <c r="V122" s="471">
        <f>U122/F122</f>
        <v>1.1391460200039625</v>
      </c>
      <c r="W122" s="416"/>
      <c r="X122" s="416"/>
      <c r="Y122" s="416"/>
      <c r="Z122" s="416"/>
      <c r="AA122" s="416"/>
      <c r="AB122" s="416"/>
      <c r="AC122" s="416"/>
      <c r="AD122" s="416"/>
      <c r="AE122" s="416"/>
      <c r="AF122" s="436"/>
      <c r="AG122" s="436"/>
      <c r="AI122" s="436"/>
      <c r="AJ122" s="436"/>
      <c r="AK122" s="436"/>
      <c r="AL122" s="436"/>
      <c r="AM122" s="436"/>
      <c r="AO122" s="436"/>
      <c r="AS122" s="436"/>
    </row>
    <row r="123" spans="1:45">
      <c r="A123" s="419"/>
      <c r="B123" s="412"/>
      <c r="C123" s="591"/>
      <c r="D123" s="414">
        <v>6</v>
      </c>
      <c r="E123" s="418" t="s">
        <v>904</v>
      </c>
      <c r="F123" s="416">
        <v>21911904.761904765</v>
      </c>
      <c r="G123" s="416"/>
      <c r="H123" s="416"/>
      <c r="I123" s="416"/>
      <c r="J123" s="416"/>
      <c r="K123" s="416"/>
      <c r="L123" s="416"/>
      <c r="M123" s="416"/>
      <c r="N123" s="416"/>
      <c r="O123" s="416"/>
      <c r="P123" s="416">
        <f t="shared" si="157"/>
        <v>0</v>
      </c>
      <c r="Q123" s="416"/>
      <c r="R123" s="416">
        <v>11911904.7619048</v>
      </c>
      <c r="S123" s="416"/>
      <c r="T123" s="579">
        <f t="shared" si="155"/>
        <v>11911904.7619048</v>
      </c>
      <c r="U123" s="416">
        <f t="shared" si="156"/>
        <v>11911904.7619048</v>
      </c>
      <c r="V123" s="471">
        <f>U123/F123</f>
        <v>0.54362707812669953</v>
      </c>
      <c r="W123" s="416"/>
      <c r="X123" s="416"/>
      <c r="Y123" s="416"/>
      <c r="Z123" s="416"/>
      <c r="AA123" s="416"/>
      <c r="AB123" s="416"/>
      <c r="AC123" s="416"/>
      <c r="AD123" s="416"/>
      <c r="AE123" s="416"/>
      <c r="AF123" s="436"/>
      <c r="AG123" s="436"/>
      <c r="AI123" s="436"/>
      <c r="AJ123" s="436"/>
      <c r="AK123" s="436"/>
      <c r="AL123" s="436"/>
      <c r="AM123" s="436"/>
      <c r="AO123" s="436"/>
    </row>
    <row r="124" spans="1:45">
      <c r="A124" s="419"/>
      <c r="B124" s="412"/>
      <c r="C124" s="591"/>
      <c r="D124" s="414">
        <v>7</v>
      </c>
      <c r="E124" s="418" t="s">
        <v>985</v>
      </c>
      <c r="F124" s="416">
        <v>77550000</v>
      </c>
      <c r="G124" s="416"/>
      <c r="H124" s="416"/>
      <c r="I124" s="416"/>
      <c r="J124" s="416">
        <v>20879655</v>
      </c>
      <c r="K124" s="416"/>
      <c r="L124" s="416">
        <v>26612250</v>
      </c>
      <c r="M124" s="416"/>
      <c r="N124" s="416"/>
      <c r="O124" s="416"/>
      <c r="P124" s="416">
        <f t="shared" si="157"/>
        <v>47491905</v>
      </c>
      <c r="Q124" s="416"/>
      <c r="R124" s="416">
        <v>38000000</v>
      </c>
      <c r="S124" s="416"/>
      <c r="T124" s="579">
        <f t="shared" si="155"/>
        <v>38000000</v>
      </c>
      <c r="U124" s="416">
        <f t="shared" si="156"/>
        <v>85491905</v>
      </c>
      <c r="V124" s="471">
        <f>U124/F124</f>
        <v>1.1024101225016119</v>
      </c>
      <c r="W124" s="416"/>
      <c r="X124" s="416"/>
      <c r="Y124" s="416"/>
      <c r="Z124" s="416"/>
      <c r="AA124" s="416"/>
      <c r="AB124" s="416"/>
      <c r="AC124" s="416"/>
      <c r="AD124" s="416"/>
      <c r="AE124" s="416">
        <f>[8]Prognosa!G47</f>
        <v>232968700</v>
      </c>
      <c r="AF124" s="436" t="e">
        <f>AE124-#REF!</f>
        <v>#REF!</v>
      </c>
      <c r="AG124" s="436">
        <v>-204326400.5</v>
      </c>
      <c r="AI124" s="436">
        <v>15583450</v>
      </c>
      <c r="AJ124" s="436">
        <v>4572000</v>
      </c>
      <c r="AK124" s="436">
        <v>65747000</v>
      </c>
      <c r="AL124" s="436">
        <v>37969018.814999998</v>
      </c>
      <c r="AM124" s="436">
        <f>SUM(AI124:AL124)</f>
        <v>123871468.815</v>
      </c>
      <c r="AN124" s="436">
        <f>SUM(AJ124:AL124)</f>
        <v>108288018.815</v>
      </c>
      <c r="AO124" s="436"/>
    </row>
    <row r="125" spans="1:45" ht="14.25" customHeight="1">
      <c r="A125" s="419"/>
      <c r="B125" s="412"/>
      <c r="C125" s="413"/>
      <c r="D125" s="414">
        <v>8</v>
      </c>
      <c r="E125" s="418" t="s">
        <v>986</v>
      </c>
      <c r="F125" s="416">
        <v>3450000</v>
      </c>
      <c r="G125" s="416"/>
      <c r="H125" s="416"/>
      <c r="I125" s="416"/>
      <c r="J125" s="416"/>
      <c r="K125" s="416"/>
      <c r="L125" s="416"/>
      <c r="M125" s="416"/>
      <c r="N125" s="416"/>
      <c r="O125" s="416"/>
      <c r="P125" s="416">
        <f>SUM(G125:O125)</f>
        <v>0</v>
      </c>
      <c r="Q125" s="416"/>
      <c r="R125" s="416"/>
      <c r="S125" s="416"/>
      <c r="T125" s="579">
        <f t="shared" si="155"/>
        <v>0</v>
      </c>
      <c r="U125" s="416">
        <f t="shared" si="156"/>
        <v>0</v>
      </c>
      <c r="V125" s="471">
        <f>U125/F125</f>
        <v>0</v>
      </c>
      <c r="W125" s="416"/>
      <c r="X125" s="416"/>
      <c r="Y125" s="416"/>
      <c r="Z125" s="416"/>
      <c r="AA125" s="416"/>
      <c r="AB125" s="416"/>
      <c r="AC125" s="416"/>
      <c r="AD125" s="416"/>
      <c r="AE125" s="416">
        <f>[8]Prognosa!G48</f>
        <v>20548000</v>
      </c>
      <c r="AF125" s="436" t="e">
        <f>AE125-#REF!</f>
        <v>#REF!</v>
      </c>
      <c r="AG125" s="436">
        <v>-394148000</v>
      </c>
      <c r="AI125" s="436">
        <v>68002600</v>
      </c>
      <c r="AJ125" s="436">
        <v>32028000</v>
      </c>
      <c r="AK125" s="436">
        <v>22585500</v>
      </c>
      <c r="AL125" s="436">
        <v>73692000</v>
      </c>
      <c r="AM125" s="436">
        <f>SUM(AI125:AL125)</f>
        <v>196308100</v>
      </c>
      <c r="AN125" s="436">
        <f>SUM(AJ125:AL125)</f>
        <v>128305500</v>
      </c>
      <c r="AO125" s="436"/>
    </row>
    <row r="126" spans="1:45">
      <c r="A126" s="419"/>
      <c r="B126" s="427"/>
      <c r="C126" s="428"/>
      <c r="D126" s="429"/>
      <c r="E126" s="430" t="s">
        <v>905</v>
      </c>
      <c r="F126" s="424">
        <f>SUM(F118:F125)</f>
        <v>577346095.89571655</v>
      </c>
      <c r="G126" s="424">
        <f t="shared" ref="G126" si="158">SUM(G118:G125)</f>
        <v>0</v>
      </c>
      <c r="H126" s="424">
        <f t="shared" ref="H126" si="159">SUM(H118:H125)</f>
        <v>0</v>
      </c>
      <c r="I126" s="424">
        <f t="shared" ref="I126" si="160">SUM(I118:I125)</f>
        <v>0</v>
      </c>
      <c r="J126" s="424">
        <f t="shared" ref="J126" si="161">SUM(J118:J125)</f>
        <v>20879655</v>
      </c>
      <c r="K126" s="424">
        <f t="shared" ref="K126" si="162">SUM(K118:K125)</f>
        <v>2480000</v>
      </c>
      <c r="L126" s="424">
        <f t="shared" ref="L126" si="163">SUM(L118:L125)</f>
        <v>38362250</v>
      </c>
      <c r="M126" s="424">
        <f t="shared" ref="M126" si="164">SUM(M118:M125)</f>
        <v>1332000</v>
      </c>
      <c r="N126" s="424">
        <f t="shared" ref="N126" si="165">SUM(N118:N125)</f>
        <v>10360000</v>
      </c>
      <c r="O126" s="424">
        <f t="shared" ref="O126" si="166">SUM(O118:O125)</f>
        <v>9239316</v>
      </c>
      <c r="P126" s="424"/>
      <c r="Q126" s="424">
        <f t="shared" ref="Q126" si="167">SUM(Q118:Q125)</f>
        <v>15002000</v>
      </c>
      <c r="R126" s="424">
        <f t="shared" ref="R126" si="168">SUM(R118:R125)</f>
        <v>508784095.89571655</v>
      </c>
      <c r="S126" s="424">
        <f t="shared" ref="S126" si="169">SUM(S118:S125)</f>
        <v>0</v>
      </c>
      <c r="T126" s="424">
        <f t="shared" ref="T126" si="170">SUM(T118:T125)</f>
        <v>523786095.89571655</v>
      </c>
      <c r="U126" s="424">
        <f t="shared" ref="U126" si="171">SUM(U118:U125)</f>
        <v>606439316.89571655</v>
      </c>
      <c r="V126" s="472">
        <f>U126/F126</f>
        <v>1.0503913011741488</v>
      </c>
      <c r="W126" s="424"/>
      <c r="X126" s="424"/>
      <c r="Y126" s="424"/>
      <c r="Z126" s="424"/>
      <c r="AA126" s="424"/>
      <c r="AB126" s="424"/>
      <c r="AC126" s="424"/>
      <c r="AD126" s="424"/>
      <c r="AE126" s="424">
        <f>SUM(AE118:AE125)</f>
        <v>1190751020</v>
      </c>
      <c r="AF126" s="424" t="e">
        <f>SUM(AF118:AF125)</f>
        <v>#REF!</v>
      </c>
      <c r="AG126" s="424">
        <v>-942061504.5</v>
      </c>
      <c r="AI126" s="436">
        <v>0</v>
      </c>
      <c r="AJ126" s="436"/>
      <c r="AK126" s="436">
        <v>0</v>
      </c>
      <c r="AL126" s="436"/>
      <c r="AM126" s="436">
        <f>SUM(AI126:AL126)</f>
        <v>0</v>
      </c>
      <c r="AP126" s="559"/>
      <c r="AQ126" s="472"/>
    </row>
    <row r="127" spans="1:45">
      <c r="A127" s="419"/>
      <c r="B127" s="565"/>
      <c r="C127" s="416"/>
      <c r="D127" s="566"/>
      <c r="E127" s="567"/>
      <c r="F127" s="417"/>
      <c r="G127" s="417"/>
      <c r="H127" s="417"/>
      <c r="I127" s="417"/>
      <c r="J127" s="417"/>
      <c r="K127" s="417"/>
      <c r="L127" s="417"/>
      <c r="M127" s="417"/>
      <c r="N127" s="568"/>
      <c r="O127" s="568"/>
      <c r="P127" s="416">
        <f t="shared" ref="P127:P130" si="172">SUM(G127:O127)</f>
        <v>0</v>
      </c>
      <c r="Q127" s="568"/>
      <c r="R127" s="568"/>
      <c r="S127" s="568"/>
      <c r="T127" s="579">
        <f t="shared" ref="T127:T135" si="173">SUM(Q127:S127)</f>
        <v>0</v>
      </c>
      <c r="U127" s="416">
        <f t="shared" ref="U127:U135" si="174">P127+T127</f>
        <v>0</v>
      </c>
      <c r="V127" s="569"/>
      <c r="W127" s="574"/>
      <c r="X127" s="574"/>
      <c r="Y127" s="574"/>
      <c r="Z127" s="574"/>
      <c r="AA127" s="574"/>
      <c r="AB127" s="574"/>
      <c r="AC127" s="574"/>
      <c r="AD127" s="574"/>
      <c r="AE127" s="574"/>
      <c r="AF127" s="574"/>
      <c r="AG127" s="574"/>
      <c r="AI127" s="436"/>
      <c r="AJ127" s="436"/>
      <c r="AK127" s="436"/>
      <c r="AL127" s="436"/>
      <c r="AM127" s="436"/>
      <c r="AP127" s="576"/>
      <c r="AQ127" s="575"/>
    </row>
    <row r="128" spans="1:45">
      <c r="A128" s="419"/>
      <c r="B128" s="412">
        <v>13</v>
      </c>
      <c r="C128" s="413" t="s">
        <v>992</v>
      </c>
      <c r="D128" s="414">
        <v>1</v>
      </c>
      <c r="E128" s="415" t="s">
        <v>902</v>
      </c>
      <c r="F128" s="416">
        <v>203717557.86044618</v>
      </c>
      <c r="G128" s="416"/>
      <c r="H128" s="416"/>
      <c r="I128" s="416">
        <v>16321301</v>
      </c>
      <c r="J128" s="416">
        <v>12105280</v>
      </c>
      <c r="K128" s="416"/>
      <c r="L128" s="416"/>
      <c r="M128" s="416">
        <v>5998300</v>
      </c>
      <c r="N128" s="416">
        <v>12105280</v>
      </c>
      <c r="O128" s="416">
        <v>12105280</v>
      </c>
      <c r="P128" s="416">
        <f t="shared" si="172"/>
        <v>58635441</v>
      </c>
      <c r="Q128" s="416">
        <v>18858535.3720892</v>
      </c>
      <c r="R128" s="416">
        <v>18858535.3720892</v>
      </c>
      <c r="S128" s="416">
        <v>18858535.3720892</v>
      </c>
      <c r="T128" s="579">
        <f t="shared" si="173"/>
        <v>56575606.116267599</v>
      </c>
      <c r="U128" s="416">
        <f t="shared" si="174"/>
        <v>115211047.11626759</v>
      </c>
      <c r="V128" s="471">
        <f>U128/F128</f>
        <v>0.56554304069947314</v>
      </c>
      <c r="W128" s="574"/>
      <c r="X128" s="574"/>
      <c r="Y128" s="574"/>
      <c r="Z128" s="574"/>
      <c r="AA128" s="574"/>
      <c r="AB128" s="574"/>
      <c r="AC128" s="574"/>
      <c r="AD128" s="574"/>
      <c r="AE128" s="574"/>
      <c r="AF128" s="574"/>
      <c r="AG128" s="574"/>
      <c r="AI128" s="436"/>
      <c r="AJ128" s="436"/>
      <c r="AK128" s="436"/>
      <c r="AL128" s="436"/>
      <c r="AM128" s="436"/>
      <c r="AO128" s="436"/>
      <c r="AP128" s="576"/>
      <c r="AQ128" s="575"/>
      <c r="AS128" s="580"/>
    </row>
    <row r="129" spans="1:45">
      <c r="A129" s="419"/>
      <c r="B129" s="412"/>
      <c r="C129" s="591"/>
      <c r="D129" s="414">
        <v>2</v>
      </c>
      <c r="E129" s="415" t="s">
        <v>987</v>
      </c>
      <c r="F129" s="416"/>
      <c r="G129" s="416"/>
      <c r="H129" s="416"/>
      <c r="I129" s="416"/>
      <c r="J129" s="416"/>
      <c r="K129" s="416"/>
      <c r="L129" s="416"/>
      <c r="M129" s="416"/>
      <c r="N129" s="416"/>
      <c r="O129" s="416"/>
      <c r="P129" s="416">
        <f t="shared" si="172"/>
        <v>0</v>
      </c>
      <c r="Q129" s="416"/>
      <c r="R129" s="416"/>
      <c r="S129" s="416"/>
      <c r="T129" s="579">
        <f t="shared" si="173"/>
        <v>0</v>
      </c>
      <c r="U129" s="416">
        <f t="shared" si="174"/>
        <v>0</v>
      </c>
      <c r="V129" s="471" t="e">
        <f>U129/F129</f>
        <v>#DIV/0!</v>
      </c>
      <c r="W129" s="574"/>
      <c r="X129" s="574"/>
      <c r="Y129" s="574"/>
      <c r="Z129" s="574"/>
      <c r="AA129" s="574"/>
      <c r="AB129" s="574"/>
      <c r="AC129" s="574"/>
      <c r="AD129" s="574"/>
      <c r="AE129" s="574"/>
      <c r="AF129" s="574"/>
      <c r="AG129" s="574"/>
      <c r="AI129" s="436"/>
      <c r="AJ129" s="436"/>
      <c r="AK129" s="436"/>
      <c r="AL129" s="436"/>
      <c r="AM129" s="436"/>
      <c r="AO129" s="436"/>
      <c r="AP129" s="576"/>
      <c r="AQ129" s="575"/>
      <c r="AS129" s="580"/>
    </row>
    <row r="130" spans="1:45">
      <c r="A130" s="419"/>
      <c r="B130" s="412"/>
      <c r="C130" s="591"/>
      <c r="D130" s="414">
        <v>3</v>
      </c>
      <c r="E130" s="418" t="s">
        <v>903</v>
      </c>
      <c r="F130" s="416">
        <v>1224088671.4285715</v>
      </c>
      <c r="G130" s="416">
        <v>260219050</v>
      </c>
      <c r="H130" s="416">
        <v>175647859</v>
      </c>
      <c r="I130" s="416">
        <v>63167034</v>
      </c>
      <c r="J130" s="416"/>
      <c r="K130" s="416"/>
      <c r="L130" s="416"/>
      <c r="M130" s="416"/>
      <c r="N130" s="416"/>
      <c r="O130" s="416"/>
      <c r="P130" s="416">
        <f t="shared" si="172"/>
        <v>499033943</v>
      </c>
      <c r="Q130" s="416">
        <v>350000000</v>
      </c>
      <c r="R130" s="416"/>
      <c r="S130" s="416"/>
      <c r="T130" s="579">
        <f t="shared" si="173"/>
        <v>350000000</v>
      </c>
      <c r="U130" s="416">
        <f t="shared" si="174"/>
        <v>849033943</v>
      </c>
      <c r="V130" s="471">
        <f>U130/F130</f>
        <v>0.69360493468919682</v>
      </c>
      <c r="W130" s="574"/>
      <c r="X130" s="574"/>
      <c r="Y130" s="574"/>
      <c r="Z130" s="574"/>
      <c r="AA130" s="574"/>
      <c r="AB130" s="574"/>
      <c r="AC130" s="574"/>
      <c r="AD130" s="574"/>
      <c r="AE130" s="574"/>
      <c r="AF130" s="574"/>
      <c r="AG130" s="574"/>
      <c r="AI130" s="436"/>
      <c r="AJ130" s="436"/>
      <c r="AK130" s="436"/>
      <c r="AL130" s="436"/>
      <c r="AM130" s="436"/>
      <c r="AO130" s="436" t="s">
        <v>994</v>
      </c>
      <c r="AP130" s="576"/>
      <c r="AQ130" s="575"/>
      <c r="AS130" s="580"/>
    </row>
    <row r="131" spans="1:45">
      <c r="A131" s="419"/>
      <c r="B131" s="412"/>
      <c r="C131" s="591"/>
      <c r="D131" s="414">
        <v>4</v>
      </c>
      <c r="E131" s="418" t="s">
        <v>32</v>
      </c>
      <c r="F131" s="416">
        <v>469887666.66666657</v>
      </c>
      <c r="G131" s="416">
        <v>6240000</v>
      </c>
      <c r="H131" s="416"/>
      <c r="I131" s="416">
        <v>88906903</v>
      </c>
      <c r="J131" s="416">
        <v>40275000</v>
      </c>
      <c r="K131" s="416">
        <v>19411000</v>
      </c>
      <c r="L131" s="416">
        <v>19256000</v>
      </c>
      <c r="M131" s="416">
        <v>28138900</v>
      </c>
      <c r="N131" s="416">
        <v>10049000</v>
      </c>
      <c r="O131" s="416">
        <v>16157000</v>
      </c>
      <c r="P131" s="416">
        <f>SUM(G131:O131)</f>
        <v>228433803</v>
      </c>
      <c r="Q131" s="416">
        <v>53531972.733333312</v>
      </c>
      <c r="R131" s="416">
        <v>53531972.733333312</v>
      </c>
      <c r="S131" s="416">
        <v>53531972.733333312</v>
      </c>
      <c r="T131" s="579">
        <f t="shared" si="173"/>
        <v>160595918.19999993</v>
      </c>
      <c r="U131" s="416">
        <f t="shared" si="174"/>
        <v>389029721.19999993</v>
      </c>
      <c r="V131" s="471">
        <f>U131/F131</f>
        <v>0.82792068998051305</v>
      </c>
      <c r="W131" s="574"/>
      <c r="X131" s="574"/>
      <c r="Y131" s="574"/>
      <c r="Z131" s="574"/>
      <c r="AA131" s="574"/>
      <c r="AB131" s="574"/>
      <c r="AC131" s="574"/>
      <c r="AD131" s="574"/>
      <c r="AE131" s="574"/>
      <c r="AF131" s="574"/>
      <c r="AG131" s="574"/>
      <c r="AI131" s="436"/>
      <c r="AJ131" s="436"/>
      <c r="AK131" s="436"/>
      <c r="AL131" s="436"/>
      <c r="AM131" s="436"/>
      <c r="AO131" s="436"/>
      <c r="AP131" s="576"/>
      <c r="AQ131" s="575"/>
      <c r="AS131" s="580"/>
    </row>
    <row r="132" spans="1:45">
      <c r="A132" s="419"/>
      <c r="B132" s="412"/>
      <c r="C132" s="591"/>
      <c r="D132" s="414">
        <v>5</v>
      </c>
      <c r="E132" s="418" t="s">
        <v>43</v>
      </c>
      <c r="F132" s="416">
        <v>390593900</v>
      </c>
      <c r="G132" s="416">
        <v>8535000</v>
      </c>
      <c r="H132" s="416"/>
      <c r="I132" s="416">
        <v>10350050</v>
      </c>
      <c r="J132" s="416">
        <v>2376000</v>
      </c>
      <c r="K132" s="416">
        <v>18229875</v>
      </c>
      <c r="L132" s="416">
        <v>7392000</v>
      </c>
      <c r="M132" s="416">
        <v>10196200</v>
      </c>
      <c r="N132" s="416">
        <v>9550000</v>
      </c>
      <c r="O132" s="416">
        <v>18238000</v>
      </c>
      <c r="P132" s="416">
        <f t="shared" ref="P132:P134" si="175">SUM(G132:O132)</f>
        <v>84867125</v>
      </c>
      <c r="Q132" s="416">
        <v>66702955</v>
      </c>
      <c r="R132" s="416">
        <v>66702955</v>
      </c>
      <c r="S132" s="416">
        <v>66702955</v>
      </c>
      <c r="T132" s="579">
        <f t="shared" si="173"/>
        <v>200108865</v>
      </c>
      <c r="U132" s="416">
        <f t="shared" si="174"/>
        <v>284975990</v>
      </c>
      <c r="V132" s="471">
        <f>U132/F132</f>
        <v>0.72959662196465436</v>
      </c>
      <c r="W132" s="574"/>
      <c r="X132" s="574"/>
      <c r="Y132" s="574"/>
      <c r="Z132" s="574"/>
      <c r="AA132" s="574"/>
      <c r="AB132" s="574"/>
      <c r="AC132" s="574"/>
      <c r="AD132" s="574"/>
      <c r="AE132" s="574"/>
      <c r="AF132" s="574"/>
      <c r="AG132" s="574"/>
      <c r="AI132" s="436"/>
      <c r="AJ132" s="436"/>
      <c r="AK132" s="436"/>
      <c r="AL132" s="436"/>
      <c r="AM132" s="436"/>
      <c r="AO132" s="436"/>
      <c r="AP132" s="576"/>
      <c r="AQ132" s="575"/>
      <c r="AS132" s="580"/>
    </row>
    <row r="133" spans="1:45">
      <c r="A133" s="419"/>
      <c r="B133" s="412"/>
      <c r="C133" s="591"/>
      <c r="D133" s="414">
        <v>6</v>
      </c>
      <c r="E133" s="418" t="s">
        <v>904</v>
      </c>
      <c r="F133" s="416">
        <v>50252000</v>
      </c>
      <c r="G133" s="416"/>
      <c r="H133" s="416"/>
      <c r="I133" s="416">
        <v>10127250</v>
      </c>
      <c r="J133" s="416"/>
      <c r="K133" s="416"/>
      <c r="L133" s="416"/>
      <c r="M133" s="416"/>
      <c r="N133" s="416"/>
      <c r="O133" s="416"/>
      <c r="P133" s="416">
        <f t="shared" si="175"/>
        <v>10127250</v>
      </c>
      <c r="Q133" s="416"/>
      <c r="R133" s="416"/>
      <c r="S133" s="416"/>
      <c r="T133" s="579">
        <f t="shared" si="173"/>
        <v>0</v>
      </c>
      <c r="U133" s="416">
        <f t="shared" si="174"/>
        <v>10127250</v>
      </c>
      <c r="V133" s="471">
        <f>U133/F133</f>
        <v>0.20152929236647299</v>
      </c>
      <c r="W133" s="574"/>
      <c r="X133" s="574"/>
      <c r="Y133" s="574"/>
      <c r="Z133" s="574"/>
      <c r="AA133" s="574"/>
      <c r="AB133" s="574"/>
      <c r="AC133" s="574"/>
      <c r="AD133" s="574"/>
      <c r="AE133" s="574"/>
      <c r="AF133" s="574"/>
      <c r="AG133" s="574"/>
      <c r="AI133" s="436"/>
      <c r="AJ133" s="436"/>
      <c r="AK133" s="436"/>
      <c r="AL133" s="436"/>
      <c r="AM133" s="436"/>
      <c r="AO133" s="436"/>
      <c r="AP133" s="576"/>
      <c r="AQ133" s="575"/>
      <c r="AS133" s="580"/>
    </row>
    <row r="134" spans="1:45">
      <c r="A134" s="419"/>
      <c r="B134" s="412"/>
      <c r="C134" s="591"/>
      <c r="D134" s="414">
        <v>7</v>
      </c>
      <c r="E134" s="418" t="s">
        <v>985</v>
      </c>
      <c r="F134" s="416">
        <v>87450000</v>
      </c>
      <c r="G134" s="416"/>
      <c r="H134" s="416"/>
      <c r="I134" s="416"/>
      <c r="J134" s="416"/>
      <c r="K134" s="416"/>
      <c r="L134" s="416"/>
      <c r="M134" s="416">
        <v>173820450</v>
      </c>
      <c r="N134" s="416"/>
      <c r="O134" s="416"/>
      <c r="P134" s="416">
        <f t="shared" si="175"/>
        <v>173820450</v>
      </c>
      <c r="Q134" s="416">
        <v>0</v>
      </c>
      <c r="R134" s="416"/>
      <c r="S134" s="416"/>
      <c r="T134" s="579">
        <f t="shared" si="173"/>
        <v>0</v>
      </c>
      <c r="U134" s="416">
        <f t="shared" si="174"/>
        <v>173820450</v>
      </c>
      <c r="V134" s="471">
        <f>U134/F134</f>
        <v>1.987655231560892</v>
      </c>
      <c r="W134" s="574"/>
      <c r="X134" s="574"/>
      <c r="Y134" s="574"/>
      <c r="Z134" s="574"/>
      <c r="AA134" s="574"/>
      <c r="AB134" s="574"/>
      <c r="AC134" s="574"/>
      <c r="AD134" s="574"/>
      <c r="AE134" s="574"/>
      <c r="AF134" s="574"/>
      <c r="AG134" s="574"/>
      <c r="AI134" s="436"/>
      <c r="AJ134" s="436"/>
      <c r="AK134" s="436"/>
      <c r="AL134" s="436"/>
      <c r="AM134" s="436"/>
      <c r="AO134" s="436"/>
      <c r="AP134" s="576"/>
      <c r="AQ134" s="575"/>
      <c r="AS134" s="580"/>
    </row>
    <row r="135" spans="1:45">
      <c r="A135" s="419"/>
      <c r="B135" s="412"/>
      <c r="C135" s="413"/>
      <c r="D135" s="414">
        <v>8</v>
      </c>
      <c r="E135" s="418" t="s">
        <v>986</v>
      </c>
      <c r="F135" s="416">
        <v>9261000</v>
      </c>
      <c r="G135" s="416"/>
      <c r="H135" s="416"/>
      <c r="I135" s="416"/>
      <c r="J135" s="416"/>
      <c r="K135" s="416"/>
      <c r="L135" s="416"/>
      <c r="M135" s="416"/>
      <c r="N135" s="416"/>
      <c r="O135" s="416"/>
      <c r="P135" s="416">
        <f>SUM(G135:O135)</f>
        <v>0</v>
      </c>
      <c r="Q135" s="416"/>
      <c r="R135" s="416"/>
      <c r="S135" s="416"/>
      <c r="T135" s="579">
        <f t="shared" si="173"/>
        <v>0</v>
      </c>
      <c r="U135" s="416">
        <f t="shared" si="174"/>
        <v>0</v>
      </c>
      <c r="V135" s="471">
        <f>U135/F135</f>
        <v>0</v>
      </c>
      <c r="W135" s="574"/>
      <c r="X135" s="574"/>
      <c r="Y135" s="574"/>
      <c r="Z135" s="574"/>
      <c r="AA135" s="574"/>
      <c r="AB135" s="574"/>
      <c r="AC135" s="574"/>
      <c r="AD135" s="574"/>
      <c r="AE135" s="574"/>
      <c r="AF135" s="574"/>
      <c r="AG135" s="574"/>
      <c r="AI135" s="436"/>
      <c r="AJ135" s="436"/>
      <c r="AK135" s="436"/>
      <c r="AL135" s="436"/>
      <c r="AM135" s="436"/>
      <c r="AO135" s="436"/>
      <c r="AP135" s="576"/>
      <c r="AQ135" s="575"/>
      <c r="AS135" s="580"/>
    </row>
    <row r="136" spans="1:45">
      <c r="A136" s="419"/>
      <c r="B136" s="427"/>
      <c r="C136" s="428"/>
      <c r="D136" s="429"/>
      <c r="E136" s="430" t="s">
        <v>905</v>
      </c>
      <c r="F136" s="424">
        <f>SUM(F128:F135)</f>
        <v>2435250795.9556842</v>
      </c>
      <c r="G136" s="424">
        <f t="shared" ref="G136:U136" si="176">SUM(G128:G135)</f>
        <v>274994050</v>
      </c>
      <c r="H136" s="424">
        <f t="shared" si="176"/>
        <v>175647859</v>
      </c>
      <c r="I136" s="424">
        <f t="shared" si="176"/>
        <v>188872538</v>
      </c>
      <c r="J136" s="424">
        <f t="shared" si="176"/>
        <v>54756280</v>
      </c>
      <c r="K136" s="424">
        <f t="shared" si="176"/>
        <v>37640875</v>
      </c>
      <c r="L136" s="424">
        <f t="shared" si="176"/>
        <v>26648000</v>
      </c>
      <c r="M136" s="424">
        <f t="shared" si="176"/>
        <v>218153850</v>
      </c>
      <c r="N136" s="424">
        <f t="shared" si="176"/>
        <v>31704280</v>
      </c>
      <c r="O136" s="424">
        <f t="shared" si="176"/>
        <v>46500280</v>
      </c>
      <c r="P136" s="424"/>
      <c r="Q136" s="424">
        <f t="shared" si="176"/>
        <v>489093463.1054225</v>
      </c>
      <c r="R136" s="424">
        <f t="shared" si="176"/>
        <v>139093463.1054225</v>
      </c>
      <c r="S136" s="424">
        <f t="shared" si="176"/>
        <v>139093463.1054225</v>
      </c>
      <c r="T136" s="424">
        <f t="shared" si="176"/>
        <v>767280389.31626749</v>
      </c>
      <c r="U136" s="424">
        <f t="shared" si="176"/>
        <v>1822198401.3162675</v>
      </c>
      <c r="V136" s="472">
        <f>U136/F136</f>
        <v>0.74825903120223314</v>
      </c>
      <c r="W136" s="574"/>
      <c r="X136" s="574"/>
      <c r="Y136" s="574"/>
      <c r="Z136" s="574"/>
      <c r="AA136" s="574"/>
      <c r="AB136" s="574"/>
      <c r="AC136" s="574"/>
      <c r="AD136" s="574"/>
      <c r="AE136" s="574"/>
      <c r="AF136" s="574"/>
      <c r="AG136" s="574"/>
      <c r="AI136" s="436"/>
      <c r="AJ136" s="436"/>
      <c r="AK136" s="436"/>
      <c r="AL136" s="436"/>
      <c r="AM136" s="436"/>
      <c r="AP136" s="576"/>
      <c r="AQ136" s="575"/>
    </row>
    <row r="137" spans="1:45" ht="8.25" customHeight="1">
      <c r="A137" s="419"/>
      <c r="B137" s="593"/>
      <c r="C137" s="594"/>
      <c r="D137" s="594"/>
      <c r="E137" s="594"/>
      <c r="F137" s="594"/>
      <c r="G137" s="594"/>
      <c r="H137" s="594"/>
      <c r="I137" s="594"/>
      <c r="J137" s="594"/>
      <c r="K137" s="594"/>
      <c r="L137" s="594"/>
      <c r="M137" s="594"/>
      <c r="N137" s="469"/>
      <c r="O137" s="469"/>
      <c r="P137" s="469"/>
      <c r="Q137" s="469"/>
      <c r="R137" s="469"/>
      <c r="S137" s="469"/>
      <c r="T137" s="469"/>
      <c r="U137" s="469"/>
      <c r="V137" s="469"/>
      <c r="W137" s="469"/>
      <c r="X137" s="469"/>
      <c r="Y137" s="469"/>
      <c r="Z137" s="469"/>
      <c r="AA137" s="469"/>
      <c r="AB137" s="469"/>
      <c r="AC137" s="469"/>
      <c r="AD137" s="469"/>
      <c r="AF137" s="468"/>
      <c r="AG137" s="468"/>
      <c r="AI137" s="436"/>
      <c r="AJ137" s="436"/>
      <c r="AK137" s="436"/>
      <c r="AL137" s="436"/>
      <c r="AM137" s="436"/>
    </row>
    <row r="138" spans="1:45" ht="10.050000000000001" customHeight="1">
      <c r="A138" s="419"/>
      <c r="B138" s="595"/>
      <c r="C138" s="596"/>
      <c r="D138" s="596"/>
      <c r="E138" s="596"/>
      <c r="F138" s="596"/>
      <c r="G138" s="596"/>
      <c r="H138" s="596"/>
      <c r="I138" s="596"/>
      <c r="J138" s="596"/>
      <c r="K138" s="596"/>
      <c r="L138" s="596"/>
      <c r="M138" s="596"/>
      <c r="N138" s="438"/>
      <c r="O138" s="438"/>
      <c r="P138" s="438"/>
      <c r="Q138" s="438"/>
      <c r="R138" s="438"/>
      <c r="S138" s="438"/>
      <c r="T138" s="438"/>
      <c r="U138" s="438"/>
      <c r="V138" s="438"/>
      <c r="W138" s="470"/>
      <c r="X138" s="470"/>
      <c r="Y138" s="470"/>
      <c r="Z138" s="470"/>
      <c r="AA138" s="470"/>
      <c r="AB138" s="470"/>
      <c r="AC138" s="470"/>
      <c r="AD138" s="470"/>
      <c r="AF138" s="468"/>
      <c r="AG138" s="468"/>
      <c r="AI138" s="436"/>
      <c r="AJ138" s="436"/>
      <c r="AK138" s="436"/>
      <c r="AL138" s="436"/>
      <c r="AM138" s="436"/>
    </row>
    <row r="139" spans="1:45" ht="8.25" customHeight="1">
      <c r="A139" s="419"/>
      <c r="B139" s="412"/>
      <c r="C139" s="413"/>
      <c r="D139" s="439"/>
      <c r="E139" s="440"/>
      <c r="F139" s="416"/>
      <c r="G139" s="416"/>
      <c r="H139" s="416"/>
      <c r="I139" s="416"/>
      <c r="J139" s="416"/>
      <c r="K139" s="416"/>
      <c r="L139" s="416"/>
      <c r="M139" s="416"/>
      <c r="N139" s="416"/>
      <c r="O139" s="416"/>
      <c r="P139" s="416"/>
      <c r="Q139" s="416"/>
      <c r="R139" s="416"/>
      <c r="S139" s="416"/>
      <c r="T139" s="579">
        <f t="shared" ref="T139:T147" si="177">SUM(Q139:S139)</f>
        <v>0</v>
      </c>
      <c r="U139" s="416"/>
      <c r="V139" s="416"/>
      <c r="W139" s="416"/>
      <c r="X139" s="416"/>
      <c r="Y139" s="416"/>
      <c r="Z139" s="416"/>
      <c r="AA139" s="416"/>
      <c r="AB139" s="416"/>
      <c r="AC139" s="416"/>
      <c r="AD139" s="416"/>
      <c r="AE139" s="416"/>
      <c r="AF139" s="468"/>
      <c r="AG139" s="468"/>
    </row>
    <row r="140" spans="1:45" ht="16.5" customHeight="1">
      <c r="A140" s="419"/>
      <c r="B140" s="441"/>
      <c r="C140" s="442" t="s">
        <v>911</v>
      </c>
      <c r="D140" s="443">
        <v>1</v>
      </c>
      <c r="E140" s="444" t="s">
        <v>902</v>
      </c>
      <c r="F140" s="416">
        <f>F8+F18+F28+F38+F48+F58+F68+F78+F88+F98+F108+F118+F128</f>
        <v>2129411743.1548278</v>
      </c>
      <c r="G140" s="417">
        <f t="shared" ref="G140:U140" si="178">G8+G18+G28+G38+G48+G58+G68+G78+G88+G98+G108+G118+G128</f>
        <v>0</v>
      </c>
      <c r="H140" s="417">
        <f t="shared" si="178"/>
        <v>132248480</v>
      </c>
      <c r="I140" s="417">
        <f t="shared" si="178"/>
        <v>148551040</v>
      </c>
      <c r="J140" s="417">
        <f t="shared" si="178"/>
        <v>164463608</v>
      </c>
      <c r="K140" s="417">
        <f t="shared" si="178"/>
        <v>128971469</v>
      </c>
      <c r="L140" s="417">
        <f t="shared" si="178"/>
        <v>140655485</v>
      </c>
      <c r="M140" s="417">
        <f t="shared" si="178"/>
        <v>250541629</v>
      </c>
      <c r="N140" s="417">
        <f t="shared" si="178"/>
        <v>147579389</v>
      </c>
      <c r="O140" s="417">
        <f t="shared" si="178"/>
        <v>123893145</v>
      </c>
      <c r="P140" s="416">
        <f t="shared" ref="P140:P142" si="179">SUM(G140:O140)</f>
        <v>1236904245</v>
      </c>
      <c r="Q140" s="417">
        <f t="shared" si="178"/>
        <v>220673531.66223282</v>
      </c>
      <c r="R140" s="417">
        <f t="shared" si="178"/>
        <v>233849940.09604463</v>
      </c>
      <c r="S140" s="417">
        <f t="shared" si="178"/>
        <v>218103531.66223282</v>
      </c>
      <c r="T140" s="579">
        <f t="shared" si="177"/>
        <v>672627003.42051029</v>
      </c>
      <c r="U140" s="416">
        <f t="shared" ref="U140:U147" si="180">P140+T140</f>
        <v>1909531248.4205103</v>
      </c>
      <c r="V140" s="471">
        <f>U140/F140</f>
        <v>0.89674120308524563</v>
      </c>
      <c r="W140" s="416"/>
      <c r="X140" s="416"/>
      <c r="Y140" s="416"/>
      <c r="Z140" s="416"/>
      <c r="AA140" s="416"/>
      <c r="AB140" s="416"/>
      <c r="AC140" s="416"/>
      <c r="AD140" s="416"/>
      <c r="AE140" s="416">
        <f>AE8+AE18+AE28+AE38+AE48+AE118</f>
        <v>495286360</v>
      </c>
      <c r="AF140" s="436"/>
      <c r="AG140" s="436"/>
    </row>
    <row r="141" spans="1:45" ht="16.5" customHeight="1">
      <c r="A141" s="404"/>
      <c r="B141" s="445"/>
      <c r="C141" s="446" t="s">
        <v>975</v>
      </c>
      <c r="D141" s="443">
        <v>2</v>
      </c>
      <c r="E141" s="444" t="s">
        <v>987</v>
      </c>
      <c r="F141" s="416">
        <f t="shared" ref="F141:U147" si="181">F9+F19+F29+F39+F49+F59+F69+F79+F89+F99+F109+F119+F129</f>
        <v>0</v>
      </c>
      <c r="G141" s="417">
        <f t="shared" si="181"/>
        <v>0</v>
      </c>
      <c r="H141" s="417">
        <f t="shared" si="181"/>
        <v>0</v>
      </c>
      <c r="I141" s="417">
        <f t="shared" si="181"/>
        <v>0</v>
      </c>
      <c r="J141" s="417">
        <f t="shared" si="181"/>
        <v>0</v>
      </c>
      <c r="K141" s="417">
        <f t="shared" si="181"/>
        <v>0</v>
      </c>
      <c r="L141" s="417">
        <f t="shared" si="181"/>
        <v>0</v>
      </c>
      <c r="M141" s="417">
        <f t="shared" si="181"/>
        <v>0</v>
      </c>
      <c r="N141" s="417">
        <f t="shared" si="181"/>
        <v>0</v>
      </c>
      <c r="O141" s="417">
        <f t="shared" si="181"/>
        <v>0</v>
      </c>
      <c r="P141" s="416">
        <f t="shared" si="179"/>
        <v>0</v>
      </c>
      <c r="Q141" s="417">
        <f t="shared" si="181"/>
        <v>0</v>
      </c>
      <c r="R141" s="417">
        <f t="shared" si="181"/>
        <v>0</v>
      </c>
      <c r="S141" s="417">
        <f t="shared" si="181"/>
        <v>0</v>
      </c>
      <c r="T141" s="579">
        <f t="shared" si="177"/>
        <v>0</v>
      </c>
      <c r="U141" s="416">
        <f t="shared" si="180"/>
        <v>0</v>
      </c>
      <c r="V141" s="471" t="e">
        <f>U141/F141</f>
        <v>#DIV/0!</v>
      </c>
      <c r="W141" s="416"/>
      <c r="X141" s="416"/>
      <c r="Y141" s="416"/>
      <c r="Z141" s="416"/>
      <c r="AA141" s="416"/>
      <c r="AB141" s="416"/>
      <c r="AC141" s="416"/>
      <c r="AD141" s="416"/>
      <c r="AE141" s="416">
        <f>AE10+AE19+AE32+AE39+AE52+AE119</f>
        <v>7091965156</v>
      </c>
    </row>
    <row r="142" spans="1:45" ht="16.5" customHeight="1">
      <c r="A142" s="419"/>
      <c r="B142" s="441"/>
      <c r="C142" s="583"/>
      <c r="D142" s="443">
        <v>3</v>
      </c>
      <c r="E142" s="573" t="s">
        <v>903</v>
      </c>
      <c r="F142" s="416">
        <f t="shared" si="181"/>
        <v>11424925480.228571</v>
      </c>
      <c r="G142" s="417">
        <f t="shared" si="181"/>
        <v>687136562</v>
      </c>
      <c r="H142" s="417">
        <f t="shared" si="181"/>
        <v>698824094</v>
      </c>
      <c r="I142" s="417">
        <f t="shared" si="181"/>
        <v>63167034</v>
      </c>
      <c r="J142" s="417">
        <f t="shared" si="181"/>
        <v>0</v>
      </c>
      <c r="K142" s="417">
        <f t="shared" si="181"/>
        <v>828934431</v>
      </c>
      <c r="L142" s="417">
        <f t="shared" si="181"/>
        <v>824197609</v>
      </c>
      <c r="M142" s="417">
        <f t="shared" si="181"/>
        <v>1224137816</v>
      </c>
      <c r="N142" s="417">
        <f t="shared" si="181"/>
        <v>0</v>
      </c>
      <c r="O142" s="417">
        <f t="shared" si="181"/>
        <v>1100913450</v>
      </c>
      <c r="P142" s="416">
        <f t="shared" si="179"/>
        <v>5427310996</v>
      </c>
      <c r="Q142" s="417">
        <f t="shared" si="181"/>
        <v>2954224148.8000002</v>
      </c>
      <c r="R142" s="417">
        <f t="shared" si="181"/>
        <v>1163839885.5</v>
      </c>
      <c r="S142" s="417">
        <f t="shared" si="181"/>
        <v>0</v>
      </c>
      <c r="T142" s="579">
        <f t="shared" si="177"/>
        <v>4118064034.3000002</v>
      </c>
      <c r="U142" s="416">
        <f t="shared" si="180"/>
        <v>9545375030.2999992</v>
      </c>
      <c r="V142" s="471">
        <f>U142/F142</f>
        <v>0.83548685256798993</v>
      </c>
      <c r="W142" s="416"/>
      <c r="X142" s="416"/>
      <c r="Y142" s="416"/>
      <c r="Z142" s="416"/>
      <c r="AA142" s="416"/>
      <c r="AB142" s="416"/>
      <c r="AC142" s="416"/>
      <c r="AD142" s="416"/>
      <c r="AE142" s="416">
        <f>AE11+AE20+AE33+AE40+AE53+AE120</f>
        <v>1160880708</v>
      </c>
    </row>
    <row r="143" spans="1:45" ht="16.5" customHeight="1">
      <c r="A143" s="419"/>
      <c r="B143" s="441"/>
      <c r="C143" s="583"/>
      <c r="D143" s="443">
        <v>4</v>
      </c>
      <c r="E143" s="573" t="s">
        <v>32</v>
      </c>
      <c r="F143" s="416">
        <f t="shared" si="181"/>
        <v>5178110288.9916668</v>
      </c>
      <c r="G143" s="417">
        <f t="shared" si="181"/>
        <v>17240000</v>
      </c>
      <c r="H143" s="417">
        <f t="shared" si="181"/>
        <v>199066700</v>
      </c>
      <c r="I143" s="417">
        <f t="shared" si="181"/>
        <v>264988078</v>
      </c>
      <c r="J143" s="417">
        <f t="shared" si="181"/>
        <v>95197700</v>
      </c>
      <c r="K143" s="417">
        <f t="shared" si="181"/>
        <v>315781397</v>
      </c>
      <c r="L143" s="417">
        <f t="shared" si="181"/>
        <v>332400162</v>
      </c>
      <c r="M143" s="417">
        <f t="shared" si="181"/>
        <v>428877786</v>
      </c>
      <c r="N143" s="417">
        <f t="shared" si="181"/>
        <v>118543000</v>
      </c>
      <c r="O143" s="417">
        <f t="shared" si="181"/>
        <v>413908700</v>
      </c>
      <c r="P143" s="416">
        <f>SUM(G143:O143)</f>
        <v>2186003523</v>
      </c>
      <c r="Q143" s="417">
        <f t="shared" si="181"/>
        <v>1007589795.5333332</v>
      </c>
      <c r="R143" s="417">
        <f t="shared" si="181"/>
        <v>716042351.23333335</v>
      </c>
      <c r="S143" s="417">
        <f t="shared" si="181"/>
        <v>392086518.0333333</v>
      </c>
      <c r="T143" s="579">
        <f t="shared" si="177"/>
        <v>2115718664.7999997</v>
      </c>
      <c r="U143" s="416">
        <f t="shared" si="180"/>
        <v>4301722187.7999992</v>
      </c>
      <c r="V143" s="471">
        <f>U143/F143</f>
        <v>0.83075136443987818</v>
      </c>
      <c r="W143" s="416"/>
      <c r="X143" s="416"/>
      <c r="Y143" s="416"/>
      <c r="Z143" s="416"/>
      <c r="AA143" s="416"/>
      <c r="AB143" s="416"/>
      <c r="AC143" s="416"/>
      <c r="AD143" s="416"/>
      <c r="AE143" s="416">
        <f>AE12+AE21+AE34+AE44+AE54+AE124</f>
        <v>1222998640</v>
      </c>
    </row>
    <row r="144" spans="1:45" ht="16.5" customHeight="1">
      <c r="A144" s="419"/>
      <c r="B144" s="441"/>
      <c r="C144" s="583"/>
      <c r="D144" s="443">
        <v>5</v>
      </c>
      <c r="E144" s="573" t="s">
        <v>43</v>
      </c>
      <c r="F144" s="416">
        <f t="shared" si="181"/>
        <v>5133313295.1999998</v>
      </c>
      <c r="G144" s="417">
        <f t="shared" si="181"/>
        <v>68185000</v>
      </c>
      <c r="H144" s="417">
        <f t="shared" si="181"/>
        <v>298852840</v>
      </c>
      <c r="I144" s="417">
        <f t="shared" si="181"/>
        <v>386392692</v>
      </c>
      <c r="J144" s="417">
        <f t="shared" si="181"/>
        <v>30486600</v>
      </c>
      <c r="K144" s="417">
        <f t="shared" si="181"/>
        <v>197076528</v>
      </c>
      <c r="L144" s="417">
        <f t="shared" si="181"/>
        <v>283908156</v>
      </c>
      <c r="M144" s="417">
        <f t="shared" si="181"/>
        <v>301397603</v>
      </c>
      <c r="N144" s="417">
        <f t="shared" si="181"/>
        <v>126879000</v>
      </c>
      <c r="O144" s="417">
        <f t="shared" si="181"/>
        <v>238222890</v>
      </c>
      <c r="P144" s="416">
        <f t="shared" ref="P144:P146" si="182">SUM(G144:O144)</f>
        <v>1931401309</v>
      </c>
      <c r="Q144" s="417">
        <f t="shared" si="181"/>
        <v>935299685.15999162</v>
      </c>
      <c r="R144" s="417">
        <f t="shared" si="181"/>
        <v>721158556.45999157</v>
      </c>
      <c r="S144" s="417">
        <f t="shared" si="181"/>
        <v>420186636.45999163</v>
      </c>
      <c r="T144" s="579">
        <f t="shared" si="177"/>
        <v>2076644878.0799749</v>
      </c>
      <c r="U144" s="416">
        <f t="shared" si="180"/>
        <v>4008046187.0799751</v>
      </c>
      <c r="V144" s="471">
        <f>U144/F144</f>
        <v>0.78079126610639049</v>
      </c>
      <c r="W144" s="416"/>
      <c r="X144" s="416"/>
      <c r="Y144" s="416"/>
      <c r="Z144" s="416"/>
      <c r="AA144" s="416"/>
      <c r="AB144" s="416"/>
      <c r="AC144" s="416"/>
      <c r="AD144" s="416"/>
      <c r="AE144" s="416"/>
    </row>
    <row r="145" spans="1:263" ht="16.5" customHeight="1">
      <c r="A145" s="419"/>
      <c r="B145" s="441"/>
      <c r="C145" s="583"/>
      <c r="D145" s="443">
        <v>6</v>
      </c>
      <c r="E145" s="573" t="s">
        <v>904</v>
      </c>
      <c r="F145" s="416">
        <f t="shared" si="181"/>
        <v>1839315846.2301588</v>
      </c>
      <c r="G145" s="417">
        <f t="shared" si="181"/>
        <v>3454000</v>
      </c>
      <c r="H145" s="417">
        <f t="shared" si="181"/>
        <v>0</v>
      </c>
      <c r="I145" s="417">
        <f t="shared" si="181"/>
        <v>102627250</v>
      </c>
      <c r="J145" s="417">
        <f t="shared" si="181"/>
        <v>213028210</v>
      </c>
      <c r="K145" s="417">
        <f t="shared" si="181"/>
        <v>30108750</v>
      </c>
      <c r="L145" s="417">
        <f t="shared" si="181"/>
        <v>6052640</v>
      </c>
      <c r="M145" s="417">
        <f t="shared" si="181"/>
        <v>73125000</v>
      </c>
      <c r="N145" s="417">
        <f t="shared" si="181"/>
        <v>0</v>
      </c>
      <c r="O145" s="417">
        <f t="shared" si="181"/>
        <v>545501596</v>
      </c>
      <c r="P145" s="416">
        <f t="shared" si="182"/>
        <v>973897446</v>
      </c>
      <c r="Q145" s="417">
        <f t="shared" si="181"/>
        <v>416115211.03174603</v>
      </c>
      <c r="R145" s="417">
        <f t="shared" si="181"/>
        <v>242557969.76190481</v>
      </c>
      <c r="S145" s="417">
        <f t="shared" si="181"/>
        <v>25431035</v>
      </c>
      <c r="T145" s="579">
        <f t="shared" si="177"/>
        <v>684104215.79365087</v>
      </c>
      <c r="U145" s="416">
        <f t="shared" si="180"/>
        <v>1658001661.7936509</v>
      </c>
      <c r="V145" s="471">
        <f>U145/F145</f>
        <v>0.90142302921592965</v>
      </c>
      <c r="W145" s="416"/>
      <c r="X145" s="416"/>
      <c r="Y145" s="416"/>
      <c r="Z145" s="416"/>
      <c r="AA145" s="416"/>
      <c r="AB145" s="416"/>
      <c r="AC145" s="416"/>
      <c r="AD145" s="416"/>
      <c r="AE145" s="416"/>
    </row>
    <row r="146" spans="1:263" ht="16.5" customHeight="1">
      <c r="A146" s="419"/>
      <c r="B146" s="441"/>
      <c r="C146" s="583"/>
      <c r="D146" s="443">
        <v>7</v>
      </c>
      <c r="E146" s="573" t="s">
        <v>985</v>
      </c>
      <c r="F146" s="416">
        <f t="shared" si="181"/>
        <v>1131900000</v>
      </c>
      <c r="G146" s="417">
        <f t="shared" si="181"/>
        <v>88714000</v>
      </c>
      <c r="H146" s="417">
        <f t="shared" si="181"/>
        <v>81726500</v>
      </c>
      <c r="I146" s="417">
        <f t="shared" si="181"/>
        <v>0</v>
      </c>
      <c r="J146" s="417">
        <f t="shared" si="181"/>
        <v>409065033</v>
      </c>
      <c r="K146" s="417">
        <f t="shared" si="181"/>
        <v>15401250</v>
      </c>
      <c r="L146" s="417">
        <f t="shared" si="181"/>
        <v>169214000</v>
      </c>
      <c r="M146" s="417">
        <f t="shared" si="181"/>
        <v>330489868</v>
      </c>
      <c r="N146" s="417">
        <f t="shared" si="181"/>
        <v>0</v>
      </c>
      <c r="O146" s="417">
        <f t="shared" si="181"/>
        <v>133325000</v>
      </c>
      <c r="P146" s="416">
        <f t="shared" si="182"/>
        <v>1227935651</v>
      </c>
      <c r="Q146" s="417">
        <f t="shared" si="181"/>
        <v>153350000</v>
      </c>
      <c r="R146" s="417">
        <f t="shared" si="181"/>
        <v>116915107</v>
      </c>
      <c r="S146" s="417">
        <f t="shared" si="181"/>
        <v>12350000</v>
      </c>
      <c r="T146" s="579">
        <f t="shared" si="177"/>
        <v>282615107</v>
      </c>
      <c r="U146" s="416">
        <f t="shared" si="180"/>
        <v>1510550758</v>
      </c>
      <c r="V146" s="471">
        <f>U146/F146</f>
        <v>1.3345266878699531</v>
      </c>
      <c r="W146" s="416"/>
      <c r="X146" s="416"/>
      <c r="Y146" s="416"/>
      <c r="Z146" s="416"/>
      <c r="AA146" s="416"/>
      <c r="AB146" s="416"/>
      <c r="AC146" s="416"/>
      <c r="AD146" s="416"/>
      <c r="AE146" s="416"/>
    </row>
    <row r="147" spans="1:263" ht="16.5" customHeight="1" thickBot="1">
      <c r="A147" s="419"/>
      <c r="B147" s="448"/>
      <c r="C147" s="584"/>
      <c r="D147" s="443">
        <v>8</v>
      </c>
      <c r="E147" s="573" t="s">
        <v>986</v>
      </c>
      <c r="F147" s="416">
        <f t="shared" si="181"/>
        <v>280611000</v>
      </c>
      <c r="G147" s="417">
        <f t="shared" si="181"/>
        <v>0</v>
      </c>
      <c r="H147" s="417">
        <f t="shared" si="181"/>
        <v>0</v>
      </c>
      <c r="I147" s="417">
        <f t="shared" si="181"/>
        <v>0</v>
      </c>
      <c r="J147" s="417">
        <f t="shared" si="181"/>
        <v>0</v>
      </c>
      <c r="K147" s="417">
        <f t="shared" si="181"/>
        <v>0</v>
      </c>
      <c r="L147" s="417">
        <f t="shared" si="181"/>
        <v>0</v>
      </c>
      <c r="M147" s="417">
        <f t="shared" si="181"/>
        <v>0</v>
      </c>
      <c r="N147" s="417">
        <f t="shared" si="181"/>
        <v>0</v>
      </c>
      <c r="O147" s="417">
        <f t="shared" si="181"/>
        <v>0</v>
      </c>
      <c r="P147" s="417"/>
      <c r="Q147" s="417">
        <f t="shared" si="181"/>
        <v>67300000</v>
      </c>
      <c r="R147" s="417">
        <f t="shared" si="181"/>
        <v>34650000</v>
      </c>
      <c r="S147" s="417">
        <f t="shared" si="181"/>
        <v>0</v>
      </c>
      <c r="T147" s="579">
        <f t="shared" si="177"/>
        <v>101950000</v>
      </c>
      <c r="U147" s="416">
        <f t="shared" si="180"/>
        <v>101950000</v>
      </c>
      <c r="V147" s="471">
        <f>U147/F147</f>
        <v>0.36331433906724969</v>
      </c>
      <c r="W147" s="416"/>
      <c r="X147" s="416"/>
      <c r="Y147" s="416"/>
      <c r="Z147" s="416"/>
      <c r="AA147" s="416"/>
      <c r="AB147" s="416"/>
      <c r="AC147" s="416"/>
      <c r="AD147" s="416"/>
      <c r="AE147" s="451">
        <f>AE13+AE25+AE35+AE45+AE55+AE125</f>
        <v>643777500</v>
      </c>
    </row>
    <row r="148" spans="1:263" ht="16.5" customHeight="1" thickBot="1">
      <c r="A148" s="419"/>
      <c r="B148" s="452"/>
      <c r="C148" s="453"/>
      <c r="D148" s="454"/>
      <c r="E148" s="455" t="s">
        <v>905</v>
      </c>
      <c r="F148" s="456">
        <f>SUM(F140:F147)</f>
        <v>27117587653.805225</v>
      </c>
      <c r="G148" s="456">
        <f t="shared" ref="G148:T148" si="183">SUM(G140:G147)</f>
        <v>864729562</v>
      </c>
      <c r="H148" s="456">
        <f t="shared" si="183"/>
        <v>1410718614</v>
      </c>
      <c r="I148" s="456">
        <f t="shared" si="183"/>
        <v>965726094</v>
      </c>
      <c r="J148" s="456">
        <f t="shared" si="183"/>
        <v>912241151</v>
      </c>
      <c r="K148" s="456">
        <f t="shared" si="183"/>
        <v>1516273825</v>
      </c>
      <c r="L148" s="456">
        <f t="shared" si="183"/>
        <v>1756428052</v>
      </c>
      <c r="M148" s="456">
        <f t="shared" si="183"/>
        <v>2608569702</v>
      </c>
      <c r="N148" s="456">
        <f t="shared" si="183"/>
        <v>393001389</v>
      </c>
      <c r="O148" s="456">
        <f t="shared" si="183"/>
        <v>2555764781</v>
      </c>
      <c r="P148" s="456">
        <f t="shared" si="183"/>
        <v>12983453170</v>
      </c>
      <c r="Q148" s="456">
        <f t="shared" si="183"/>
        <v>5754552372.1873035</v>
      </c>
      <c r="R148" s="456">
        <f t="shared" si="183"/>
        <v>3229013810.0512743</v>
      </c>
      <c r="S148" s="456">
        <f t="shared" si="183"/>
        <v>1068157721.1555579</v>
      </c>
      <c r="T148" s="456">
        <f t="shared" si="183"/>
        <v>10051723903.394136</v>
      </c>
      <c r="U148" s="456">
        <f>SUM(U140:U147)</f>
        <v>23035177073.394135</v>
      </c>
      <c r="V148" s="473">
        <f>U148/F148</f>
        <v>0.84945524533638839</v>
      </c>
      <c r="W148" s="456"/>
      <c r="X148" s="456"/>
      <c r="Y148" s="456"/>
      <c r="Z148" s="456"/>
      <c r="AA148" s="456"/>
      <c r="AB148" s="456"/>
      <c r="AC148" s="456"/>
      <c r="AD148" s="456"/>
      <c r="AE148" s="456">
        <f>SUM(AE140:AE147)</f>
        <v>10614908364</v>
      </c>
      <c r="AP148" s="559"/>
    </row>
    <row r="149" spans="1:263" s="460" customFormat="1">
      <c r="A149" s="411"/>
      <c r="B149" s="411"/>
      <c r="C149" s="411"/>
      <c r="D149" s="457"/>
      <c r="E149" s="458"/>
      <c r="F149" s="436"/>
      <c r="G149" s="436"/>
      <c r="H149" s="436"/>
      <c r="I149" s="436"/>
      <c r="J149" s="436"/>
      <c r="K149" s="436"/>
      <c r="L149" s="436"/>
      <c r="M149" s="436"/>
      <c r="N149" s="459"/>
      <c r="O149" s="459"/>
      <c r="P149" s="459"/>
      <c r="Q149" s="459"/>
      <c r="R149" s="459"/>
      <c r="S149" s="459"/>
      <c r="T149" s="459"/>
      <c r="U149" s="459"/>
      <c r="V149" s="459"/>
      <c r="W149" s="459"/>
      <c r="X149" s="459"/>
      <c r="Y149" s="459"/>
      <c r="Z149" s="459"/>
      <c r="AA149" s="459"/>
      <c r="AB149" s="459"/>
      <c r="AC149" s="459"/>
      <c r="AD149" s="459"/>
      <c r="AE149" s="459"/>
      <c r="AF149" s="411"/>
      <c r="AG149" s="411"/>
      <c r="AH149" s="411"/>
      <c r="AI149" s="411"/>
      <c r="AJ149" s="411"/>
      <c r="AK149" s="411"/>
      <c r="AL149" s="411"/>
      <c r="AM149" s="411"/>
      <c r="AN149" s="411"/>
      <c r="AO149" s="411"/>
      <c r="AP149" s="556"/>
      <c r="AQ149" s="562"/>
      <c r="AR149" s="411"/>
      <c r="AS149" s="411"/>
      <c r="AT149" s="411"/>
      <c r="AU149" s="411"/>
      <c r="AV149" s="411"/>
      <c r="AW149" s="411"/>
      <c r="AX149" s="411"/>
      <c r="AY149" s="411"/>
      <c r="AZ149" s="411"/>
      <c r="BA149" s="411"/>
      <c r="BB149" s="411"/>
      <c r="BC149" s="411"/>
      <c r="BD149" s="411"/>
      <c r="BE149" s="411"/>
      <c r="BF149" s="411"/>
      <c r="BG149" s="411"/>
      <c r="BH149" s="411"/>
      <c r="BI149" s="411"/>
      <c r="BJ149" s="411"/>
      <c r="BK149" s="411"/>
      <c r="BL149" s="411"/>
      <c r="BM149" s="411"/>
      <c r="BN149" s="411"/>
      <c r="BO149" s="411"/>
      <c r="BP149" s="411"/>
      <c r="BQ149" s="411"/>
      <c r="BR149" s="411"/>
      <c r="BS149" s="411"/>
      <c r="BT149" s="411"/>
      <c r="BU149" s="411"/>
      <c r="BV149" s="411"/>
      <c r="BW149" s="411"/>
      <c r="BX149" s="411"/>
      <c r="BY149" s="411"/>
      <c r="BZ149" s="411"/>
      <c r="CA149" s="411"/>
      <c r="CB149" s="411"/>
      <c r="CC149" s="411"/>
      <c r="CD149" s="411"/>
      <c r="CE149" s="411"/>
      <c r="CF149" s="411"/>
      <c r="CG149" s="411"/>
      <c r="CH149" s="411"/>
      <c r="CI149" s="411"/>
      <c r="CJ149" s="411"/>
      <c r="CK149" s="411"/>
      <c r="CL149" s="411"/>
      <c r="CM149" s="411"/>
      <c r="CN149" s="411"/>
      <c r="CO149" s="411"/>
      <c r="CP149" s="411"/>
      <c r="CQ149" s="411"/>
      <c r="CR149" s="411"/>
      <c r="CS149" s="411"/>
      <c r="CT149" s="411"/>
      <c r="CU149" s="411"/>
      <c r="CV149" s="411"/>
      <c r="CW149" s="411"/>
      <c r="CX149" s="411"/>
      <c r="CY149" s="411"/>
      <c r="CZ149" s="411"/>
      <c r="DA149" s="411"/>
      <c r="DB149" s="411"/>
      <c r="DC149" s="411"/>
      <c r="DD149" s="411"/>
      <c r="DE149" s="411"/>
      <c r="DF149" s="411"/>
      <c r="DG149" s="411"/>
      <c r="DH149" s="411"/>
      <c r="DI149" s="411"/>
      <c r="DJ149" s="411"/>
      <c r="DK149" s="411"/>
      <c r="DL149" s="411"/>
      <c r="DM149" s="411"/>
      <c r="DN149" s="411"/>
      <c r="DO149" s="411"/>
      <c r="DP149" s="411"/>
      <c r="DQ149" s="411"/>
      <c r="DR149" s="411"/>
      <c r="DS149" s="411"/>
      <c r="DT149" s="411"/>
      <c r="DU149" s="411"/>
      <c r="DV149" s="411"/>
      <c r="DW149" s="411"/>
      <c r="DX149" s="411"/>
      <c r="DY149" s="411"/>
      <c r="DZ149" s="411"/>
      <c r="EA149" s="411"/>
      <c r="EB149" s="411"/>
      <c r="EC149" s="411"/>
      <c r="ED149" s="411"/>
      <c r="EE149" s="411"/>
      <c r="EF149" s="411"/>
      <c r="EG149" s="411"/>
      <c r="EH149" s="411"/>
      <c r="EI149" s="411"/>
      <c r="EJ149" s="411"/>
      <c r="EK149" s="411"/>
      <c r="EL149" s="411"/>
      <c r="EM149" s="411"/>
      <c r="EN149" s="411"/>
      <c r="EO149" s="411"/>
      <c r="EP149" s="411"/>
      <c r="EQ149" s="411"/>
      <c r="ER149" s="411"/>
      <c r="ES149" s="411"/>
      <c r="ET149" s="411"/>
      <c r="EU149" s="411"/>
      <c r="EV149" s="411"/>
      <c r="EW149" s="411"/>
      <c r="EX149" s="411"/>
      <c r="EY149" s="411"/>
      <c r="EZ149" s="411"/>
      <c r="FA149" s="411"/>
      <c r="FB149" s="411"/>
      <c r="FC149" s="411"/>
      <c r="FD149" s="411"/>
      <c r="FE149" s="411"/>
      <c r="FF149" s="411"/>
      <c r="FG149" s="411"/>
      <c r="FH149" s="411"/>
      <c r="FI149" s="411"/>
      <c r="FJ149" s="411"/>
      <c r="FK149" s="411"/>
      <c r="FL149" s="411"/>
      <c r="FM149" s="411"/>
      <c r="FN149" s="411"/>
      <c r="FO149" s="411"/>
      <c r="FP149" s="411"/>
      <c r="FQ149" s="411"/>
      <c r="FR149" s="411"/>
      <c r="FS149" s="411"/>
      <c r="FT149" s="411"/>
      <c r="FU149" s="411"/>
      <c r="FV149" s="411"/>
      <c r="FW149" s="411"/>
      <c r="FX149" s="411"/>
      <c r="FY149" s="411"/>
      <c r="FZ149" s="411"/>
      <c r="GA149" s="411"/>
      <c r="GB149" s="411"/>
      <c r="GC149" s="411"/>
      <c r="GD149" s="411"/>
      <c r="GE149" s="411"/>
      <c r="GF149" s="411"/>
      <c r="GG149" s="411"/>
      <c r="GH149" s="411"/>
      <c r="GI149" s="411"/>
      <c r="GJ149" s="411"/>
      <c r="GK149" s="411"/>
      <c r="GL149" s="411"/>
      <c r="GM149" s="411"/>
      <c r="GN149" s="411"/>
      <c r="GO149" s="411"/>
      <c r="GP149" s="411"/>
      <c r="GQ149" s="411"/>
      <c r="GR149" s="411"/>
      <c r="GS149" s="411"/>
      <c r="GT149" s="411"/>
      <c r="GU149" s="411"/>
      <c r="GV149" s="411"/>
      <c r="GW149" s="411"/>
      <c r="GX149" s="411"/>
      <c r="GY149" s="411"/>
      <c r="GZ149" s="411"/>
      <c r="HA149" s="411"/>
      <c r="HB149" s="411"/>
      <c r="HC149" s="411"/>
      <c r="HD149" s="411"/>
      <c r="HE149" s="411"/>
      <c r="HF149" s="411"/>
      <c r="HG149" s="411"/>
      <c r="HH149" s="411"/>
      <c r="HI149" s="411"/>
      <c r="HJ149" s="411"/>
      <c r="HK149" s="411"/>
      <c r="HL149" s="411"/>
      <c r="HM149" s="411"/>
      <c r="HN149" s="411"/>
      <c r="HO149" s="411"/>
      <c r="HP149" s="411"/>
      <c r="HQ149" s="411"/>
      <c r="HR149" s="411"/>
      <c r="HS149" s="411"/>
      <c r="HT149" s="411"/>
      <c r="HU149" s="411"/>
      <c r="HV149" s="411"/>
      <c r="HW149" s="411"/>
      <c r="HX149" s="411"/>
      <c r="HY149" s="411"/>
      <c r="HZ149" s="411"/>
      <c r="IA149" s="411"/>
      <c r="IB149" s="411"/>
      <c r="IC149" s="411"/>
      <c r="ID149" s="411"/>
      <c r="IE149" s="411"/>
      <c r="IF149" s="411"/>
      <c r="IG149" s="411"/>
      <c r="IH149" s="411"/>
      <c r="II149" s="411"/>
      <c r="IJ149" s="411"/>
      <c r="IK149" s="411"/>
      <c r="IL149" s="411"/>
      <c r="IM149" s="411"/>
      <c r="IN149" s="411"/>
      <c r="IO149" s="411"/>
      <c r="IP149" s="411"/>
      <c r="IQ149" s="411"/>
      <c r="IR149" s="411"/>
      <c r="IS149" s="411"/>
      <c r="IT149" s="411"/>
      <c r="IU149" s="411"/>
      <c r="IV149" s="411"/>
      <c r="IW149" s="411"/>
      <c r="IX149" s="411"/>
      <c r="IY149" s="411"/>
      <c r="IZ149" s="411"/>
      <c r="JA149" s="411"/>
      <c r="JB149" s="411"/>
      <c r="JC149" s="411"/>
    </row>
    <row r="150" spans="1:263" s="460" customFormat="1" hidden="1">
      <c r="A150" s="411"/>
      <c r="B150" s="411"/>
      <c r="C150" s="411"/>
      <c r="D150" s="457"/>
      <c r="E150" s="458"/>
      <c r="F150" s="436"/>
      <c r="G150" s="436"/>
      <c r="H150" s="436"/>
      <c r="I150" s="436"/>
      <c r="J150" s="436"/>
      <c r="K150" s="436"/>
      <c r="L150" s="436"/>
      <c r="M150" s="436"/>
      <c r="N150" s="459"/>
      <c r="O150" s="459"/>
      <c r="P150" s="459"/>
      <c r="Q150" s="459"/>
      <c r="R150" s="459"/>
      <c r="S150" s="459"/>
      <c r="T150" s="459"/>
      <c r="U150" s="459"/>
      <c r="V150" s="459"/>
      <c r="W150" s="459"/>
      <c r="X150" s="459"/>
      <c r="Y150" s="459"/>
      <c r="Z150" s="459"/>
      <c r="AA150" s="459"/>
      <c r="AB150" s="459"/>
      <c r="AC150" s="459"/>
      <c r="AD150" s="459"/>
      <c r="AE150" s="459"/>
      <c r="AF150" s="411"/>
      <c r="AG150" s="411"/>
      <c r="AH150" s="411"/>
      <c r="AI150" s="411"/>
      <c r="AJ150" s="411"/>
      <c r="AK150" s="411"/>
      <c r="AL150" s="411"/>
      <c r="AM150" s="411"/>
      <c r="AN150" s="411"/>
      <c r="AO150" s="411"/>
      <c r="AP150" s="556"/>
      <c r="AQ150" s="562"/>
      <c r="AR150" s="411"/>
      <c r="AS150" s="411"/>
      <c r="AT150" s="411"/>
      <c r="AU150" s="411"/>
      <c r="AV150" s="411"/>
      <c r="AW150" s="411"/>
      <c r="AX150" s="411"/>
      <c r="AY150" s="411"/>
      <c r="AZ150" s="411"/>
      <c r="BA150" s="411"/>
      <c r="BB150" s="411"/>
      <c r="BC150" s="411"/>
      <c r="BD150" s="411"/>
      <c r="BE150" s="411"/>
      <c r="BF150" s="411"/>
      <c r="BG150" s="411"/>
      <c r="BH150" s="411"/>
      <c r="BI150" s="411"/>
      <c r="BJ150" s="411"/>
      <c r="BK150" s="411"/>
      <c r="BL150" s="411"/>
      <c r="BM150" s="411"/>
      <c r="BN150" s="411"/>
      <c r="BO150" s="411"/>
      <c r="BP150" s="411"/>
      <c r="BQ150" s="411"/>
      <c r="BR150" s="411"/>
      <c r="BS150" s="411"/>
      <c r="BT150" s="411"/>
      <c r="BU150" s="411"/>
      <c r="BV150" s="411"/>
      <c r="BW150" s="411"/>
      <c r="BX150" s="411"/>
      <c r="BY150" s="411"/>
      <c r="BZ150" s="411"/>
      <c r="CA150" s="411"/>
      <c r="CB150" s="411"/>
      <c r="CC150" s="411"/>
      <c r="CD150" s="411"/>
      <c r="CE150" s="411"/>
      <c r="CF150" s="411"/>
      <c r="CG150" s="411"/>
      <c r="CH150" s="411"/>
      <c r="CI150" s="411"/>
      <c r="CJ150" s="411"/>
      <c r="CK150" s="411"/>
      <c r="CL150" s="411"/>
      <c r="CM150" s="411"/>
      <c r="CN150" s="411"/>
      <c r="CO150" s="411"/>
      <c r="CP150" s="411"/>
      <c r="CQ150" s="411"/>
      <c r="CR150" s="411"/>
      <c r="CS150" s="411"/>
      <c r="CT150" s="411"/>
      <c r="CU150" s="411"/>
      <c r="CV150" s="411"/>
      <c r="CW150" s="411"/>
      <c r="CX150" s="411"/>
      <c r="CY150" s="411"/>
      <c r="CZ150" s="411"/>
      <c r="DA150" s="411"/>
      <c r="DB150" s="411"/>
      <c r="DC150" s="411"/>
      <c r="DD150" s="411"/>
      <c r="DE150" s="411"/>
      <c r="DF150" s="411"/>
      <c r="DG150" s="411"/>
      <c r="DH150" s="411"/>
      <c r="DI150" s="411"/>
      <c r="DJ150" s="411"/>
      <c r="DK150" s="411"/>
      <c r="DL150" s="411"/>
      <c r="DM150" s="411"/>
      <c r="DN150" s="411"/>
      <c r="DO150" s="411"/>
      <c r="DP150" s="411"/>
      <c r="DQ150" s="411"/>
      <c r="DR150" s="411"/>
      <c r="DS150" s="411"/>
      <c r="DT150" s="411"/>
      <c r="DU150" s="411"/>
      <c r="DV150" s="411"/>
      <c r="DW150" s="411"/>
      <c r="DX150" s="411"/>
      <c r="DY150" s="411"/>
      <c r="DZ150" s="411"/>
      <c r="EA150" s="411"/>
      <c r="EB150" s="411"/>
      <c r="EC150" s="411"/>
      <c r="ED150" s="411"/>
      <c r="EE150" s="411"/>
      <c r="EF150" s="411"/>
      <c r="EG150" s="411"/>
      <c r="EH150" s="411"/>
      <c r="EI150" s="411"/>
      <c r="EJ150" s="411"/>
      <c r="EK150" s="411"/>
      <c r="EL150" s="411"/>
      <c r="EM150" s="411"/>
      <c r="EN150" s="411"/>
      <c r="EO150" s="411"/>
      <c r="EP150" s="411"/>
      <c r="EQ150" s="411"/>
      <c r="ER150" s="411"/>
      <c r="ES150" s="411"/>
      <c r="ET150" s="411"/>
      <c r="EU150" s="411"/>
      <c r="EV150" s="411"/>
      <c r="EW150" s="411"/>
      <c r="EX150" s="411"/>
      <c r="EY150" s="411"/>
      <c r="EZ150" s="411"/>
      <c r="FA150" s="411"/>
      <c r="FB150" s="411"/>
      <c r="FC150" s="411"/>
      <c r="FD150" s="411"/>
      <c r="FE150" s="411"/>
      <c r="FF150" s="411"/>
      <c r="FG150" s="411"/>
      <c r="FH150" s="411"/>
      <c r="FI150" s="411"/>
      <c r="FJ150" s="411"/>
      <c r="FK150" s="411"/>
      <c r="FL150" s="411"/>
      <c r="FM150" s="411"/>
      <c r="FN150" s="411"/>
      <c r="FO150" s="411"/>
      <c r="FP150" s="411"/>
      <c r="FQ150" s="411"/>
      <c r="FR150" s="411"/>
      <c r="FS150" s="411"/>
      <c r="FT150" s="411"/>
      <c r="FU150" s="411"/>
      <c r="FV150" s="411"/>
      <c r="FW150" s="411"/>
      <c r="FX150" s="411"/>
      <c r="FY150" s="411"/>
      <c r="FZ150" s="411"/>
      <c r="GA150" s="411"/>
      <c r="GB150" s="411"/>
      <c r="GC150" s="411"/>
      <c r="GD150" s="411"/>
      <c r="GE150" s="411"/>
      <c r="GF150" s="411"/>
      <c r="GG150" s="411"/>
      <c r="GH150" s="411"/>
      <c r="GI150" s="411"/>
      <c r="GJ150" s="411"/>
      <c r="GK150" s="411"/>
      <c r="GL150" s="411"/>
      <c r="GM150" s="411"/>
      <c r="GN150" s="411"/>
      <c r="GO150" s="411"/>
      <c r="GP150" s="411"/>
      <c r="GQ150" s="411"/>
      <c r="GR150" s="411"/>
      <c r="GS150" s="411"/>
      <c r="GT150" s="411"/>
      <c r="GU150" s="411"/>
      <c r="GV150" s="411"/>
      <c r="GW150" s="411"/>
      <c r="GX150" s="411"/>
      <c r="GY150" s="411"/>
      <c r="GZ150" s="411"/>
      <c r="HA150" s="411"/>
      <c r="HB150" s="411"/>
      <c r="HC150" s="411"/>
      <c r="HD150" s="411"/>
      <c r="HE150" s="411"/>
      <c r="HF150" s="411"/>
      <c r="HG150" s="411"/>
      <c r="HH150" s="411"/>
      <c r="HI150" s="411"/>
      <c r="HJ150" s="411"/>
      <c r="HK150" s="411"/>
      <c r="HL150" s="411"/>
      <c r="HM150" s="411"/>
      <c r="HN150" s="411"/>
      <c r="HO150" s="411"/>
      <c r="HP150" s="411"/>
      <c r="HQ150" s="411"/>
      <c r="HR150" s="411"/>
      <c r="HS150" s="411"/>
      <c r="HT150" s="411"/>
      <c r="HU150" s="411"/>
      <c r="HV150" s="411"/>
      <c r="HW150" s="411"/>
      <c r="HX150" s="411"/>
      <c r="HY150" s="411"/>
      <c r="HZ150" s="411"/>
      <c r="IA150" s="411"/>
      <c r="IB150" s="411"/>
      <c r="IC150" s="411"/>
      <c r="ID150" s="411"/>
      <c r="IE150" s="411"/>
      <c r="IF150" s="411"/>
      <c r="IG150" s="411"/>
      <c r="IH150" s="411"/>
      <c r="II150" s="411"/>
      <c r="IJ150" s="411"/>
      <c r="IK150" s="411"/>
      <c r="IL150" s="411"/>
      <c r="IM150" s="411"/>
      <c r="IN150" s="411"/>
      <c r="IO150" s="411"/>
      <c r="IP150" s="411"/>
      <c r="IQ150" s="411"/>
      <c r="IR150" s="411"/>
      <c r="IS150" s="411"/>
      <c r="IT150" s="411"/>
      <c r="IU150" s="411"/>
      <c r="IV150" s="411"/>
      <c r="IW150" s="411"/>
      <c r="IX150" s="411"/>
      <c r="IY150" s="411"/>
      <c r="IZ150" s="411"/>
      <c r="JA150" s="411"/>
      <c r="JB150" s="411"/>
      <c r="JC150" s="411"/>
    </row>
    <row r="151" spans="1:263" s="460" customFormat="1" hidden="1">
      <c r="A151" s="411"/>
      <c r="B151" s="411"/>
      <c r="C151" s="401"/>
      <c r="D151" s="457"/>
      <c r="E151" s="411"/>
      <c r="F151" s="411"/>
      <c r="G151" s="411"/>
      <c r="H151" s="411"/>
      <c r="I151" s="411"/>
      <c r="J151" s="411"/>
      <c r="K151" s="411"/>
      <c r="L151" s="411"/>
      <c r="M151" s="41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  <c r="AA151" s="461"/>
      <c r="AB151" s="461"/>
      <c r="AC151" s="461"/>
      <c r="AD151" s="461"/>
      <c r="AE151" s="461"/>
      <c r="AF151" s="411"/>
      <c r="AG151" s="411"/>
      <c r="AH151" s="411"/>
      <c r="AI151" s="411"/>
      <c r="AJ151" s="411"/>
      <c r="AK151" s="411"/>
      <c r="AL151" s="411"/>
      <c r="AM151" s="411"/>
      <c r="AN151" s="411"/>
      <c r="AO151" s="411"/>
      <c r="AP151" s="556"/>
      <c r="AQ151" s="562"/>
      <c r="AR151" s="411"/>
      <c r="AS151" s="411"/>
      <c r="AT151" s="411"/>
      <c r="AU151" s="411"/>
      <c r="AV151" s="411"/>
      <c r="AW151" s="411"/>
      <c r="AX151" s="411"/>
      <c r="AY151" s="411"/>
      <c r="AZ151" s="411"/>
      <c r="BA151" s="411"/>
      <c r="BB151" s="411"/>
      <c r="BC151" s="411"/>
      <c r="BD151" s="411"/>
      <c r="BE151" s="411"/>
      <c r="BF151" s="411"/>
      <c r="BG151" s="411"/>
      <c r="BH151" s="411"/>
      <c r="BI151" s="411"/>
      <c r="BJ151" s="411"/>
      <c r="BK151" s="411"/>
      <c r="BL151" s="411"/>
      <c r="BM151" s="411"/>
      <c r="BN151" s="411"/>
      <c r="BO151" s="411"/>
      <c r="BP151" s="411"/>
      <c r="BQ151" s="411"/>
      <c r="BR151" s="411"/>
      <c r="BS151" s="411"/>
      <c r="BT151" s="411"/>
      <c r="BU151" s="411"/>
      <c r="BV151" s="411"/>
      <c r="BW151" s="411"/>
      <c r="BX151" s="411"/>
      <c r="BY151" s="411"/>
      <c r="BZ151" s="411"/>
      <c r="CA151" s="411"/>
      <c r="CB151" s="411"/>
      <c r="CC151" s="411"/>
      <c r="CD151" s="411"/>
      <c r="CE151" s="411"/>
      <c r="CF151" s="411"/>
      <c r="CG151" s="411"/>
      <c r="CH151" s="411"/>
      <c r="CI151" s="411"/>
      <c r="CJ151" s="411"/>
      <c r="CK151" s="411"/>
      <c r="CL151" s="411"/>
      <c r="CM151" s="411"/>
      <c r="CN151" s="411"/>
      <c r="CO151" s="411"/>
      <c r="CP151" s="411"/>
      <c r="CQ151" s="411"/>
      <c r="CR151" s="411"/>
      <c r="CS151" s="411"/>
      <c r="CT151" s="411"/>
      <c r="CU151" s="411"/>
      <c r="CV151" s="411"/>
      <c r="CW151" s="411"/>
      <c r="CX151" s="411"/>
      <c r="CY151" s="411"/>
      <c r="CZ151" s="411"/>
      <c r="DA151" s="411"/>
      <c r="DB151" s="411"/>
      <c r="DC151" s="411"/>
      <c r="DD151" s="411"/>
      <c r="DE151" s="411"/>
      <c r="DF151" s="411"/>
      <c r="DG151" s="411"/>
      <c r="DH151" s="411"/>
      <c r="DI151" s="411"/>
      <c r="DJ151" s="411"/>
      <c r="DK151" s="411"/>
      <c r="DL151" s="411"/>
      <c r="DM151" s="411"/>
      <c r="DN151" s="411"/>
      <c r="DO151" s="411"/>
      <c r="DP151" s="411"/>
      <c r="DQ151" s="411"/>
      <c r="DR151" s="411"/>
      <c r="DS151" s="411"/>
      <c r="DT151" s="411"/>
      <c r="DU151" s="411"/>
      <c r="DV151" s="411"/>
      <c r="DW151" s="411"/>
      <c r="DX151" s="411"/>
      <c r="DY151" s="411"/>
      <c r="DZ151" s="411"/>
      <c r="EA151" s="411"/>
      <c r="EB151" s="411"/>
      <c r="EC151" s="411"/>
      <c r="ED151" s="411"/>
      <c r="EE151" s="411"/>
      <c r="EF151" s="411"/>
      <c r="EG151" s="411"/>
      <c r="EH151" s="411"/>
      <c r="EI151" s="411"/>
      <c r="EJ151" s="411"/>
      <c r="EK151" s="411"/>
      <c r="EL151" s="411"/>
      <c r="EM151" s="411"/>
      <c r="EN151" s="411"/>
      <c r="EO151" s="411"/>
      <c r="EP151" s="411"/>
      <c r="EQ151" s="411"/>
      <c r="ER151" s="411"/>
      <c r="ES151" s="411"/>
      <c r="ET151" s="411"/>
      <c r="EU151" s="411"/>
      <c r="EV151" s="411"/>
      <c r="EW151" s="411"/>
      <c r="EX151" s="411"/>
      <c r="EY151" s="411"/>
      <c r="EZ151" s="411"/>
      <c r="FA151" s="411"/>
      <c r="FB151" s="411"/>
      <c r="FC151" s="411"/>
      <c r="FD151" s="411"/>
      <c r="FE151" s="411"/>
      <c r="FF151" s="411"/>
      <c r="FG151" s="411"/>
      <c r="FH151" s="411"/>
      <c r="FI151" s="411"/>
      <c r="FJ151" s="411"/>
      <c r="FK151" s="411"/>
      <c r="FL151" s="411"/>
      <c r="FM151" s="411"/>
      <c r="FN151" s="411"/>
      <c r="FO151" s="411"/>
      <c r="FP151" s="411"/>
      <c r="FQ151" s="411"/>
      <c r="FR151" s="411"/>
      <c r="FS151" s="411"/>
      <c r="FT151" s="411"/>
      <c r="FU151" s="411"/>
      <c r="FV151" s="411"/>
      <c r="FW151" s="411"/>
      <c r="FX151" s="411"/>
      <c r="FY151" s="411"/>
      <c r="FZ151" s="411"/>
      <c r="GA151" s="411"/>
      <c r="GB151" s="411"/>
      <c r="GC151" s="411"/>
      <c r="GD151" s="411"/>
      <c r="GE151" s="411"/>
      <c r="GF151" s="411"/>
      <c r="GG151" s="411"/>
      <c r="GH151" s="411"/>
      <c r="GI151" s="411"/>
      <c r="GJ151" s="411"/>
      <c r="GK151" s="411"/>
      <c r="GL151" s="411"/>
      <c r="GM151" s="411"/>
      <c r="GN151" s="411"/>
      <c r="GO151" s="411"/>
      <c r="GP151" s="411"/>
      <c r="GQ151" s="411"/>
      <c r="GR151" s="411"/>
      <c r="GS151" s="411"/>
      <c r="GT151" s="411"/>
      <c r="GU151" s="411"/>
      <c r="GV151" s="411"/>
      <c r="GW151" s="411"/>
      <c r="GX151" s="411"/>
      <c r="GY151" s="411"/>
      <c r="GZ151" s="411"/>
      <c r="HA151" s="411"/>
      <c r="HB151" s="411"/>
      <c r="HC151" s="411"/>
      <c r="HD151" s="411"/>
      <c r="HE151" s="411"/>
      <c r="HF151" s="411"/>
      <c r="HG151" s="411"/>
      <c r="HH151" s="411"/>
      <c r="HI151" s="411"/>
      <c r="HJ151" s="411"/>
      <c r="HK151" s="411"/>
      <c r="HL151" s="411"/>
      <c r="HM151" s="411"/>
      <c r="HN151" s="411"/>
      <c r="HO151" s="411"/>
      <c r="HP151" s="411"/>
      <c r="HQ151" s="411"/>
      <c r="HR151" s="411"/>
      <c r="HS151" s="411"/>
      <c r="HT151" s="411"/>
      <c r="HU151" s="411"/>
      <c r="HV151" s="411"/>
      <c r="HW151" s="411"/>
      <c r="HX151" s="411"/>
      <c r="HY151" s="411"/>
      <c r="HZ151" s="411"/>
      <c r="IA151" s="411"/>
      <c r="IB151" s="411"/>
      <c r="IC151" s="411"/>
      <c r="ID151" s="411"/>
      <c r="IE151" s="411"/>
      <c r="IF151" s="411"/>
      <c r="IG151" s="411"/>
      <c r="IH151" s="411"/>
      <c r="II151" s="411"/>
      <c r="IJ151" s="411"/>
      <c r="IK151" s="411"/>
      <c r="IL151" s="411"/>
      <c r="IM151" s="411"/>
      <c r="IN151" s="411"/>
      <c r="IO151" s="411"/>
      <c r="IP151" s="411"/>
      <c r="IQ151" s="411"/>
      <c r="IR151" s="411"/>
      <c r="IS151" s="411"/>
      <c r="IT151" s="411"/>
      <c r="IU151" s="411"/>
      <c r="IV151" s="411"/>
      <c r="IW151" s="411"/>
      <c r="IX151" s="411"/>
      <c r="IY151" s="411"/>
      <c r="IZ151" s="411"/>
      <c r="JA151" s="411"/>
      <c r="JB151" s="411"/>
      <c r="JC151" s="411"/>
    </row>
    <row r="152" spans="1:263" hidden="1"/>
    <row r="153" spans="1:263" hidden="1"/>
    <row r="154" spans="1:263" hidden="1"/>
    <row r="155" spans="1:263" hidden="1"/>
    <row r="156" spans="1:263" hidden="1"/>
    <row r="157" spans="1:263">
      <c r="F157" s="436"/>
      <c r="U157" s="436"/>
    </row>
  </sheetData>
  <mergeCells count="10">
    <mergeCell ref="C142:C147"/>
    <mergeCell ref="B2:M2"/>
    <mergeCell ref="B3:M3"/>
    <mergeCell ref="D6:E6"/>
    <mergeCell ref="C119:C124"/>
    <mergeCell ref="B137:M137"/>
    <mergeCell ref="B138:M138"/>
    <mergeCell ref="C129:C134"/>
    <mergeCell ref="Q5:T5"/>
    <mergeCell ref="G5:O5"/>
  </mergeCells>
  <printOptions horizontalCentered="1"/>
  <pageMargins left="0.5" right="0" top="0.25" bottom="0" header="0.3" footer="0.3"/>
  <pageSetup paperSize="9" scale="27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E55A-19B6-4D52-BF2E-CBBAC3D42770}">
  <sheetPr>
    <tabColor rgb="FFFF0000"/>
    <pageSetUpPr fitToPage="1"/>
  </sheetPr>
  <dimension ref="A2:IL73"/>
  <sheetViews>
    <sheetView showGridLines="0" view="pageBreakPreview" topLeftCell="E30" zoomScaleNormal="100" zoomScaleSheetLayoutView="100" workbookViewId="0">
      <selection activeCell="M54" sqref="M54"/>
    </sheetView>
  </sheetViews>
  <sheetFormatPr defaultColWidth="18.5546875" defaultRowHeight="13.8"/>
  <cols>
    <col min="1" max="1" width="4" style="486" customWidth="1"/>
    <col min="2" max="2" width="5.5546875" style="486" customWidth="1"/>
    <col min="3" max="3" width="30.21875" style="486" customWidth="1"/>
    <col min="4" max="4" width="4.5546875" style="528" bestFit="1" customWidth="1"/>
    <col min="5" max="5" width="41" style="486" customWidth="1"/>
    <col min="6" max="7" width="14.5546875" style="486" customWidth="1"/>
    <col min="8" max="8" width="16" style="486" customWidth="1"/>
    <col min="9" max="11" width="14.5546875" style="486" customWidth="1"/>
    <col min="12" max="13" width="11.33203125" style="486" customWidth="1"/>
    <col min="14" max="14" width="11" style="486" hidden="1" customWidth="1"/>
    <col min="15" max="15" width="17.21875" style="486" hidden="1" customWidth="1"/>
    <col min="16" max="16" width="11" style="486" hidden="1" customWidth="1"/>
    <col min="17" max="17" width="8.77734375" style="486" hidden="1" customWidth="1"/>
    <col min="18" max="21" width="10.21875" style="486" hidden="1" customWidth="1"/>
    <col min="22" max="23" width="11.21875" style="486" hidden="1" customWidth="1"/>
    <col min="24" max="25" width="8.77734375" style="486" hidden="1" customWidth="1"/>
    <col min="26" max="26" width="13.88671875" style="486" customWidth="1"/>
    <col min="27" max="234" width="8.77734375" style="486" customWidth="1"/>
    <col min="235" max="235" width="2.5546875" style="486" customWidth="1"/>
    <col min="236" max="236" width="5.5546875" style="486" customWidth="1"/>
    <col min="237" max="237" width="23.77734375" style="486" customWidth="1"/>
    <col min="238" max="238" width="3.77734375" style="486" customWidth="1"/>
    <col min="239" max="239" width="35.77734375" style="486" customWidth="1"/>
    <col min="240" max="240" width="22.21875" style="486" customWidth="1"/>
    <col min="241" max="241" width="17.77734375" style="486" customWidth="1"/>
    <col min="242" max="242" width="19" style="486" customWidth="1"/>
    <col min="243" max="243" width="20.77734375" style="486" customWidth="1"/>
    <col min="244" max="244" width="16.77734375" style="486" customWidth="1"/>
    <col min="245" max="245" width="18.77734375" style="486" customWidth="1"/>
    <col min="246" max="252" width="18.5546875" style="486"/>
    <col min="253" max="253" width="4" style="486" customWidth="1"/>
    <col min="254" max="254" width="5.5546875" style="486" customWidth="1"/>
    <col min="255" max="255" width="30.21875" style="486" customWidth="1"/>
    <col min="256" max="256" width="4.5546875" style="486" bestFit="1" customWidth="1"/>
    <col min="257" max="257" width="41" style="486" customWidth="1"/>
    <col min="258" max="259" width="14.5546875" style="486" customWidth="1"/>
    <col min="260" max="260" width="16.5546875" style="486" customWidth="1"/>
    <col min="261" max="264" width="14.5546875" style="486" customWidth="1"/>
    <col min="265" max="266" width="12.5546875" style="486" customWidth="1"/>
    <col min="267" max="267" width="16.5546875" style="486" customWidth="1"/>
    <col min="268" max="269" width="20.5546875" style="486" customWidth="1"/>
    <col min="270" max="270" width="11" style="486" bestFit="1" customWidth="1"/>
    <col min="271" max="271" width="17.21875" style="486" customWidth="1"/>
    <col min="272" max="272" width="11" style="486" bestFit="1" customWidth="1"/>
    <col min="273" max="273" width="8.77734375" style="486" customWidth="1"/>
    <col min="274" max="277" width="10.21875" style="486" bestFit="1" customWidth="1"/>
    <col min="278" max="279" width="11.21875" style="486" bestFit="1" customWidth="1"/>
    <col min="280" max="490" width="8.77734375" style="486" customWidth="1"/>
    <col min="491" max="491" width="2.5546875" style="486" customWidth="1"/>
    <col min="492" max="492" width="5.5546875" style="486" customWidth="1"/>
    <col min="493" max="493" width="23.77734375" style="486" customWidth="1"/>
    <col min="494" max="494" width="3.77734375" style="486" customWidth="1"/>
    <col min="495" max="495" width="35.77734375" style="486" customWidth="1"/>
    <col min="496" max="496" width="22.21875" style="486" customWidth="1"/>
    <col min="497" max="497" width="17.77734375" style="486" customWidth="1"/>
    <col min="498" max="498" width="19" style="486" customWidth="1"/>
    <col min="499" max="499" width="20.77734375" style="486" customWidth="1"/>
    <col min="500" max="500" width="16.77734375" style="486" customWidth="1"/>
    <col min="501" max="501" width="18.77734375" style="486" customWidth="1"/>
    <col min="502" max="508" width="18.5546875" style="486"/>
    <col min="509" max="509" width="4" style="486" customWidth="1"/>
    <col min="510" max="510" width="5.5546875" style="486" customWidth="1"/>
    <col min="511" max="511" width="30.21875" style="486" customWidth="1"/>
    <col min="512" max="512" width="4.5546875" style="486" bestFit="1" customWidth="1"/>
    <col min="513" max="513" width="41" style="486" customWidth="1"/>
    <col min="514" max="515" width="14.5546875" style="486" customWidth="1"/>
    <col min="516" max="516" width="16.5546875" style="486" customWidth="1"/>
    <col min="517" max="520" width="14.5546875" style="486" customWidth="1"/>
    <col min="521" max="522" width="12.5546875" style="486" customWidth="1"/>
    <col min="523" max="523" width="16.5546875" style="486" customWidth="1"/>
    <col min="524" max="525" width="20.5546875" style="486" customWidth="1"/>
    <col min="526" max="526" width="11" style="486" bestFit="1" customWidth="1"/>
    <col min="527" max="527" width="17.21875" style="486" customWidth="1"/>
    <col min="528" max="528" width="11" style="486" bestFit="1" customWidth="1"/>
    <col min="529" max="529" width="8.77734375" style="486" customWidth="1"/>
    <col min="530" max="533" width="10.21875" style="486" bestFit="1" customWidth="1"/>
    <col min="534" max="535" width="11.21875" style="486" bestFit="1" customWidth="1"/>
    <col min="536" max="746" width="8.77734375" style="486" customWidth="1"/>
    <col min="747" max="747" width="2.5546875" style="486" customWidth="1"/>
    <col min="748" max="748" width="5.5546875" style="486" customWidth="1"/>
    <col min="749" max="749" width="23.77734375" style="486" customWidth="1"/>
    <col min="750" max="750" width="3.77734375" style="486" customWidth="1"/>
    <col min="751" max="751" width="35.77734375" style="486" customWidth="1"/>
    <col min="752" max="752" width="22.21875" style="486" customWidth="1"/>
    <col min="753" max="753" width="17.77734375" style="486" customWidth="1"/>
    <col min="754" max="754" width="19" style="486" customWidth="1"/>
    <col min="755" max="755" width="20.77734375" style="486" customWidth="1"/>
    <col min="756" max="756" width="16.77734375" style="486" customWidth="1"/>
    <col min="757" max="757" width="18.77734375" style="486" customWidth="1"/>
    <col min="758" max="764" width="18.5546875" style="486"/>
    <col min="765" max="765" width="4" style="486" customWidth="1"/>
    <col min="766" max="766" width="5.5546875" style="486" customWidth="1"/>
    <col min="767" max="767" width="30.21875" style="486" customWidth="1"/>
    <col min="768" max="768" width="4.5546875" style="486" bestFit="1" customWidth="1"/>
    <col min="769" max="769" width="41" style="486" customWidth="1"/>
    <col min="770" max="771" width="14.5546875" style="486" customWidth="1"/>
    <col min="772" max="772" width="16.5546875" style="486" customWidth="1"/>
    <col min="773" max="776" width="14.5546875" style="486" customWidth="1"/>
    <col min="777" max="778" width="12.5546875" style="486" customWidth="1"/>
    <col min="779" max="779" width="16.5546875" style="486" customWidth="1"/>
    <col min="780" max="781" width="20.5546875" style="486" customWidth="1"/>
    <col min="782" max="782" width="11" style="486" bestFit="1" customWidth="1"/>
    <col min="783" max="783" width="17.21875" style="486" customWidth="1"/>
    <col min="784" max="784" width="11" style="486" bestFit="1" customWidth="1"/>
    <col min="785" max="785" width="8.77734375" style="486" customWidth="1"/>
    <col min="786" max="789" width="10.21875" style="486" bestFit="1" customWidth="1"/>
    <col min="790" max="791" width="11.21875" style="486" bestFit="1" customWidth="1"/>
    <col min="792" max="1002" width="8.77734375" style="486" customWidth="1"/>
    <col min="1003" max="1003" width="2.5546875" style="486" customWidth="1"/>
    <col min="1004" max="1004" width="5.5546875" style="486" customWidth="1"/>
    <col min="1005" max="1005" width="23.77734375" style="486" customWidth="1"/>
    <col min="1006" max="1006" width="3.77734375" style="486" customWidth="1"/>
    <col min="1007" max="1007" width="35.77734375" style="486" customWidth="1"/>
    <col min="1008" max="1008" width="22.21875" style="486" customWidth="1"/>
    <col min="1009" max="1009" width="17.77734375" style="486" customWidth="1"/>
    <col min="1010" max="1010" width="19" style="486" customWidth="1"/>
    <col min="1011" max="1011" width="20.77734375" style="486" customWidth="1"/>
    <col min="1012" max="1012" width="16.77734375" style="486" customWidth="1"/>
    <col min="1013" max="1013" width="18.77734375" style="486" customWidth="1"/>
    <col min="1014" max="1020" width="18.5546875" style="486"/>
    <col min="1021" max="1021" width="4" style="486" customWidth="1"/>
    <col min="1022" max="1022" width="5.5546875" style="486" customWidth="1"/>
    <col min="1023" max="1023" width="30.21875" style="486" customWidth="1"/>
    <col min="1024" max="1024" width="4.5546875" style="486" bestFit="1" customWidth="1"/>
    <col min="1025" max="1025" width="41" style="486" customWidth="1"/>
    <col min="1026" max="1027" width="14.5546875" style="486" customWidth="1"/>
    <col min="1028" max="1028" width="16.5546875" style="486" customWidth="1"/>
    <col min="1029" max="1032" width="14.5546875" style="486" customWidth="1"/>
    <col min="1033" max="1034" width="12.5546875" style="486" customWidth="1"/>
    <col min="1035" max="1035" width="16.5546875" style="486" customWidth="1"/>
    <col min="1036" max="1037" width="20.5546875" style="486" customWidth="1"/>
    <col min="1038" max="1038" width="11" style="486" bestFit="1" customWidth="1"/>
    <col min="1039" max="1039" width="17.21875" style="486" customWidth="1"/>
    <col min="1040" max="1040" width="11" style="486" bestFit="1" customWidth="1"/>
    <col min="1041" max="1041" width="8.77734375" style="486" customWidth="1"/>
    <col min="1042" max="1045" width="10.21875" style="486" bestFit="1" customWidth="1"/>
    <col min="1046" max="1047" width="11.21875" style="486" bestFit="1" customWidth="1"/>
    <col min="1048" max="1258" width="8.77734375" style="486" customWidth="1"/>
    <col min="1259" max="1259" width="2.5546875" style="486" customWidth="1"/>
    <col min="1260" max="1260" width="5.5546875" style="486" customWidth="1"/>
    <col min="1261" max="1261" width="23.77734375" style="486" customWidth="1"/>
    <col min="1262" max="1262" width="3.77734375" style="486" customWidth="1"/>
    <col min="1263" max="1263" width="35.77734375" style="486" customWidth="1"/>
    <col min="1264" max="1264" width="22.21875" style="486" customWidth="1"/>
    <col min="1265" max="1265" width="17.77734375" style="486" customWidth="1"/>
    <col min="1266" max="1266" width="19" style="486" customWidth="1"/>
    <col min="1267" max="1267" width="20.77734375" style="486" customWidth="1"/>
    <col min="1268" max="1268" width="16.77734375" style="486" customWidth="1"/>
    <col min="1269" max="1269" width="18.77734375" style="486" customWidth="1"/>
    <col min="1270" max="1276" width="18.5546875" style="486"/>
    <col min="1277" max="1277" width="4" style="486" customWidth="1"/>
    <col min="1278" max="1278" width="5.5546875" style="486" customWidth="1"/>
    <col min="1279" max="1279" width="30.21875" style="486" customWidth="1"/>
    <col min="1280" max="1280" width="4.5546875" style="486" bestFit="1" customWidth="1"/>
    <col min="1281" max="1281" width="41" style="486" customWidth="1"/>
    <col min="1282" max="1283" width="14.5546875" style="486" customWidth="1"/>
    <col min="1284" max="1284" width="16.5546875" style="486" customWidth="1"/>
    <col min="1285" max="1288" width="14.5546875" style="486" customWidth="1"/>
    <col min="1289" max="1290" width="12.5546875" style="486" customWidth="1"/>
    <col min="1291" max="1291" width="16.5546875" style="486" customWidth="1"/>
    <col min="1292" max="1293" width="20.5546875" style="486" customWidth="1"/>
    <col min="1294" max="1294" width="11" style="486" bestFit="1" customWidth="1"/>
    <col min="1295" max="1295" width="17.21875" style="486" customWidth="1"/>
    <col min="1296" max="1296" width="11" style="486" bestFit="1" customWidth="1"/>
    <col min="1297" max="1297" width="8.77734375" style="486" customWidth="1"/>
    <col min="1298" max="1301" width="10.21875" style="486" bestFit="1" customWidth="1"/>
    <col min="1302" max="1303" width="11.21875" style="486" bestFit="1" customWidth="1"/>
    <col min="1304" max="1514" width="8.77734375" style="486" customWidth="1"/>
    <col min="1515" max="1515" width="2.5546875" style="486" customWidth="1"/>
    <col min="1516" max="1516" width="5.5546875" style="486" customWidth="1"/>
    <col min="1517" max="1517" width="23.77734375" style="486" customWidth="1"/>
    <col min="1518" max="1518" width="3.77734375" style="486" customWidth="1"/>
    <col min="1519" max="1519" width="35.77734375" style="486" customWidth="1"/>
    <col min="1520" max="1520" width="22.21875" style="486" customWidth="1"/>
    <col min="1521" max="1521" width="17.77734375" style="486" customWidth="1"/>
    <col min="1522" max="1522" width="19" style="486" customWidth="1"/>
    <col min="1523" max="1523" width="20.77734375" style="486" customWidth="1"/>
    <col min="1524" max="1524" width="16.77734375" style="486" customWidth="1"/>
    <col min="1525" max="1525" width="18.77734375" style="486" customWidth="1"/>
    <col min="1526" max="1532" width="18.5546875" style="486"/>
    <col min="1533" max="1533" width="4" style="486" customWidth="1"/>
    <col min="1534" max="1534" width="5.5546875" style="486" customWidth="1"/>
    <col min="1535" max="1535" width="30.21875" style="486" customWidth="1"/>
    <col min="1536" max="1536" width="4.5546875" style="486" bestFit="1" customWidth="1"/>
    <col min="1537" max="1537" width="41" style="486" customWidth="1"/>
    <col min="1538" max="1539" width="14.5546875" style="486" customWidth="1"/>
    <col min="1540" max="1540" width="16.5546875" style="486" customWidth="1"/>
    <col min="1541" max="1544" width="14.5546875" style="486" customWidth="1"/>
    <col min="1545" max="1546" width="12.5546875" style="486" customWidth="1"/>
    <col min="1547" max="1547" width="16.5546875" style="486" customWidth="1"/>
    <col min="1548" max="1549" width="20.5546875" style="486" customWidth="1"/>
    <col min="1550" max="1550" width="11" style="486" bestFit="1" customWidth="1"/>
    <col min="1551" max="1551" width="17.21875" style="486" customWidth="1"/>
    <col min="1552" max="1552" width="11" style="486" bestFit="1" customWidth="1"/>
    <col min="1553" max="1553" width="8.77734375" style="486" customWidth="1"/>
    <col min="1554" max="1557" width="10.21875" style="486" bestFit="1" customWidth="1"/>
    <col min="1558" max="1559" width="11.21875" style="486" bestFit="1" customWidth="1"/>
    <col min="1560" max="1770" width="8.77734375" style="486" customWidth="1"/>
    <col min="1771" max="1771" width="2.5546875" style="486" customWidth="1"/>
    <col min="1772" max="1772" width="5.5546875" style="486" customWidth="1"/>
    <col min="1773" max="1773" width="23.77734375" style="486" customWidth="1"/>
    <col min="1774" max="1774" width="3.77734375" style="486" customWidth="1"/>
    <col min="1775" max="1775" width="35.77734375" style="486" customWidth="1"/>
    <col min="1776" max="1776" width="22.21875" style="486" customWidth="1"/>
    <col min="1777" max="1777" width="17.77734375" style="486" customWidth="1"/>
    <col min="1778" max="1778" width="19" style="486" customWidth="1"/>
    <col min="1779" max="1779" width="20.77734375" style="486" customWidth="1"/>
    <col min="1780" max="1780" width="16.77734375" style="486" customWidth="1"/>
    <col min="1781" max="1781" width="18.77734375" style="486" customWidth="1"/>
    <col min="1782" max="1788" width="18.5546875" style="486"/>
    <col min="1789" max="1789" width="4" style="486" customWidth="1"/>
    <col min="1790" max="1790" width="5.5546875" style="486" customWidth="1"/>
    <col min="1791" max="1791" width="30.21875" style="486" customWidth="1"/>
    <col min="1792" max="1792" width="4.5546875" style="486" bestFit="1" customWidth="1"/>
    <col min="1793" max="1793" width="41" style="486" customWidth="1"/>
    <col min="1794" max="1795" width="14.5546875" style="486" customWidth="1"/>
    <col min="1796" max="1796" width="16.5546875" style="486" customWidth="1"/>
    <col min="1797" max="1800" width="14.5546875" style="486" customWidth="1"/>
    <col min="1801" max="1802" width="12.5546875" style="486" customWidth="1"/>
    <col min="1803" max="1803" width="16.5546875" style="486" customWidth="1"/>
    <col min="1804" max="1805" width="20.5546875" style="486" customWidth="1"/>
    <col min="1806" max="1806" width="11" style="486" bestFit="1" customWidth="1"/>
    <col min="1807" max="1807" width="17.21875" style="486" customWidth="1"/>
    <col min="1808" max="1808" width="11" style="486" bestFit="1" customWidth="1"/>
    <col min="1809" max="1809" width="8.77734375" style="486" customWidth="1"/>
    <col min="1810" max="1813" width="10.21875" style="486" bestFit="1" customWidth="1"/>
    <col min="1814" max="1815" width="11.21875" style="486" bestFit="1" customWidth="1"/>
    <col min="1816" max="2026" width="8.77734375" style="486" customWidth="1"/>
    <col min="2027" max="2027" width="2.5546875" style="486" customWidth="1"/>
    <col min="2028" max="2028" width="5.5546875" style="486" customWidth="1"/>
    <col min="2029" max="2029" width="23.77734375" style="486" customWidth="1"/>
    <col min="2030" max="2030" width="3.77734375" style="486" customWidth="1"/>
    <col min="2031" max="2031" width="35.77734375" style="486" customWidth="1"/>
    <col min="2032" max="2032" width="22.21875" style="486" customWidth="1"/>
    <col min="2033" max="2033" width="17.77734375" style="486" customWidth="1"/>
    <col min="2034" max="2034" width="19" style="486" customWidth="1"/>
    <col min="2035" max="2035" width="20.77734375" style="486" customWidth="1"/>
    <col min="2036" max="2036" width="16.77734375" style="486" customWidth="1"/>
    <col min="2037" max="2037" width="18.77734375" style="486" customWidth="1"/>
    <col min="2038" max="2044" width="18.5546875" style="486"/>
    <col min="2045" max="2045" width="4" style="486" customWidth="1"/>
    <col min="2046" max="2046" width="5.5546875" style="486" customWidth="1"/>
    <col min="2047" max="2047" width="30.21875" style="486" customWidth="1"/>
    <col min="2048" max="2048" width="4.5546875" style="486" bestFit="1" customWidth="1"/>
    <col min="2049" max="2049" width="41" style="486" customWidth="1"/>
    <col min="2050" max="2051" width="14.5546875" style="486" customWidth="1"/>
    <col min="2052" max="2052" width="16.5546875" style="486" customWidth="1"/>
    <col min="2053" max="2056" width="14.5546875" style="486" customWidth="1"/>
    <col min="2057" max="2058" width="12.5546875" style="486" customWidth="1"/>
    <col min="2059" max="2059" width="16.5546875" style="486" customWidth="1"/>
    <col min="2060" max="2061" width="20.5546875" style="486" customWidth="1"/>
    <col min="2062" max="2062" width="11" style="486" bestFit="1" customWidth="1"/>
    <col min="2063" max="2063" width="17.21875" style="486" customWidth="1"/>
    <col min="2064" max="2064" width="11" style="486" bestFit="1" customWidth="1"/>
    <col min="2065" max="2065" width="8.77734375" style="486" customWidth="1"/>
    <col min="2066" max="2069" width="10.21875" style="486" bestFit="1" customWidth="1"/>
    <col min="2070" max="2071" width="11.21875" style="486" bestFit="1" customWidth="1"/>
    <col min="2072" max="2282" width="8.77734375" style="486" customWidth="1"/>
    <col min="2283" max="2283" width="2.5546875" style="486" customWidth="1"/>
    <col min="2284" max="2284" width="5.5546875" style="486" customWidth="1"/>
    <col min="2285" max="2285" width="23.77734375" style="486" customWidth="1"/>
    <col min="2286" max="2286" width="3.77734375" style="486" customWidth="1"/>
    <col min="2287" max="2287" width="35.77734375" style="486" customWidth="1"/>
    <col min="2288" max="2288" width="22.21875" style="486" customWidth="1"/>
    <col min="2289" max="2289" width="17.77734375" style="486" customWidth="1"/>
    <col min="2290" max="2290" width="19" style="486" customWidth="1"/>
    <col min="2291" max="2291" width="20.77734375" style="486" customWidth="1"/>
    <col min="2292" max="2292" width="16.77734375" style="486" customWidth="1"/>
    <col min="2293" max="2293" width="18.77734375" style="486" customWidth="1"/>
    <col min="2294" max="2300" width="18.5546875" style="486"/>
    <col min="2301" max="2301" width="4" style="486" customWidth="1"/>
    <col min="2302" max="2302" width="5.5546875" style="486" customWidth="1"/>
    <col min="2303" max="2303" width="30.21875" style="486" customWidth="1"/>
    <col min="2304" max="2304" width="4.5546875" style="486" bestFit="1" customWidth="1"/>
    <col min="2305" max="2305" width="41" style="486" customWidth="1"/>
    <col min="2306" max="2307" width="14.5546875" style="486" customWidth="1"/>
    <col min="2308" max="2308" width="16.5546875" style="486" customWidth="1"/>
    <col min="2309" max="2312" width="14.5546875" style="486" customWidth="1"/>
    <col min="2313" max="2314" width="12.5546875" style="486" customWidth="1"/>
    <col min="2315" max="2315" width="16.5546875" style="486" customWidth="1"/>
    <col min="2316" max="2317" width="20.5546875" style="486" customWidth="1"/>
    <col min="2318" max="2318" width="11" style="486" bestFit="1" customWidth="1"/>
    <col min="2319" max="2319" width="17.21875" style="486" customWidth="1"/>
    <col min="2320" max="2320" width="11" style="486" bestFit="1" customWidth="1"/>
    <col min="2321" max="2321" width="8.77734375" style="486" customWidth="1"/>
    <col min="2322" max="2325" width="10.21875" style="486" bestFit="1" customWidth="1"/>
    <col min="2326" max="2327" width="11.21875" style="486" bestFit="1" customWidth="1"/>
    <col min="2328" max="2538" width="8.77734375" style="486" customWidth="1"/>
    <col min="2539" max="2539" width="2.5546875" style="486" customWidth="1"/>
    <col min="2540" max="2540" width="5.5546875" style="486" customWidth="1"/>
    <col min="2541" max="2541" width="23.77734375" style="486" customWidth="1"/>
    <col min="2542" max="2542" width="3.77734375" style="486" customWidth="1"/>
    <col min="2543" max="2543" width="35.77734375" style="486" customWidth="1"/>
    <col min="2544" max="2544" width="22.21875" style="486" customWidth="1"/>
    <col min="2545" max="2545" width="17.77734375" style="486" customWidth="1"/>
    <col min="2546" max="2546" width="19" style="486" customWidth="1"/>
    <col min="2547" max="2547" width="20.77734375" style="486" customWidth="1"/>
    <col min="2548" max="2548" width="16.77734375" style="486" customWidth="1"/>
    <col min="2549" max="2549" width="18.77734375" style="486" customWidth="1"/>
    <col min="2550" max="2556" width="18.5546875" style="486"/>
    <col min="2557" max="2557" width="4" style="486" customWidth="1"/>
    <col min="2558" max="2558" width="5.5546875" style="486" customWidth="1"/>
    <col min="2559" max="2559" width="30.21875" style="486" customWidth="1"/>
    <col min="2560" max="2560" width="4.5546875" style="486" bestFit="1" customWidth="1"/>
    <col min="2561" max="2561" width="41" style="486" customWidth="1"/>
    <col min="2562" max="2563" width="14.5546875" style="486" customWidth="1"/>
    <col min="2564" max="2564" width="16.5546875" style="486" customWidth="1"/>
    <col min="2565" max="2568" width="14.5546875" style="486" customWidth="1"/>
    <col min="2569" max="2570" width="12.5546875" style="486" customWidth="1"/>
    <col min="2571" max="2571" width="16.5546875" style="486" customWidth="1"/>
    <col min="2572" max="2573" width="20.5546875" style="486" customWidth="1"/>
    <col min="2574" max="2574" width="11" style="486" bestFit="1" customWidth="1"/>
    <col min="2575" max="2575" width="17.21875" style="486" customWidth="1"/>
    <col min="2576" max="2576" width="11" style="486" bestFit="1" customWidth="1"/>
    <col min="2577" max="2577" width="8.77734375" style="486" customWidth="1"/>
    <col min="2578" max="2581" width="10.21875" style="486" bestFit="1" customWidth="1"/>
    <col min="2582" max="2583" width="11.21875" style="486" bestFit="1" customWidth="1"/>
    <col min="2584" max="2794" width="8.77734375" style="486" customWidth="1"/>
    <col min="2795" max="2795" width="2.5546875" style="486" customWidth="1"/>
    <col min="2796" max="2796" width="5.5546875" style="486" customWidth="1"/>
    <col min="2797" max="2797" width="23.77734375" style="486" customWidth="1"/>
    <col min="2798" max="2798" width="3.77734375" style="486" customWidth="1"/>
    <col min="2799" max="2799" width="35.77734375" style="486" customWidth="1"/>
    <col min="2800" max="2800" width="22.21875" style="486" customWidth="1"/>
    <col min="2801" max="2801" width="17.77734375" style="486" customWidth="1"/>
    <col min="2802" max="2802" width="19" style="486" customWidth="1"/>
    <col min="2803" max="2803" width="20.77734375" style="486" customWidth="1"/>
    <col min="2804" max="2804" width="16.77734375" style="486" customWidth="1"/>
    <col min="2805" max="2805" width="18.77734375" style="486" customWidth="1"/>
    <col min="2806" max="2812" width="18.5546875" style="486"/>
    <col min="2813" max="2813" width="4" style="486" customWidth="1"/>
    <col min="2814" max="2814" width="5.5546875" style="486" customWidth="1"/>
    <col min="2815" max="2815" width="30.21875" style="486" customWidth="1"/>
    <col min="2816" max="2816" width="4.5546875" style="486" bestFit="1" customWidth="1"/>
    <col min="2817" max="2817" width="41" style="486" customWidth="1"/>
    <col min="2818" max="2819" width="14.5546875" style="486" customWidth="1"/>
    <col min="2820" max="2820" width="16.5546875" style="486" customWidth="1"/>
    <col min="2821" max="2824" width="14.5546875" style="486" customWidth="1"/>
    <col min="2825" max="2826" width="12.5546875" style="486" customWidth="1"/>
    <col min="2827" max="2827" width="16.5546875" style="486" customWidth="1"/>
    <col min="2828" max="2829" width="20.5546875" style="486" customWidth="1"/>
    <col min="2830" max="2830" width="11" style="486" bestFit="1" customWidth="1"/>
    <col min="2831" max="2831" width="17.21875" style="486" customWidth="1"/>
    <col min="2832" max="2832" width="11" style="486" bestFit="1" customWidth="1"/>
    <col min="2833" max="2833" width="8.77734375" style="486" customWidth="1"/>
    <col min="2834" max="2837" width="10.21875" style="486" bestFit="1" customWidth="1"/>
    <col min="2838" max="2839" width="11.21875" style="486" bestFit="1" customWidth="1"/>
    <col min="2840" max="3050" width="8.77734375" style="486" customWidth="1"/>
    <col min="3051" max="3051" width="2.5546875" style="486" customWidth="1"/>
    <col min="3052" max="3052" width="5.5546875" style="486" customWidth="1"/>
    <col min="3053" max="3053" width="23.77734375" style="486" customWidth="1"/>
    <col min="3054" max="3054" width="3.77734375" style="486" customWidth="1"/>
    <col min="3055" max="3055" width="35.77734375" style="486" customWidth="1"/>
    <col min="3056" max="3056" width="22.21875" style="486" customWidth="1"/>
    <col min="3057" max="3057" width="17.77734375" style="486" customWidth="1"/>
    <col min="3058" max="3058" width="19" style="486" customWidth="1"/>
    <col min="3059" max="3059" width="20.77734375" style="486" customWidth="1"/>
    <col min="3060" max="3060" width="16.77734375" style="486" customWidth="1"/>
    <col min="3061" max="3061" width="18.77734375" style="486" customWidth="1"/>
    <col min="3062" max="3068" width="18.5546875" style="486"/>
    <col min="3069" max="3069" width="4" style="486" customWidth="1"/>
    <col min="3070" max="3070" width="5.5546875" style="486" customWidth="1"/>
    <col min="3071" max="3071" width="30.21875" style="486" customWidth="1"/>
    <col min="3072" max="3072" width="4.5546875" style="486" bestFit="1" customWidth="1"/>
    <col min="3073" max="3073" width="41" style="486" customWidth="1"/>
    <col min="3074" max="3075" width="14.5546875" style="486" customWidth="1"/>
    <col min="3076" max="3076" width="16.5546875" style="486" customWidth="1"/>
    <col min="3077" max="3080" width="14.5546875" style="486" customWidth="1"/>
    <col min="3081" max="3082" width="12.5546875" style="486" customWidth="1"/>
    <col min="3083" max="3083" width="16.5546875" style="486" customWidth="1"/>
    <col min="3084" max="3085" width="20.5546875" style="486" customWidth="1"/>
    <col min="3086" max="3086" width="11" style="486" bestFit="1" customWidth="1"/>
    <col min="3087" max="3087" width="17.21875" style="486" customWidth="1"/>
    <col min="3088" max="3088" width="11" style="486" bestFit="1" customWidth="1"/>
    <col min="3089" max="3089" width="8.77734375" style="486" customWidth="1"/>
    <col min="3090" max="3093" width="10.21875" style="486" bestFit="1" customWidth="1"/>
    <col min="3094" max="3095" width="11.21875" style="486" bestFit="1" customWidth="1"/>
    <col min="3096" max="3306" width="8.77734375" style="486" customWidth="1"/>
    <col min="3307" max="3307" width="2.5546875" style="486" customWidth="1"/>
    <col min="3308" max="3308" width="5.5546875" style="486" customWidth="1"/>
    <col min="3309" max="3309" width="23.77734375" style="486" customWidth="1"/>
    <col min="3310" max="3310" width="3.77734375" style="486" customWidth="1"/>
    <col min="3311" max="3311" width="35.77734375" style="486" customWidth="1"/>
    <col min="3312" max="3312" width="22.21875" style="486" customWidth="1"/>
    <col min="3313" max="3313" width="17.77734375" style="486" customWidth="1"/>
    <col min="3314" max="3314" width="19" style="486" customWidth="1"/>
    <col min="3315" max="3315" width="20.77734375" style="486" customWidth="1"/>
    <col min="3316" max="3316" width="16.77734375" style="486" customWidth="1"/>
    <col min="3317" max="3317" width="18.77734375" style="486" customWidth="1"/>
    <col min="3318" max="3324" width="18.5546875" style="486"/>
    <col min="3325" max="3325" width="4" style="486" customWidth="1"/>
    <col min="3326" max="3326" width="5.5546875" style="486" customWidth="1"/>
    <col min="3327" max="3327" width="30.21875" style="486" customWidth="1"/>
    <col min="3328" max="3328" width="4.5546875" style="486" bestFit="1" customWidth="1"/>
    <col min="3329" max="3329" width="41" style="486" customWidth="1"/>
    <col min="3330" max="3331" width="14.5546875" style="486" customWidth="1"/>
    <col min="3332" max="3332" width="16.5546875" style="486" customWidth="1"/>
    <col min="3333" max="3336" width="14.5546875" style="486" customWidth="1"/>
    <col min="3337" max="3338" width="12.5546875" style="486" customWidth="1"/>
    <col min="3339" max="3339" width="16.5546875" style="486" customWidth="1"/>
    <col min="3340" max="3341" width="20.5546875" style="486" customWidth="1"/>
    <col min="3342" max="3342" width="11" style="486" bestFit="1" customWidth="1"/>
    <col min="3343" max="3343" width="17.21875" style="486" customWidth="1"/>
    <col min="3344" max="3344" width="11" style="486" bestFit="1" customWidth="1"/>
    <col min="3345" max="3345" width="8.77734375" style="486" customWidth="1"/>
    <col min="3346" max="3349" width="10.21875" style="486" bestFit="1" customWidth="1"/>
    <col min="3350" max="3351" width="11.21875" style="486" bestFit="1" customWidth="1"/>
    <col min="3352" max="3562" width="8.77734375" style="486" customWidth="1"/>
    <col min="3563" max="3563" width="2.5546875" style="486" customWidth="1"/>
    <col min="3564" max="3564" width="5.5546875" style="486" customWidth="1"/>
    <col min="3565" max="3565" width="23.77734375" style="486" customWidth="1"/>
    <col min="3566" max="3566" width="3.77734375" style="486" customWidth="1"/>
    <col min="3567" max="3567" width="35.77734375" style="486" customWidth="1"/>
    <col min="3568" max="3568" width="22.21875" style="486" customWidth="1"/>
    <col min="3569" max="3569" width="17.77734375" style="486" customWidth="1"/>
    <col min="3570" max="3570" width="19" style="486" customWidth="1"/>
    <col min="3571" max="3571" width="20.77734375" style="486" customWidth="1"/>
    <col min="3572" max="3572" width="16.77734375" style="486" customWidth="1"/>
    <col min="3573" max="3573" width="18.77734375" style="486" customWidth="1"/>
    <col min="3574" max="3580" width="18.5546875" style="486"/>
    <col min="3581" max="3581" width="4" style="486" customWidth="1"/>
    <col min="3582" max="3582" width="5.5546875" style="486" customWidth="1"/>
    <col min="3583" max="3583" width="30.21875" style="486" customWidth="1"/>
    <col min="3584" max="3584" width="4.5546875" style="486" bestFit="1" customWidth="1"/>
    <col min="3585" max="3585" width="41" style="486" customWidth="1"/>
    <col min="3586" max="3587" width="14.5546875" style="486" customWidth="1"/>
    <col min="3588" max="3588" width="16.5546875" style="486" customWidth="1"/>
    <col min="3589" max="3592" width="14.5546875" style="486" customWidth="1"/>
    <col min="3593" max="3594" width="12.5546875" style="486" customWidth="1"/>
    <col min="3595" max="3595" width="16.5546875" style="486" customWidth="1"/>
    <col min="3596" max="3597" width="20.5546875" style="486" customWidth="1"/>
    <col min="3598" max="3598" width="11" style="486" bestFit="1" customWidth="1"/>
    <col min="3599" max="3599" width="17.21875" style="486" customWidth="1"/>
    <col min="3600" max="3600" width="11" style="486" bestFit="1" customWidth="1"/>
    <col min="3601" max="3601" width="8.77734375" style="486" customWidth="1"/>
    <col min="3602" max="3605" width="10.21875" style="486" bestFit="1" customWidth="1"/>
    <col min="3606" max="3607" width="11.21875" style="486" bestFit="1" customWidth="1"/>
    <col min="3608" max="3818" width="8.77734375" style="486" customWidth="1"/>
    <col min="3819" max="3819" width="2.5546875" style="486" customWidth="1"/>
    <col min="3820" max="3820" width="5.5546875" style="486" customWidth="1"/>
    <col min="3821" max="3821" width="23.77734375" style="486" customWidth="1"/>
    <col min="3822" max="3822" width="3.77734375" style="486" customWidth="1"/>
    <col min="3823" max="3823" width="35.77734375" style="486" customWidth="1"/>
    <col min="3824" max="3824" width="22.21875" style="486" customWidth="1"/>
    <col min="3825" max="3825" width="17.77734375" style="486" customWidth="1"/>
    <col min="3826" max="3826" width="19" style="486" customWidth="1"/>
    <col min="3827" max="3827" width="20.77734375" style="486" customWidth="1"/>
    <col min="3828" max="3828" width="16.77734375" style="486" customWidth="1"/>
    <col min="3829" max="3829" width="18.77734375" style="486" customWidth="1"/>
    <col min="3830" max="3836" width="18.5546875" style="486"/>
    <col min="3837" max="3837" width="4" style="486" customWidth="1"/>
    <col min="3838" max="3838" width="5.5546875" style="486" customWidth="1"/>
    <col min="3839" max="3839" width="30.21875" style="486" customWidth="1"/>
    <col min="3840" max="3840" width="4.5546875" style="486" bestFit="1" customWidth="1"/>
    <col min="3841" max="3841" width="41" style="486" customWidth="1"/>
    <col min="3842" max="3843" width="14.5546875" style="486" customWidth="1"/>
    <col min="3844" max="3844" width="16.5546875" style="486" customWidth="1"/>
    <col min="3845" max="3848" width="14.5546875" style="486" customWidth="1"/>
    <col min="3849" max="3850" width="12.5546875" style="486" customWidth="1"/>
    <col min="3851" max="3851" width="16.5546875" style="486" customWidth="1"/>
    <col min="3852" max="3853" width="20.5546875" style="486" customWidth="1"/>
    <col min="3854" max="3854" width="11" style="486" bestFit="1" customWidth="1"/>
    <col min="3855" max="3855" width="17.21875" style="486" customWidth="1"/>
    <col min="3856" max="3856" width="11" style="486" bestFit="1" customWidth="1"/>
    <col min="3857" max="3857" width="8.77734375" style="486" customWidth="1"/>
    <col min="3858" max="3861" width="10.21875" style="486" bestFit="1" customWidth="1"/>
    <col min="3862" max="3863" width="11.21875" style="486" bestFit="1" customWidth="1"/>
    <col min="3864" max="4074" width="8.77734375" style="486" customWidth="1"/>
    <col min="4075" max="4075" width="2.5546875" style="486" customWidth="1"/>
    <col min="4076" max="4076" width="5.5546875" style="486" customWidth="1"/>
    <col min="4077" max="4077" width="23.77734375" style="486" customWidth="1"/>
    <col min="4078" max="4078" width="3.77734375" style="486" customWidth="1"/>
    <col min="4079" max="4079" width="35.77734375" style="486" customWidth="1"/>
    <col min="4080" max="4080" width="22.21875" style="486" customWidth="1"/>
    <col min="4081" max="4081" width="17.77734375" style="486" customWidth="1"/>
    <col min="4082" max="4082" width="19" style="486" customWidth="1"/>
    <col min="4083" max="4083" width="20.77734375" style="486" customWidth="1"/>
    <col min="4084" max="4084" width="16.77734375" style="486" customWidth="1"/>
    <col min="4085" max="4085" width="18.77734375" style="486" customWidth="1"/>
    <col min="4086" max="4092" width="18.5546875" style="486"/>
    <col min="4093" max="4093" width="4" style="486" customWidth="1"/>
    <col min="4094" max="4094" width="5.5546875" style="486" customWidth="1"/>
    <col min="4095" max="4095" width="30.21875" style="486" customWidth="1"/>
    <col min="4096" max="4096" width="4.5546875" style="486" bestFit="1" customWidth="1"/>
    <col min="4097" max="4097" width="41" style="486" customWidth="1"/>
    <col min="4098" max="4099" width="14.5546875" style="486" customWidth="1"/>
    <col min="4100" max="4100" width="16.5546875" style="486" customWidth="1"/>
    <col min="4101" max="4104" width="14.5546875" style="486" customWidth="1"/>
    <col min="4105" max="4106" width="12.5546875" style="486" customWidth="1"/>
    <col min="4107" max="4107" width="16.5546875" style="486" customWidth="1"/>
    <col min="4108" max="4109" width="20.5546875" style="486" customWidth="1"/>
    <col min="4110" max="4110" width="11" style="486" bestFit="1" customWidth="1"/>
    <col min="4111" max="4111" width="17.21875" style="486" customWidth="1"/>
    <col min="4112" max="4112" width="11" style="486" bestFit="1" customWidth="1"/>
    <col min="4113" max="4113" width="8.77734375" style="486" customWidth="1"/>
    <col min="4114" max="4117" width="10.21875" style="486" bestFit="1" customWidth="1"/>
    <col min="4118" max="4119" width="11.21875" style="486" bestFit="1" customWidth="1"/>
    <col min="4120" max="4330" width="8.77734375" style="486" customWidth="1"/>
    <col min="4331" max="4331" width="2.5546875" style="486" customWidth="1"/>
    <col min="4332" max="4332" width="5.5546875" style="486" customWidth="1"/>
    <col min="4333" max="4333" width="23.77734375" style="486" customWidth="1"/>
    <col min="4334" max="4334" width="3.77734375" style="486" customWidth="1"/>
    <col min="4335" max="4335" width="35.77734375" style="486" customWidth="1"/>
    <col min="4336" max="4336" width="22.21875" style="486" customWidth="1"/>
    <col min="4337" max="4337" width="17.77734375" style="486" customWidth="1"/>
    <col min="4338" max="4338" width="19" style="486" customWidth="1"/>
    <col min="4339" max="4339" width="20.77734375" style="486" customWidth="1"/>
    <col min="4340" max="4340" width="16.77734375" style="486" customWidth="1"/>
    <col min="4341" max="4341" width="18.77734375" style="486" customWidth="1"/>
    <col min="4342" max="4348" width="18.5546875" style="486"/>
    <col min="4349" max="4349" width="4" style="486" customWidth="1"/>
    <col min="4350" max="4350" width="5.5546875" style="486" customWidth="1"/>
    <col min="4351" max="4351" width="30.21875" style="486" customWidth="1"/>
    <col min="4352" max="4352" width="4.5546875" style="486" bestFit="1" customWidth="1"/>
    <col min="4353" max="4353" width="41" style="486" customWidth="1"/>
    <col min="4354" max="4355" width="14.5546875" style="486" customWidth="1"/>
    <col min="4356" max="4356" width="16.5546875" style="486" customWidth="1"/>
    <col min="4357" max="4360" width="14.5546875" style="486" customWidth="1"/>
    <col min="4361" max="4362" width="12.5546875" style="486" customWidth="1"/>
    <col min="4363" max="4363" width="16.5546875" style="486" customWidth="1"/>
    <col min="4364" max="4365" width="20.5546875" style="486" customWidth="1"/>
    <col min="4366" max="4366" width="11" style="486" bestFit="1" customWidth="1"/>
    <col min="4367" max="4367" width="17.21875" style="486" customWidth="1"/>
    <col min="4368" max="4368" width="11" style="486" bestFit="1" customWidth="1"/>
    <col min="4369" max="4369" width="8.77734375" style="486" customWidth="1"/>
    <col min="4370" max="4373" width="10.21875" style="486" bestFit="1" customWidth="1"/>
    <col min="4374" max="4375" width="11.21875" style="486" bestFit="1" customWidth="1"/>
    <col min="4376" max="4586" width="8.77734375" style="486" customWidth="1"/>
    <col min="4587" max="4587" width="2.5546875" style="486" customWidth="1"/>
    <col min="4588" max="4588" width="5.5546875" style="486" customWidth="1"/>
    <col min="4589" max="4589" width="23.77734375" style="486" customWidth="1"/>
    <col min="4590" max="4590" width="3.77734375" style="486" customWidth="1"/>
    <col min="4591" max="4591" width="35.77734375" style="486" customWidth="1"/>
    <col min="4592" max="4592" width="22.21875" style="486" customWidth="1"/>
    <col min="4593" max="4593" width="17.77734375" style="486" customWidth="1"/>
    <col min="4594" max="4594" width="19" style="486" customWidth="1"/>
    <col min="4595" max="4595" width="20.77734375" style="486" customWidth="1"/>
    <col min="4596" max="4596" width="16.77734375" style="486" customWidth="1"/>
    <col min="4597" max="4597" width="18.77734375" style="486" customWidth="1"/>
    <col min="4598" max="4604" width="18.5546875" style="486"/>
    <col min="4605" max="4605" width="4" style="486" customWidth="1"/>
    <col min="4606" max="4606" width="5.5546875" style="486" customWidth="1"/>
    <col min="4607" max="4607" width="30.21875" style="486" customWidth="1"/>
    <col min="4608" max="4608" width="4.5546875" style="486" bestFit="1" customWidth="1"/>
    <col min="4609" max="4609" width="41" style="486" customWidth="1"/>
    <col min="4610" max="4611" width="14.5546875" style="486" customWidth="1"/>
    <col min="4612" max="4612" width="16.5546875" style="486" customWidth="1"/>
    <col min="4613" max="4616" width="14.5546875" style="486" customWidth="1"/>
    <col min="4617" max="4618" width="12.5546875" style="486" customWidth="1"/>
    <col min="4619" max="4619" width="16.5546875" style="486" customWidth="1"/>
    <col min="4620" max="4621" width="20.5546875" style="486" customWidth="1"/>
    <col min="4622" max="4622" width="11" style="486" bestFit="1" customWidth="1"/>
    <col min="4623" max="4623" width="17.21875" style="486" customWidth="1"/>
    <col min="4624" max="4624" width="11" style="486" bestFit="1" customWidth="1"/>
    <col min="4625" max="4625" width="8.77734375" style="486" customWidth="1"/>
    <col min="4626" max="4629" width="10.21875" style="486" bestFit="1" customWidth="1"/>
    <col min="4630" max="4631" width="11.21875" style="486" bestFit="1" customWidth="1"/>
    <col min="4632" max="4842" width="8.77734375" style="486" customWidth="1"/>
    <col min="4843" max="4843" width="2.5546875" style="486" customWidth="1"/>
    <col min="4844" max="4844" width="5.5546875" style="486" customWidth="1"/>
    <col min="4845" max="4845" width="23.77734375" style="486" customWidth="1"/>
    <col min="4846" max="4846" width="3.77734375" style="486" customWidth="1"/>
    <col min="4847" max="4847" width="35.77734375" style="486" customWidth="1"/>
    <col min="4848" max="4848" width="22.21875" style="486" customWidth="1"/>
    <col min="4849" max="4849" width="17.77734375" style="486" customWidth="1"/>
    <col min="4850" max="4850" width="19" style="486" customWidth="1"/>
    <col min="4851" max="4851" width="20.77734375" style="486" customWidth="1"/>
    <col min="4852" max="4852" width="16.77734375" style="486" customWidth="1"/>
    <col min="4853" max="4853" width="18.77734375" style="486" customWidth="1"/>
    <col min="4854" max="4860" width="18.5546875" style="486"/>
    <col min="4861" max="4861" width="4" style="486" customWidth="1"/>
    <col min="4862" max="4862" width="5.5546875" style="486" customWidth="1"/>
    <col min="4863" max="4863" width="30.21875" style="486" customWidth="1"/>
    <col min="4864" max="4864" width="4.5546875" style="486" bestFit="1" customWidth="1"/>
    <col min="4865" max="4865" width="41" style="486" customWidth="1"/>
    <col min="4866" max="4867" width="14.5546875" style="486" customWidth="1"/>
    <col min="4868" max="4868" width="16.5546875" style="486" customWidth="1"/>
    <col min="4869" max="4872" width="14.5546875" style="486" customWidth="1"/>
    <col min="4873" max="4874" width="12.5546875" style="486" customWidth="1"/>
    <col min="4875" max="4875" width="16.5546875" style="486" customWidth="1"/>
    <col min="4876" max="4877" width="20.5546875" style="486" customWidth="1"/>
    <col min="4878" max="4878" width="11" style="486" bestFit="1" customWidth="1"/>
    <col min="4879" max="4879" width="17.21875" style="486" customWidth="1"/>
    <col min="4880" max="4880" width="11" style="486" bestFit="1" customWidth="1"/>
    <col min="4881" max="4881" width="8.77734375" style="486" customWidth="1"/>
    <col min="4882" max="4885" width="10.21875" style="486" bestFit="1" customWidth="1"/>
    <col min="4886" max="4887" width="11.21875" style="486" bestFit="1" customWidth="1"/>
    <col min="4888" max="5098" width="8.77734375" style="486" customWidth="1"/>
    <col min="5099" max="5099" width="2.5546875" style="486" customWidth="1"/>
    <col min="5100" max="5100" width="5.5546875" style="486" customWidth="1"/>
    <col min="5101" max="5101" width="23.77734375" style="486" customWidth="1"/>
    <col min="5102" max="5102" width="3.77734375" style="486" customWidth="1"/>
    <col min="5103" max="5103" width="35.77734375" style="486" customWidth="1"/>
    <col min="5104" max="5104" width="22.21875" style="486" customWidth="1"/>
    <col min="5105" max="5105" width="17.77734375" style="486" customWidth="1"/>
    <col min="5106" max="5106" width="19" style="486" customWidth="1"/>
    <col min="5107" max="5107" width="20.77734375" style="486" customWidth="1"/>
    <col min="5108" max="5108" width="16.77734375" style="486" customWidth="1"/>
    <col min="5109" max="5109" width="18.77734375" style="486" customWidth="1"/>
    <col min="5110" max="5116" width="18.5546875" style="486"/>
    <col min="5117" max="5117" width="4" style="486" customWidth="1"/>
    <col min="5118" max="5118" width="5.5546875" style="486" customWidth="1"/>
    <col min="5119" max="5119" width="30.21875" style="486" customWidth="1"/>
    <col min="5120" max="5120" width="4.5546875" style="486" bestFit="1" customWidth="1"/>
    <col min="5121" max="5121" width="41" style="486" customWidth="1"/>
    <col min="5122" max="5123" width="14.5546875" style="486" customWidth="1"/>
    <col min="5124" max="5124" width="16.5546875" style="486" customWidth="1"/>
    <col min="5125" max="5128" width="14.5546875" style="486" customWidth="1"/>
    <col min="5129" max="5130" width="12.5546875" style="486" customWidth="1"/>
    <col min="5131" max="5131" width="16.5546875" style="486" customWidth="1"/>
    <col min="5132" max="5133" width="20.5546875" style="486" customWidth="1"/>
    <col min="5134" max="5134" width="11" style="486" bestFit="1" customWidth="1"/>
    <col min="5135" max="5135" width="17.21875" style="486" customWidth="1"/>
    <col min="5136" max="5136" width="11" style="486" bestFit="1" customWidth="1"/>
    <col min="5137" max="5137" width="8.77734375" style="486" customWidth="1"/>
    <col min="5138" max="5141" width="10.21875" style="486" bestFit="1" customWidth="1"/>
    <col min="5142" max="5143" width="11.21875" style="486" bestFit="1" customWidth="1"/>
    <col min="5144" max="5354" width="8.77734375" style="486" customWidth="1"/>
    <col min="5355" max="5355" width="2.5546875" style="486" customWidth="1"/>
    <col min="5356" max="5356" width="5.5546875" style="486" customWidth="1"/>
    <col min="5357" max="5357" width="23.77734375" style="486" customWidth="1"/>
    <col min="5358" max="5358" width="3.77734375" style="486" customWidth="1"/>
    <col min="5359" max="5359" width="35.77734375" style="486" customWidth="1"/>
    <col min="5360" max="5360" width="22.21875" style="486" customWidth="1"/>
    <col min="5361" max="5361" width="17.77734375" style="486" customWidth="1"/>
    <col min="5362" max="5362" width="19" style="486" customWidth="1"/>
    <col min="5363" max="5363" width="20.77734375" style="486" customWidth="1"/>
    <col min="5364" max="5364" width="16.77734375" style="486" customWidth="1"/>
    <col min="5365" max="5365" width="18.77734375" style="486" customWidth="1"/>
    <col min="5366" max="5372" width="18.5546875" style="486"/>
    <col min="5373" max="5373" width="4" style="486" customWidth="1"/>
    <col min="5374" max="5374" width="5.5546875" style="486" customWidth="1"/>
    <col min="5375" max="5375" width="30.21875" style="486" customWidth="1"/>
    <col min="5376" max="5376" width="4.5546875" style="486" bestFit="1" customWidth="1"/>
    <col min="5377" max="5377" width="41" style="486" customWidth="1"/>
    <col min="5378" max="5379" width="14.5546875" style="486" customWidth="1"/>
    <col min="5380" max="5380" width="16.5546875" style="486" customWidth="1"/>
    <col min="5381" max="5384" width="14.5546875" style="486" customWidth="1"/>
    <col min="5385" max="5386" width="12.5546875" style="486" customWidth="1"/>
    <col min="5387" max="5387" width="16.5546875" style="486" customWidth="1"/>
    <col min="5388" max="5389" width="20.5546875" style="486" customWidth="1"/>
    <col min="5390" max="5390" width="11" style="486" bestFit="1" customWidth="1"/>
    <col min="5391" max="5391" width="17.21875" style="486" customWidth="1"/>
    <col min="5392" max="5392" width="11" style="486" bestFit="1" customWidth="1"/>
    <col min="5393" max="5393" width="8.77734375" style="486" customWidth="1"/>
    <col min="5394" max="5397" width="10.21875" style="486" bestFit="1" customWidth="1"/>
    <col min="5398" max="5399" width="11.21875" style="486" bestFit="1" customWidth="1"/>
    <col min="5400" max="5610" width="8.77734375" style="486" customWidth="1"/>
    <col min="5611" max="5611" width="2.5546875" style="486" customWidth="1"/>
    <col min="5612" max="5612" width="5.5546875" style="486" customWidth="1"/>
    <col min="5613" max="5613" width="23.77734375" style="486" customWidth="1"/>
    <col min="5614" max="5614" width="3.77734375" style="486" customWidth="1"/>
    <col min="5615" max="5615" width="35.77734375" style="486" customWidth="1"/>
    <col min="5616" max="5616" width="22.21875" style="486" customWidth="1"/>
    <col min="5617" max="5617" width="17.77734375" style="486" customWidth="1"/>
    <col min="5618" max="5618" width="19" style="486" customWidth="1"/>
    <col min="5619" max="5619" width="20.77734375" style="486" customWidth="1"/>
    <col min="5620" max="5620" width="16.77734375" style="486" customWidth="1"/>
    <col min="5621" max="5621" width="18.77734375" style="486" customWidth="1"/>
    <col min="5622" max="5628" width="18.5546875" style="486"/>
    <col min="5629" max="5629" width="4" style="486" customWidth="1"/>
    <col min="5630" max="5630" width="5.5546875" style="486" customWidth="1"/>
    <col min="5631" max="5631" width="30.21875" style="486" customWidth="1"/>
    <col min="5632" max="5632" width="4.5546875" style="486" bestFit="1" customWidth="1"/>
    <col min="5633" max="5633" width="41" style="486" customWidth="1"/>
    <col min="5634" max="5635" width="14.5546875" style="486" customWidth="1"/>
    <col min="5636" max="5636" width="16.5546875" style="486" customWidth="1"/>
    <col min="5637" max="5640" width="14.5546875" style="486" customWidth="1"/>
    <col min="5641" max="5642" width="12.5546875" style="486" customWidth="1"/>
    <col min="5643" max="5643" width="16.5546875" style="486" customWidth="1"/>
    <col min="5644" max="5645" width="20.5546875" style="486" customWidth="1"/>
    <col min="5646" max="5646" width="11" style="486" bestFit="1" customWidth="1"/>
    <col min="5647" max="5647" width="17.21875" style="486" customWidth="1"/>
    <col min="5648" max="5648" width="11" style="486" bestFit="1" customWidth="1"/>
    <col min="5649" max="5649" width="8.77734375" style="486" customWidth="1"/>
    <col min="5650" max="5653" width="10.21875" style="486" bestFit="1" customWidth="1"/>
    <col min="5654" max="5655" width="11.21875" style="486" bestFit="1" customWidth="1"/>
    <col min="5656" max="5866" width="8.77734375" style="486" customWidth="1"/>
    <col min="5867" max="5867" width="2.5546875" style="486" customWidth="1"/>
    <col min="5868" max="5868" width="5.5546875" style="486" customWidth="1"/>
    <col min="5869" max="5869" width="23.77734375" style="486" customWidth="1"/>
    <col min="5870" max="5870" width="3.77734375" style="486" customWidth="1"/>
    <col min="5871" max="5871" width="35.77734375" style="486" customWidth="1"/>
    <col min="5872" max="5872" width="22.21875" style="486" customWidth="1"/>
    <col min="5873" max="5873" width="17.77734375" style="486" customWidth="1"/>
    <col min="5874" max="5874" width="19" style="486" customWidth="1"/>
    <col min="5875" max="5875" width="20.77734375" style="486" customWidth="1"/>
    <col min="5876" max="5876" width="16.77734375" style="486" customWidth="1"/>
    <col min="5877" max="5877" width="18.77734375" style="486" customWidth="1"/>
    <col min="5878" max="5884" width="18.5546875" style="486"/>
    <col min="5885" max="5885" width="4" style="486" customWidth="1"/>
    <col min="5886" max="5886" width="5.5546875" style="486" customWidth="1"/>
    <col min="5887" max="5887" width="30.21875" style="486" customWidth="1"/>
    <col min="5888" max="5888" width="4.5546875" style="486" bestFit="1" customWidth="1"/>
    <col min="5889" max="5889" width="41" style="486" customWidth="1"/>
    <col min="5890" max="5891" width="14.5546875" style="486" customWidth="1"/>
    <col min="5892" max="5892" width="16.5546875" style="486" customWidth="1"/>
    <col min="5893" max="5896" width="14.5546875" style="486" customWidth="1"/>
    <col min="5897" max="5898" width="12.5546875" style="486" customWidth="1"/>
    <col min="5899" max="5899" width="16.5546875" style="486" customWidth="1"/>
    <col min="5900" max="5901" width="20.5546875" style="486" customWidth="1"/>
    <col min="5902" max="5902" width="11" style="486" bestFit="1" customWidth="1"/>
    <col min="5903" max="5903" width="17.21875" style="486" customWidth="1"/>
    <col min="5904" max="5904" width="11" style="486" bestFit="1" customWidth="1"/>
    <col min="5905" max="5905" width="8.77734375" style="486" customWidth="1"/>
    <col min="5906" max="5909" width="10.21875" style="486" bestFit="1" customWidth="1"/>
    <col min="5910" max="5911" width="11.21875" style="486" bestFit="1" customWidth="1"/>
    <col min="5912" max="6122" width="8.77734375" style="486" customWidth="1"/>
    <col min="6123" max="6123" width="2.5546875" style="486" customWidth="1"/>
    <col min="6124" max="6124" width="5.5546875" style="486" customWidth="1"/>
    <col min="6125" max="6125" width="23.77734375" style="486" customWidth="1"/>
    <col min="6126" max="6126" width="3.77734375" style="486" customWidth="1"/>
    <col min="6127" max="6127" width="35.77734375" style="486" customWidth="1"/>
    <col min="6128" max="6128" width="22.21875" style="486" customWidth="1"/>
    <col min="6129" max="6129" width="17.77734375" style="486" customWidth="1"/>
    <col min="6130" max="6130" width="19" style="486" customWidth="1"/>
    <col min="6131" max="6131" width="20.77734375" style="486" customWidth="1"/>
    <col min="6132" max="6132" width="16.77734375" style="486" customWidth="1"/>
    <col min="6133" max="6133" width="18.77734375" style="486" customWidth="1"/>
    <col min="6134" max="6140" width="18.5546875" style="486"/>
    <col min="6141" max="6141" width="4" style="486" customWidth="1"/>
    <col min="6142" max="6142" width="5.5546875" style="486" customWidth="1"/>
    <col min="6143" max="6143" width="30.21875" style="486" customWidth="1"/>
    <col min="6144" max="6144" width="4.5546875" style="486" bestFit="1" customWidth="1"/>
    <col min="6145" max="6145" width="41" style="486" customWidth="1"/>
    <col min="6146" max="6147" width="14.5546875" style="486" customWidth="1"/>
    <col min="6148" max="6148" width="16.5546875" style="486" customWidth="1"/>
    <col min="6149" max="6152" width="14.5546875" style="486" customWidth="1"/>
    <col min="6153" max="6154" width="12.5546875" style="486" customWidth="1"/>
    <col min="6155" max="6155" width="16.5546875" style="486" customWidth="1"/>
    <col min="6156" max="6157" width="20.5546875" style="486" customWidth="1"/>
    <col min="6158" max="6158" width="11" style="486" bestFit="1" customWidth="1"/>
    <col min="6159" max="6159" width="17.21875" style="486" customWidth="1"/>
    <col min="6160" max="6160" width="11" style="486" bestFit="1" customWidth="1"/>
    <col min="6161" max="6161" width="8.77734375" style="486" customWidth="1"/>
    <col min="6162" max="6165" width="10.21875" style="486" bestFit="1" customWidth="1"/>
    <col min="6166" max="6167" width="11.21875" style="486" bestFit="1" customWidth="1"/>
    <col min="6168" max="6378" width="8.77734375" style="486" customWidth="1"/>
    <col min="6379" max="6379" width="2.5546875" style="486" customWidth="1"/>
    <col min="6380" max="6380" width="5.5546875" style="486" customWidth="1"/>
    <col min="6381" max="6381" width="23.77734375" style="486" customWidth="1"/>
    <col min="6382" max="6382" width="3.77734375" style="486" customWidth="1"/>
    <col min="6383" max="6383" width="35.77734375" style="486" customWidth="1"/>
    <col min="6384" max="6384" width="22.21875" style="486" customWidth="1"/>
    <col min="6385" max="6385" width="17.77734375" style="486" customWidth="1"/>
    <col min="6386" max="6386" width="19" style="486" customWidth="1"/>
    <col min="6387" max="6387" width="20.77734375" style="486" customWidth="1"/>
    <col min="6388" max="6388" width="16.77734375" style="486" customWidth="1"/>
    <col min="6389" max="6389" width="18.77734375" style="486" customWidth="1"/>
    <col min="6390" max="6396" width="18.5546875" style="486"/>
    <col min="6397" max="6397" width="4" style="486" customWidth="1"/>
    <col min="6398" max="6398" width="5.5546875" style="486" customWidth="1"/>
    <col min="6399" max="6399" width="30.21875" style="486" customWidth="1"/>
    <col min="6400" max="6400" width="4.5546875" style="486" bestFit="1" customWidth="1"/>
    <col min="6401" max="6401" width="41" style="486" customWidth="1"/>
    <col min="6402" max="6403" width="14.5546875" style="486" customWidth="1"/>
    <col min="6404" max="6404" width="16.5546875" style="486" customWidth="1"/>
    <col min="6405" max="6408" width="14.5546875" style="486" customWidth="1"/>
    <col min="6409" max="6410" width="12.5546875" style="486" customWidth="1"/>
    <col min="6411" max="6411" width="16.5546875" style="486" customWidth="1"/>
    <col min="6412" max="6413" width="20.5546875" style="486" customWidth="1"/>
    <col min="6414" max="6414" width="11" style="486" bestFit="1" customWidth="1"/>
    <col min="6415" max="6415" width="17.21875" style="486" customWidth="1"/>
    <col min="6416" max="6416" width="11" style="486" bestFit="1" customWidth="1"/>
    <col min="6417" max="6417" width="8.77734375" style="486" customWidth="1"/>
    <col min="6418" max="6421" width="10.21875" style="486" bestFit="1" customWidth="1"/>
    <col min="6422" max="6423" width="11.21875" style="486" bestFit="1" customWidth="1"/>
    <col min="6424" max="6634" width="8.77734375" style="486" customWidth="1"/>
    <col min="6635" max="6635" width="2.5546875" style="486" customWidth="1"/>
    <col min="6636" max="6636" width="5.5546875" style="486" customWidth="1"/>
    <col min="6637" max="6637" width="23.77734375" style="486" customWidth="1"/>
    <col min="6638" max="6638" width="3.77734375" style="486" customWidth="1"/>
    <col min="6639" max="6639" width="35.77734375" style="486" customWidth="1"/>
    <col min="6640" max="6640" width="22.21875" style="486" customWidth="1"/>
    <col min="6641" max="6641" width="17.77734375" style="486" customWidth="1"/>
    <col min="6642" max="6642" width="19" style="486" customWidth="1"/>
    <col min="6643" max="6643" width="20.77734375" style="486" customWidth="1"/>
    <col min="6644" max="6644" width="16.77734375" style="486" customWidth="1"/>
    <col min="6645" max="6645" width="18.77734375" style="486" customWidth="1"/>
    <col min="6646" max="6652" width="18.5546875" style="486"/>
    <col min="6653" max="6653" width="4" style="486" customWidth="1"/>
    <col min="6654" max="6654" width="5.5546875" style="486" customWidth="1"/>
    <col min="6655" max="6655" width="30.21875" style="486" customWidth="1"/>
    <col min="6656" max="6656" width="4.5546875" style="486" bestFit="1" customWidth="1"/>
    <col min="6657" max="6657" width="41" style="486" customWidth="1"/>
    <col min="6658" max="6659" width="14.5546875" style="486" customWidth="1"/>
    <col min="6660" max="6660" width="16.5546875" style="486" customWidth="1"/>
    <col min="6661" max="6664" width="14.5546875" style="486" customWidth="1"/>
    <col min="6665" max="6666" width="12.5546875" style="486" customWidth="1"/>
    <col min="6667" max="6667" width="16.5546875" style="486" customWidth="1"/>
    <col min="6668" max="6669" width="20.5546875" style="486" customWidth="1"/>
    <col min="6670" max="6670" width="11" style="486" bestFit="1" customWidth="1"/>
    <col min="6671" max="6671" width="17.21875" style="486" customWidth="1"/>
    <col min="6672" max="6672" width="11" style="486" bestFit="1" customWidth="1"/>
    <col min="6673" max="6673" width="8.77734375" style="486" customWidth="1"/>
    <col min="6674" max="6677" width="10.21875" style="486" bestFit="1" customWidth="1"/>
    <col min="6678" max="6679" width="11.21875" style="486" bestFit="1" customWidth="1"/>
    <col min="6680" max="6890" width="8.77734375" style="486" customWidth="1"/>
    <col min="6891" max="6891" width="2.5546875" style="486" customWidth="1"/>
    <col min="6892" max="6892" width="5.5546875" style="486" customWidth="1"/>
    <col min="6893" max="6893" width="23.77734375" style="486" customWidth="1"/>
    <col min="6894" max="6894" width="3.77734375" style="486" customWidth="1"/>
    <col min="6895" max="6895" width="35.77734375" style="486" customWidth="1"/>
    <col min="6896" max="6896" width="22.21875" style="486" customWidth="1"/>
    <col min="6897" max="6897" width="17.77734375" style="486" customWidth="1"/>
    <col min="6898" max="6898" width="19" style="486" customWidth="1"/>
    <col min="6899" max="6899" width="20.77734375" style="486" customWidth="1"/>
    <col min="6900" max="6900" width="16.77734375" style="486" customWidth="1"/>
    <col min="6901" max="6901" width="18.77734375" style="486" customWidth="1"/>
    <col min="6902" max="6908" width="18.5546875" style="486"/>
    <col min="6909" max="6909" width="4" style="486" customWidth="1"/>
    <col min="6910" max="6910" width="5.5546875" style="486" customWidth="1"/>
    <col min="6911" max="6911" width="30.21875" style="486" customWidth="1"/>
    <col min="6912" max="6912" width="4.5546875" style="486" bestFit="1" customWidth="1"/>
    <col min="6913" max="6913" width="41" style="486" customWidth="1"/>
    <col min="6914" max="6915" width="14.5546875" style="486" customWidth="1"/>
    <col min="6916" max="6916" width="16.5546875" style="486" customWidth="1"/>
    <col min="6917" max="6920" width="14.5546875" style="486" customWidth="1"/>
    <col min="6921" max="6922" width="12.5546875" style="486" customWidth="1"/>
    <col min="6923" max="6923" width="16.5546875" style="486" customWidth="1"/>
    <col min="6924" max="6925" width="20.5546875" style="486" customWidth="1"/>
    <col min="6926" max="6926" width="11" style="486" bestFit="1" customWidth="1"/>
    <col min="6927" max="6927" width="17.21875" style="486" customWidth="1"/>
    <col min="6928" max="6928" width="11" style="486" bestFit="1" customWidth="1"/>
    <col min="6929" max="6929" width="8.77734375" style="486" customWidth="1"/>
    <col min="6930" max="6933" width="10.21875" style="486" bestFit="1" customWidth="1"/>
    <col min="6934" max="6935" width="11.21875" style="486" bestFit="1" customWidth="1"/>
    <col min="6936" max="7146" width="8.77734375" style="486" customWidth="1"/>
    <col min="7147" max="7147" width="2.5546875" style="486" customWidth="1"/>
    <col min="7148" max="7148" width="5.5546875" style="486" customWidth="1"/>
    <col min="7149" max="7149" width="23.77734375" style="486" customWidth="1"/>
    <col min="7150" max="7150" width="3.77734375" style="486" customWidth="1"/>
    <col min="7151" max="7151" width="35.77734375" style="486" customWidth="1"/>
    <col min="7152" max="7152" width="22.21875" style="486" customWidth="1"/>
    <col min="7153" max="7153" width="17.77734375" style="486" customWidth="1"/>
    <col min="7154" max="7154" width="19" style="486" customWidth="1"/>
    <col min="7155" max="7155" width="20.77734375" style="486" customWidth="1"/>
    <col min="7156" max="7156" width="16.77734375" style="486" customWidth="1"/>
    <col min="7157" max="7157" width="18.77734375" style="486" customWidth="1"/>
    <col min="7158" max="7164" width="18.5546875" style="486"/>
    <col min="7165" max="7165" width="4" style="486" customWidth="1"/>
    <col min="7166" max="7166" width="5.5546875" style="486" customWidth="1"/>
    <col min="7167" max="7167" width="30.21875" style="486" customWidth="1"/>
    <col min="7168" max="7168" width="4.5546875" style="486" bestFit="1" customWidth="1"/>
    <col min="7169" max="7169" width="41" style="486" customWidth="1"/>
    <col min="7170" max="7171" width="14.5546875" style="486" customWidth="1"/>
    <col min="7172" max="7172" width="16.5546875" style="486" customWidth="1"/>
    <col min="7173" max="7176" width="14.5546875" style="486" customWidth="1"/>
    <col min="7177" max="7178" width="12.5546875" style="486" customWidth="1"/>
    <col min="7179" max="7179" width="16.5546875" style="486" customWidth="1"/>
    <col min="7180" max="7181" width="20.5546875" style="486" customWidth="1"/>
    <col min="7182" max="7182" width="11" style="486" bestFit="1" customWidth="1"/>
    <col min="7183" max="7183" width="17.21875" style="486" customWidth="1"/>
    <col min="7184" max="7184" width="11" style="486" bestFit="1" customWidth="1"/>
    <col min="7185" max="7185" width="8.77734375" style="486" customWidth="1"/>
    <col min="7186" max="7189" width="10.21875" style="486" bestFit="1" customWidth="1"/>
    <col min="7190" max="7191" width="11.21875" style="486" bestFit="1" customWidth="1"/>
    <col min="7192" max="7402" width="8.77734375" style="486" customWidth="1"/>
    <col min="7403" max="7403" width="2.5546875" style="486" customWidth="1"/>
    <col min="7404" max="7404" width="5.5546875" style="486" customWidth="1"/>
    <col min="7405" max="7405" width="23.77734375" style="486" customWidth="1"/>
    <col min="7406" max="7406" width="3.77734375" style="486" customWidth="1"/>
    <col min="7407" max="7407" width="35.77734375" style="486" customWidth="1"/>
    <col min="7408" max="7408" width="22.21875" style="486" customWidth="1"/>
    <col min="7409" max="7409" width="17.77734375" style="486" customWidth="1"/>
    <col min="7410" max="7410" width="19" style="486" customWidth="1"/>
    <col min="7411" max="7411" width="20.77734375" style="486" customWidth="1"/>
    <col min="7412" max="7412" width="16.77734375" style="486" customWidth="1"/>
    <col min="7413" max="7413" width="18.77734375" style="486" customWidth="1"/>
    <col min="7414" max="7420" width="18.5546875" style="486"/>
    <col min="7421" max="7421" width="4" style="486" customWidth="1"/>
    <col min="7422" max="7422" width="5.5546875" style="486" customWidth="1"/>
    <col min="7423" max="7423" width="30.21875" style="486" customWidth="1"/>
    <col min="7424" max="7424" width="4.5546875" style="486" bestFit="1" customWidth="1"/>
    <col min="7425" max="7425" width="41" style="486" customWidth="1"/>
    <col min="7426" max="7427" width="14.5546875" style="486" customWidth="1"/>
    <col min="7428" max="7428" width="16.5546875" style="486" customWidth="1"/>
    <col min="7429" max="7432" width="14.5546875" style="486" customWidth="1"/>
    <col min="7433" max="7434" width="12.5546875" style="486" customWidth="1"/>
    <col min="7435" max="7435" width="16.5546875" style="486" customWidth="1"/>
    <col min="7436" max="7437" width="20.5546875" style="486" customWidth="1"/>
    <col min="7438" max="7438" width="11" style="486" bestFit="1" customWidth="1"/>
    <col min="7439" max="7439" width="17.21875" style="486" customWidth="1"/>
    <col min="7440" max="7440" width="11" style="486" bestFit="1" customWidth="1"/>
    <col min="7441" max="7441" width="8.77734375" style="486" customWidth="1"/>
    <col min="7442" max="7445" width="10.21875" style="486" bestFit="1" customWidth="1"/>
    <col min="7446" max="7447" width="11.21875" style="486" bestFit="1" customWidth="1"/>
    <col min="7448" max="7658" width="8.77734375" style="486" customWidth="1"/>
    <col min="7659" max="7659" width="2.5546875" style="486" customWidth="1"/>
    <col min="7660" max="7660" width="5.5546875" style="486" customWidth="1"/>
    <col min="7661" max="7661" width="23.77734375" style="486" customWidth="1"/>
    <col min="7662" max="7662" width="3.77734375" style="486" customWidth="1"/>
    <col min="7663" max="7663" width="35.77734375" style="486" customWidth="1"/>
    <col min="7664" max="7664" width="22.21875" style="486" customWidth="1"/>
    <col min="7665" max="7665" width="17.77734375" style="486" customWidth="1"/>
    <col min="7666" max="7666" width="19" style="486" customWidth="1"/>
    <col min="7667" max="7667" width="20.77734375" style="486" customWidth="1"/>
    <col min="7668" max="7668" width="16.77734375" style="486" customWidth="1"/>
    <col min="7669" max="7669" width="18.77734375" style="486" customWidth="1"/>
    <col min="7670" max="7676" width="18.5546875" style="486"/>
    <col min="7677" max="7677" width="4" style="486" customWidth="1"/>
    <col min="7678" max="7678" width="5.5546875" style="486" customWidth="1"/>
    <col min="7679" max="7679" width="30.21875" style="486" customWidth="1"/>
    <col min="7680" max="7680" width="4.5546875" style="486" bestFit="1" customWidth="1"/>
    <col min="7681" max="7681" width="41" style="486" customWidth="1"/>
    <col min="7682" max="7683" width="14.5546875" style="486" customWidth="1"/>
    <col min="7684" max="7684" width="16.5546875" style="486" customWidth="1"/>
    <col min="7685" max="7688" width="14.5546875" style="486" customWidth="1"/>
    <col min="7689" max="7690" width="12.5546875" style="486" customWidth="1"/>
    <col min="7691" max="7691" width="16.5546875" style="486" customWidth="1"/>
    <col min="7692" max="7693" width="20.5546875" style="486" customWidth="1"/>
    <col min="7694" max="7694" width="11" style="486" bestFit="1" customWidth="1"/>
    <col min="7695" max="7695" width="17.21875" style="486" customWidth="1"/>
    <col min="7696" max="7696" width="11" style="486" bestFit="1" customWidth="1"/>
    <col min="7697" max="7697" width="8.77734375" style="486" customWidth="1"/>
    <col min="7698" max="7701" width="10.21875" style="486" bestFit="1" customWidth="1"/>
    <col min="7702" max="7703" width="11.21875" style="486" bestFit="1" customWidth="1"/>
    <col min="7704" max="7914" width="8.77734375" style="486" customWidth="1"/>
    <col min="7915" max="7915" width="2.5546875" style="486" customWidth="1"/>
    <col min="7916" max="7916" width="5.5546875" style="486" customWidth="1"/>
    <col min="7917" max="7917" width="23.77734375" style="486" customWidth="1"/>
    <col min="7918" max="7918" width="3.77734375" style="486" customWidth="1"/>
    <col min="7919" max="7919" width="35.77734375" style="486" customWidth="1"/>
    <col min="7920" max="7920" width="22.21875" style="486" customWidth="1"/>
    <col min="7921" max="7921" width="17.77734375" style="486" customWidth="1"/>
    <col min="7922" max="7922" width="19" style="486" customWidth="1"/>
    <col min="7923" max="7923" width="20.77734375" style="486" customWidth="1"/>
    <col min="7924" max="7924" width="16.77734375" style="486" customWidth="1"/>
    <col min="7925" max="7925" width="18.77734375" style="486" customWidth="1"/>
    <col min="7926" max="7932" width="18.5546875" style="486"/>
    <col min="7933" max="7933" width="4" style="486" customWidth="1"/>
    <col min="7934" max="7934" width="5.5546875" style="486" customWidth="1"/>
    <col min="7935" max="7935" width="30.21875" style="486" customWidth="1"/>
    <col min="7936" max="7936" width="4.5546875" style="486" bestFit="1" customWidth="1"/>
    <col min="7937" max="7937" width="41" style="486" customWidth="1"/>
    <col min="7938" max="7939" width="14.5546875" style="486" customWidth="1"/>
    <col min="7940" max="7940" width="16.5546875" style="486" customWidth="1"/>
    <col min="7941" max="7944" width="14.5546875" style="486" customWidth="1"/>
    <col min="7945" max="7946" width="12.5546875" style="486" customWidth="1"/>
    <col min="7947" max="7947" width="16.5546875" style="486" customWidth="1"/>
    <col min="7948" max="7949" width="20.5546875" style="486" customWidth="1"/>
    <col min="7950" max="7950" width="11" style="486" bestFit="1" customWidth="1"/>
    <col min="7951" max="7951" width="17.21875" style="486" customWidth="1"/>
    <col min="7952" max="7952" width="11" style="486" bestFit="1" customWidth="1"/>
    <col min="7953" max="7953" width="8.77734375" style="486" customWidth="1"/>
    <col min="7954" max="7957" width="10.21875" style="486" bestFit="1" customWidth="1"/>
    <col min="7958" max="7959" width="11.21875" style="486" bestFit="1" customWidth="1"/>
    <col min="7960" max="8170" width="8.77734375" style="486" customWidth="1"/>
    <col min="8171" max="8171" width="2.5546875" style="486" customWidth="1"/>
    <col min="8172" max="8172" width="5.5546875" style="486" customWidth="1"/>
    <col min="8173" max="8173" width="23.77734375" style="486" customWidth="1"/>
    <col min="8174" max="8174" width="3.77734375" style="486" customWidth="1"/>
    <col min="8175" max="8175" width="35.77734375" style="486" customWidth="1"/>
    <col min="8176" max="8176" width="22.21875" style="486" customWidth="1"/>
    <col min="8177" max="8177" width="17.77734375" style="486" customWidth="1"/>
    <col min="8178" max="8178" width="19" style="486" customWidth="1"/>
    <col min="8179" max="8179" width="20.77734375" style="486" customWidth="1"/>
    <col min="8180" max="8180" width="16.77734375" style="486" customWidth="1"/>
    <col min="8181" max="8181" width="18.77734375" style="486" customWidth="1"/>
    <col min="8182" max="8188" width="18.5546875" style="486"/>
    <col min="8189" max="8189" width="4" style="486" customWidth="1"/>
    <col min="8190" max="8190" width="5.5546875" style="486" customWidth="1"/>
    <col min="8191" max="8191" width="30.21875" style="486" customWidth="1"/>
    <col min="8192" max="8192" width="4.5546875" style="486" bestFit="1" customWidth="1"/>
    <col min="8193" max="8193" width="41" style="486" customWidth="1"/>
    <col min="8194" max="8195" width="14.5546875" style="486" customWidth="1"/>
    <col min="8196" max="8196" width="16.5546875" style="486" customWidth="1"/>
    <col min="8197" max="8200" width="14.5546875" style="486" customWidth="1"/>
    <col min="8201" max="8202" width="12.5546875" style="486" customWidth="1"/>
    <col min="8203" max="8203" width="16.5546875" style="486" customWidth="1"/>
    <col min="8204" max="8205" width="20.5546875" style="486" customWidth="1"/>
    <col min="8206" max="8206" width="11" style="486" bestFit="1" customWidth="1"/>
    <col min="8207" max="8207" width="17.21875" style="486" customWidth="1"/>
    <col min="8208" max="8208" width="11" style="486" bestFit="1" customWidth="1"/>
    <col min="8209" max="8209" width="8.77734375" style="486" customWidth="1"/>
    <col min="8210" max="8213" width="10.21875" style="486" bestFit="1" customWidth="1"/>
    <col min="8214" max="8215" width="11.21875" style="486" bestFit="1" customWidth="1"/>
    <col min="8216" max="8426" width="8.77734375" style="486" customWidth="1"/>
    <col min="8427" max="8427" width="2.5546875" style="486" customWidth="1"/>
    <col min="8428" max="8428" width="5.5546875" style="486" customWidth="1"/>
    <col min="8429" max="8429" width="23.77734375" style="486" customWidth="1"/>
    <col min="8430" max="8430" width="3.77734375" style="486" customWidth="1"/>
    <col min="8431" max="8431" width="35.77734375" style="486" customWidth="1"/>
    <col min="8432" max="8432" width="22.21875" style="486" customWidth="1"/>
    <col min="8433" max="8433" width="17.77734375" style="486" customWidth="1"/>
    <col min="8434" max="8434" width="19" style="486" customWidth="1"/>
    <col min="8435" max="8435" width="20.77734375" style="486" customWidth="1"/>
    <col min="8436" max="8436" width="16.77734375" style="486" customWidth="1"/>
    <col min="8437" max="8437" width="18.77734375" style="486" customWidth="1"/>
    <col min="8438" max="8444" width="18.5546875" style="486"/>
    <col min="8445" max="8445" width="4" style="486" customWidth="1"/>
    <col min="8446" max="8446" width="5.5546875" style="486" customWidth="1"/>
    <col min="8447" max="8447" width="30.21875" style="486" customWidth="1"/>
    <col min="8448" max="8448" width="4.5546875" style="486" bestFit="1" customWidth="1"/>
    <col min="8449" max="8449" width="41" style="486" customWidth="1"/>
    <col min="8450" max="8451" width="14.5546875" style="486" customWidth="1"/>
    <col min="8452" max="8452" width="16.5546875" style="486" customWidth="1"/>
    <col min="8453" max="8456" width="14.5546875" style="486" customWidth="1"/>
    <col min="8457" max="8458" width="12.5546875" style="486" customWidth="1"/>
    <col min="8459" max="8459" width="16.5546875" style="486" customWidth="1"/>
    <col min="8460" max="8461" width="20.5546875" style="486" customWidth="1"/>
    <col min="8462" max="8462" width="11" style="486" bestFit="1" customWidth="1"/>
    <col min="8463" max="8463" width="17.21875" style="486" customWidth="1"/>
    <col min="8464" max="8464" width="11" style="486" bestFit="1" customWidth="1"/>
    <col min="8465" max="8465" width="8.77734375" style="486" customWidth="1"/>
    <col min="8466" max="8469" width="10.21875" style="486" bestFit="1" customWidth="1"/>
    <col min="8470" max="8471" width="11.21875" style="486" bestFit="1" customWidth="1"/>
    <col min="8472" max="8682" width="8.77734375" style="486" customWidth="1"/>
    <col min="8683" max="8683" width="2.5546875" style="486" customWidth="1"/>
    <col min="8684" max="8684" width="5.5546875" style="486" customWidth="1"/>
    <col min="8685" max="8685" width="23.77734375" style="486" customWidth="1"/>
    <col min="8686" max="8686" width="3.77734375" style="486" customWidth="1"/>
    <col min="8687" max="8687" width="35.77734375" style="486" customWidth="1"/>
    <col min="8688" max="8688" width="22.21875" style="486" customWidth="1"/>
    <col min="8689" max="8689" width="17.77734375" style="486" customWidth="1"/>
    <col min="8690" max="8690" width="19" style="486" customWidth="1"/>
    <col min="8691" max="8691" width="20.77734375" style="486" customWidth="1"/>
    <col min="8692" max="8692" width="16.77734375" style="486" customWidth="1"/>
    <col min="8693" max="8693" width="18.77734375" style="486" customWidth="1"/>
    <col min="8694" max="8700" width="18.5546875" style="486"/>
    <col min="8701" max="8701" width="4" style="486" customWidth="1"/>
    <col min="8702" max="8702" width="5.5546875" style="486" customWidth="1"/>
    <col min="8703" max="8703" width="30.21875" style="486" customWidth="1"/>
    <col min="8704" max="8704" width="4.5546875" style="486" bestFit="1" customWidth="1"/>
    <col min="8705" max="8705" width="41" style="486" customWidth="1"/>
    <col min="8706" max="8707" width="14.5546875" style="486" customWidth="1"/>
    <col min="8708" max="8708" width="16.5546875" style="486" customWidth="1"/>
    <col min="8709" max="8712" width="14.5546875" style="486" customWidth="1"/>
    <col min="8713" max="8714" width="12.5546875" style="486" customWidth="1"/>
    <col min="8715" max="8715" width="16.5546875" style="486" customWidth="1"/>
    <col min="8716" max="8717" width="20.5546875" style="486" customWidth="1"/>
    <col min="8718" max="8718" width="11" style="486" bestFit="1" customWidth="1"/>
    <col min="8719" max="8719" width="17.21875" style="486" customWidth="1"/>
    <col min="8720" max="8720" width="11" style="486" bestFit="1" customWidth="1"/>
    <col min="8721" max="8721" width="8.77734375" style="486" customWidth="1"/>
    <col min="8722" max="8725" width="10.21875" style="486" bestFit="1" customWidth="1"/>
    <col min="8726" max="8727" width="11.21875" style="486" bestFit="1" customWidth="1"/>
    <col min="8728" max="8938" width="8.77734375" style="486" customWidth="1"/>
    <col min="8939" max="8939" width="2.5546875" style="486" customWidth="1"/>
    <col min="8940" max="8940" width="5.5546875" style="486" customWidth="1"/>
    <col min="8941" max="8941" width="23.77734375" style="486" customWidth="1"/>
    <col min="8942" max="8942" width="3.77734375" style="486" customWidth="1"/>
    <col min="8943" max="8943" width="35.77734375" style="486" customWidth="1"/>
    <col min="8944" max="8944" width="22.21875" style="486" customWidth="1"/>
    <col min="8945" max="8945" width="17.77734375" style="486" customWidth="1"/>
    <col min="8946" max="8946" width="19" style="486" customWidth="1"/>
    <col min="8947" max="8947" width="20.77734375" style="486" customWidth="1"/>
    <col min="8948" max="8948" width="16.77734375" style="486" customWidth="1"/>
    <col min="8949" max="8949" width="18.77734375" style="486" customWidth="1"/>
    <col min="8950" max="8956" width="18.5546875" style="486"/>
    <col min="8957" max="8957" width="4" style="486" customWidth="1"/>
    <col min="8958" max="8958" width="5.5546875" style="486" customWidth="1"/>
    <col min="8959" max="8959" width="30.21875" style="486" customWidth="1"/>
    <col min="8960" max="8960" width="4.5546875" style="486" bestFit="1" customWidth="1"/>
    <col min="8961" max="8961" width="41" style="486" customWidth="1"/>
    <col min="8962" max="8963" width="14.5546875" style="486" customWidth="1"/>
    <col min="8964" max="8964" width="16.5546875" style="486" customWidth="1"/>
    <col min="8965" max="8968" width="14.5546875" style="486" customWidth="1"/>
    <col min="8969" max="8970" width="12.5546875" style="486" customWidth="1"/>
    <col min="8971" max="8971" width="16.5546875" style="486" customWidth="1"/>
    <col min="8972" max="8973" width="20.5546875" style="486" customWidth="1"/>
    <col min="8974" max="8974" width="11" style="486" bestFit="1" customWidth="1"/>
    <col min="8975" max="8975" width="17.21875" style="486" customWidth="1"/>
    <col min="8976" max="8976" width="11" style="486" bestFit="1" customWidth="1"/>
    <col min="8977" max="8977" width="8.77734375" style="486" customWidth="1"/>
    <col min="8978" max="8981" width="10.21875" style="486" bestFit="1" customWidth="1"/>
    <col min="8982" max="8983" width="11.21875" style="486" bestFit="1" customWidth="1"/>
    <col min="8984" max="9194" width="8.77734375" style="486" customWidth="1"/>
    <col min="9195" max="9195" width="2.5546875" style="486" customWidth="1"/>
    <col min="9196" max="9196" width="5.5546875" style="486" customWidth="1"/>
    <col min="9197" max="9197" width="23.77734375" style="486" customWidth="1"/>
    <col min="9198" max="9198" width="3.77734375" style="486" customWidth="1"/>
    <col min="9199" max="9199" width="35.77734375" style="486" customWidth="1"/>
    <col min="9200" max="9200" width="22.21875" style="486" customWidth="1"/>
    <col min="9201" max="9201" width="17.77734375" style="486" customWidth="1"/>
    <col min="9202" max="9202" width="19" style="486" customWidth="1"/>
    <col min="9203" max="9203" width="20.77734375" style="486" customWidth="1"/>
    <col min="9204" max="9204" width="16.77734375" style="486" customWidth="1"/>
    <col min="9205" max="9205" width="18.77734375" style="486" customWidth="1"/>
    <col min="9206" max="9212" width="18.5546875" style="486"/>
    <col min="9213" max="9213" width="4" style="486" customWidth="1"/>
    <col min="9214" max="9214" width="5.5546875" style="486" customWidth="1"/>
    <col min="9215" max="9215" width="30.21875" style="486" customWidth="1"/>
    <col min="9216" max="9216" width="4.5546875" style="486" bestFit="1" customWidth="1"/>
    <col min="9217" max="9217" width="41" style="486" customWidth="1"/>
    <col min="9218" max="9219" width="14.5546875" style="486" customWidth="1"/>
    <col min="9220" max="9220" width="16.5546875" style="486" customWidth="1"/>
    <col min="9221" max="9224" width="14.5546875" style="486" customWidth="1"/>
    <col min="9225" max="9226" width="12.5546875" style="486" customWidth="1"/>
    <col min="9227" max="9227" width="16.5546875" style="486" customWidth="1"/>
    <col min="9228" max="9229" width="20.5546875" style="486" customWidth="1"/>
    <col min="9230" max="9230" width="11" style="486" bestFit="1" customWidth="1"/>
    <col min="9231" max="9231" width="17.21875" style="486" customWidth="1"/>
    <col min="9232" max="9232" width="11" style="486" bestFit="1" customWidth="1"/>
    <col min="9233" max="9233" width="8.77734375" style="486" customWidth="1"/>
    <col min="9234" max="9237" width="10.21875" style="486" bestFit="1" customWidth="1"/>
    <col min="9238" max="9239" width="11.21875" style="486" bestFit="1" customWidth="1"/>
    <col min="9240" max="9450" width="8.77734375" style="486" customWidth="1"/>
    <col min="9451" max="9451" width="2.5546875" style="486" customWidth="1"/>
    <col min="9452" max="9452" width="5.5546875" style="486" customWidth="1"/>
    <col min="9453" max="9453" width="23.77734375" style="486" customWidth="1"/>
    <col min="9454" max="9454" width="3.77734375" style="486" customWidth="1"/>
    <col min="9455" max="9455" width="35.77734375" style="486" customWidth="1"/>
    <col min="9456" max="9456" width="22.21875" style="486" customWidth="1"/>
    <col min="9457" max="9457" width="17.77734375" style="486" customWidth="1"/>
    <col min="9458" max="9458" width="19" style="486" customWidth="1"/>
    <col min="9459" max="9459" width="20.77734375" style="486" customWidth="1"/>
    <col min="9460" max="9460" width="16.77734375" style="486" customWidth="1"/>
    <col min="9461" max="9461" width="18.77734375" style="486" customWidth="1"/>
    <col min="9462" max="9468" width="18.5546875" style="486"/>
    <col min="9469" max="9469" width="4" style="486" customWidth="1"/>
    <col min="9470" max="9470" width="5.5546875" style="486" customWidth="1"/>
    <col min="9471" max="9471" width="30.21875" style="486" customWidth="1"/>
    <col min="9472" max="9472" width="4.5546875" style="486" bestFit="1" customWidth="1"/>
    <col min="9473" max="9473" width="41" style="486" customWidth="1"/>
    <col min="9474" max="9475" width="14.5546875" style="486" customWidth="1"/>
    <col min="9476" max="9476" width="16.5546875" style="486" customWidth="1"/>
    <col min="9477" max="9480" width="14.5546875" style="486" customWidth="1"/>
    <col min="9481" max="9482" width="12.5546875" style="486" customWidth="1"/>
    <col min="9483" max="9483" width="16.5546875" style="486" customWidth="1"/>
    <col min="9484" max="9485" width="20.5546875" style="486" customWidth="1"/>
    <col min="9486" max="9486" width="11" style="486" bestFit="1" customWidth="1"/>
    <col min="9487" max="9487" width="17.21875" style="486" customWidth="1"/>
    <col min="9488" max="9488" width="11" style="486" bestFit="1" customWidth="1"/>
    <col min="9489" max="9489" width="8.77734375" style="486" customWidth="1"/>
    <col min="9490" max="9493" width="10.21875" style="486" bestFit="1" customWidth="1"/>
    <col min="9494" max="9495" width="11.21875" style="486" bestFit="1" customWidth="1"/>
    <col min="9496" max="9706" width="8.77734375" style="486" customWidth="1"/>
    <col min="9707" max="9707" width="2.5546875" style="486" customWidth="1"/>
    <col min="9708" max="9708" width="5.5546875" style="486" customWidth="1"/>
    <col min="9709" max="9709" width="23.77734375" style="486" customWidth="1"/>
    <col min="9710" max="9710" width="3.77734375" style="486" customWidth="1"/>
    <col min="9711" max="9711" width="35.77734375" style="486" customWidth="1"/>
    <col min="9712" max="9712" width="22.21875" style="486" customWidth="1"/>
    <col min="9713" max="9713" width="17.77734375" style="486" customWidth="1"/>
    <col min="9714" max="9714" width="19" style="486" customWidth="1"/>
    <col min="9715" max="9715" width="20.77734375" style="486" customWidth="1"/>
    <col min="9716" max="9716" width="16.77734375" style="486" customWidth="1"/>
    <col min="9717" max="9717" width="18.77734375" style="486" customWidth="1"/>
    <col min="9718" max="9724" width="18.5546875" style="486"/>
    <col min="9725" max="9725" width="4" style="486" customWidth="1"/>
    <col min="9726" max="9726" width="5.5546875" style="486" customWidth="1"/>
    <col min="9727" max="9727" width="30.21875" style="486" customWidth="1"/>
    <col min="9728" max="9728" width="4.5546875" style="486" bestFit="1" customWidth="1"/>
    <col min="9729" max="9729" width="41" style="486" customWidth="1"/>
    <col min="9730" max="9731" width="14.5546875" style="486" customWidth="1"/>
    <col min="9732" max="9732" width="16.5546875" style="486" customWidth="1"/>
    <col min="9733" max="9736" width="14.5546875" style="486" customWidth="1"/>
    <col min="9737" max="9738" width="12.5546875" style="486" customWidth="1"/>
    <col min="9739" max="9739" width="16.5546875" style="486" customWidth="1"/>
    <col min="9740" max="9741" width="20.5546875" style="486" customWidth="1"/>
    <col min="9742" max="9742" width="11" style="486" bestFit="1" customWidth="1"/>
    <col min="9743" max="9743" width="17.21875" style="486" customWidth="1"/>
    <col min="9744" max="9744" width="11" style="486" bestFit="1" customWidth="1"/>
    <col min="9745" max="9745" width="8.77734375" style="486" customWidth="1"/>
    <col min="9746" max="9749" width="10.21875" style="486" bestFit="1" customWidth="1"/>
    <col min="9750" max="9751" width="11.21875" style="486" bestFit="1" customWidth="1"/>
    <col min="9752" max="9962" width="8.77734375" style="486" customWidth="1"/>
    <col min="9963" max="9963" width="2.5546875" style="486" customWidth="1"/>
    <col min="9964" max="9964" width="5.5546875" style="486" customWidth="1"/>
    <col min="9965" max="9965" width="23.77734375" style="486" customWidth="1"/>
    <col min="9966" max="9966" width="3.77734375" style="486" customWidth="1"/>
    <col min="9967" max="9967" width="35.77734375" style="486" customWidth="1"/>
    <col min="9968" max="9968" width="22.21875" style="486" customWidth="1"/>
    <col min="9969" max="9969" width="17.77734375" style="486" customWidth="1"/>
    <col min="9970" max="9970" width="19" style="486" customWidth="1"/>
    <col min="9971" max="9971" width="20.77734375" style="486" customWidth="1"/>
    <col min="9972" max="9972" width="16.77734375" style="486" customWidth="1"/>
    <col min="9973" max="9973" width="18.77734375" style="486" customWidth="1"/>
    <col min="9974" max="9980" width="18.5546875" style="486"/>
    <col min="9981" max="9981" width="4" style="486" customWidth="1"/>
    <col min="9982" max="9982" width="5.5546875" style="486" customWidth="1"/>
    <col min="9983" max="9983" width="30.21875" style="486" customWidth="1"/>
    <col min="9984" max="9984" width="4.5546875" style="486" bestFit="1" customWidth="1"/>
    <col min="9985" max="9985" width="41" style="486" customWidth="1"/>
    <col min="9986" max="9987" width="14.5546875" style="486" customWidth="1"/>
    <col min="9988" max="9988" width="16.5546875" style="486" customWidth="1"/>
    <col min="9989" max="9992" width="14.5546875" style="486" customWidth="1"/>
    <col min="9993" max="9994" width="12.5546875" style="486" customWidth="1"/>
    <col min="9995" max="9995" width="16.5546875" style="486" customWidth="1"/>
    <col min="9996" max="9997" width="20.5546875" style="486" customWidth="1"/>
    <col min="9998" max="9998" width="11" style="486" bestFit="1" customWidth="1"/>
    <col min="9999" max="9999" width="17.21875" style="486" customWidth="1"/>
    <col min="10000" max="10000" width="11" style="486" bestFit="1" customWidth="1"/>
    <col min="10001" max="10001" width="8.77734375" style="486" customWidth="1"/>
    <col min="10002" max="10005" width="10.21875" style="486" bestFit="1" customWidth="1"/>
    <col min="10006" max="10007" width="11.21875" style="486" bestFit="1" customWidth="1"/>
    <col min="10008" max="10218" width="8.77734375" style="486" customWidth="1"/>
    <col min="10219" max="10219" width="2.5546875" style="486" customWidth="1"/>
    <col min="10220" max="10220" width="5.5546875" style="486" customWidth="1"/>
    <col min="10221" max="10221" width="23.77734375" style="486" customWidth="1"/>
    <col min="10222" max="10222" width="3.77734375" style="486" customWidth="1"/>
    <col min="10223" max="10223" width="35.77734375" style="486" customWidth="1"/>
    <col min="10224" max="10224" width="22.21875" style="486" customWidth="1"/>
    <col min="10225" max="10225" width="17.77734375" style="486" customWidth="1"/>
    <col min="10226" max="10226" width="19" style="486" customWidth="1"/>
    <col min="10227" max="10227" width="20.77734375" style="486" customWidth="1"/>
    <col min="10228" max="10228" width="16.77734375" style="486" customWidth="1"/>
    <col min="10229" max="10229" width="18.77734375" style="486" customWidth="1"/>
    <col min="10230" max="10236" width="18.5546875" style="486"/>
    <col min="10237" max="10237" width="4" style="486" customWidth="1"/>
    <col min="10238" max="10238" width="5.5546875" style="486" customWidth="1"/>
    <col min="10239" max="10239" width="30.21875" style="486" customWidth="1"/>
    <col min="10240" max="10240" width="4.5546875" style="486" bestFit="1" customWidth="1"/>
    <col min="10241" max="10241" width="41" style="486" customWidth="1"/>
    <col min="10242" max="10243" width="14.5546875" style="486" customWidth="1"/>
    <col min="10244" max="10244" width="16.5546875" style="486" customWidth="1"/>
    <col min="10245" max="10248" width="14.5546875" style="486" customWidth="1"/>
    <col min="10249" max="10250" width="12.5546875" style="486" customWidth="1"/>
    <col min="10251" max="10251" width="16.5546875" style="486" customWidth="1"/>
    <col min="10252" max="10253" width="20.5546875" style="486" customWidth="1"/>
    <col min="10254" max="10254" width="11" style="486" bestFit="1" customWidth="1"/>
    <col min="10255" max="10255" width="17.21875" style="486" customWidth="1"/>
    <col min="10256" max="10256" width="11" style="486" bestFit="1" customWidth="1"/>
    <col min="10257" max="10257" width="8.77734375" style="486" customWidth="1"/>
    <col min="10258" max="10261" width="10.21875" style="486" bestFit="1" customWidth="1"/>
    <col min="10262" max="10263" width="11.21875" style="486" bestFit="1" customWidth="1"/>
    <col min="10264" max="10474" width="8.77734375" style="486" customWidth="1"/>
    <col min="10475" max="10475" width="2.5546875" style="486" customWidth="1"/>
    <col min="10476" max="10476" width="5.5546875" style="486" customWidth="1"/>
    <col min="10477" max="10477" width="23.77734375" style="486" customWidth="1"/>
    <col min="10478" max="10478" width="3.77734375" style="486" customWidth="1"/>
    <col min="10479" max="10479" width="35.77734375" style="486" customWidth="1"/>
    <col min="10480" max="10480" width="22.21875" style="486" customWidth="1"/>
    <col min="10481" max="10481" width="17.77734375" style="486" customWidth="1"/>
    <col min="10482" max="10482" width="19" style="486" customWidth="1"/>
    <col min="10483" max="10483" width="20.77734375" style="486" customWidth="1"/>
    <col min="10484" max="10484" width="16.77734375" style="486" customWidth="1"/>
    <col min="10485" max="10485" width="18.77734375" style="486" customWidth="1"/>
    <col min="10486" max="10492" width="18.5546875" style="486"/>
    <col min="10493" max="10493" width="4" style="486" customWidth="1"/>
    <col min="10494" max="10494" width="5.5546875" style="486" customWidth="1"/>
    <col min="10495" max="10495" width="30.21875" style="486" customWidth="1"/>
    <col min="10496" max="10496" width="4.5546875" style="486" bestFit="1" customWidth="1"/>
    <col min="10497" max="10497" width="41" style="486" customWidth="1"/>
    <col min="10498" max="10499" width="14.5546875" style="486" customWidth="1"/>
    <col min="10500" max="10500" width="16.5546875" style="486" customWidth="1"/>
    <col min="10501" max="10504" width="14.5546875" style="486" customWidth="1"/>
    <col min="10505" max="10506" width="12.5546875" style="486" customWidth="1"/>
    <col min="10507" max="10507" width="16.5546875" style="486" customWidth="1"/>
    <col min="10508" max="10509" width="20.5546875" style="486" customWidth="1"/>
    <col min="10510" max="10510" width="11" style="486" bestFit="1" customWidth="1"/>
    <col min="10511" max="10511" width="17.21875" style="486" customWidth="1"/>
    <col min="10512" max="10512" width="11" style="486" bestFit="1" customWidth="1"/>
    <col min="10513" max="10513" width="8.77734375" style="486" customWidth="1"/>
    <col min="10514" max="10517" width="10.21875" style="486" bestFit="1" customWidth="1"/>
    <col min="10518" max="10519" width="11.21875" style="486" bestFit="1" customWidth="1"/>
    <col min="10520" max="10730" width="8.77734375" style="486" customWidth="1"/>
    <col min="10731" max="10731" width="2.5546875" style="486" customWidth="1"/>
    <col min="10732" max="10732" width="5.5546875" style="486" customWidth="1"/>
    <col min="10733" max="10733" width="23.77734375" style="486" customWidth="1"/>
    <col min="10734" max="10734" width="3.77734375" style="486" customWidth="1"/>
    <col min="10735" max="10735" width="35.77734375" style="486" customWidth="1"/>
    <col min="10736" max="10736" width="22.21875" style="486" customWidth="1"/>
    <col min="10737" max="10737" width="17.77734375" style="486" customWidth="1"/>
    <col min="10738" max="10738" width="19" style="486" customWidth="1"/>
    <col min="10739" max="10739" width="20.77734375" style="486" customWidth="1"/>
    <col min="10740" max="10740" width="16.77734375" style="486" customWidth="1"/>
    <col min="10741" max="10741" width="18.77734375" style="486" customWidth="1"/>
    <col min="10742" max="10748" width="18.5546875" style="486"/>
    <col min="10749" max="10749" width="4" style="486" customWidth="1"/>
    <col min="10750" max="10750" width="5.5546875" style="486" customWidth="1"/>
    <col min="10751" max="10751" width="30.21875" style="486" customWidth="1"/>
    <col min="10752" max="10752" width="4.5546875" style="486" bestFit="1" customWidth="1"/>
    <col min="10753" max="10753" width="41" style="486" customWidth="1"/>
    <col min="10754" max="10755" width="14.5546875" style="486" customWidth="1"/>
    <col min="10756" max="10756" width="16.5546875" style="486" customWidth="1"/>
    <col min="10757" max="10760" width="14.5546875" style="486" customWidth="1"/>
    <col min="10761" max="10762" width="12.5546875" style="486" customWidth="1"/>
    <col min="10763" max="10763" width="16.5546875" style="486" customWidth="1"/>
    <col min="10764" max="10765" width="20.5546875" style="486" customWidth="1"/>
    <col min="10766" max="10766" width="11" style="486" bestFit="1" customWidth="1"/>
    <col min="10767" max="10767" width="17.21875" style="486" customWidth="1"/>
    <col min="10768" max="10768" width="11" style="486" bestFit="1" customWidth="1"/>
    <col min="10769" max="10769" width="8.77734375" style="486" customWidth="1"/>
    <col min="10770" max="10773" width="10.21875" style="486" bestFit="1" customWidth="1"/>
    <col min="10774" max="10775" width="11.21875" style="486" bestFit="1" customWidth="1"/>
    <col min="10776" max="10986" width="8.77734375" style="486" customWidth="1"/>
    <col min="10987" max="10987" width="2.5546875" style="486" customWidth="1"/>
    <col min="10988" max="10988" width="5.5546875" style="486" customWidth="1"/>
    <col min="10989" max="10989" width="23.77734375" style="486" customWidth="1"/>
    <col min="10990" max="10990" width="3.77734375" style="486" customWidth="1"/>
    <col min="10991" max="10991" width="35.77734375" style="486" customWidth="1"/>
    <col min="10992" max="10992" width="22.21875" style="486" customWidth="1"/>
    <col min="10993" max="10993" width="17.77734375" style="486" customWidth="1"/>
    <col min="10994" max="10994" width="19" style="486" customWidth="1"/>
    <col min="10995" max="10995" width="20.77734375" style="486" customWidth="1"/>
    <col min="10996" max="10996" width="16.77734375" style="486" customWidth="1"/>
    <col min="10997" max="10997" width="18.77734375" style="486" customWidth="1"/>
    <col min="10998" max="11004" width="18.5546875" style="486"/>
    <col min="11005" max="11005" width="4" style="486" customWidth="1"/>
    <col min="11006" max="11006" width="5.5546875" style="486" customWidth="1"/>
    <col min="11007" max="11007" width="30.21875" style="486" customWidth="1"/>
    <col min="11008" max="11008" width="4.5546875" style="486" bestFit="1" customWidth="1"/>
    <col min="11009" max="11009" width="41" style="486" customWidth="1"/>
    <col min="11010" max="11011" width="14.5546875" style="486" customWidth="1"/>
    <col min="11012" max="11012" width="16.5546875" style="486" customWidth="1"/>
    <col min="11013" max="11016" width="14.5546875" style="486" customWidth="1"/>
    <col min="11017" max="11018" width="12.5546875" style="486" customWidth="1"/>
    <col min="11019" max="11019" width="16.5546875" style="486" customWidth="1"/>
    <col min="11020" max="11021" width="20.5546875" style="486" customWidth="1"/>
    <col min="11022" max="11022" width="11" style="486" bestFit="1" customWidth="1"/>
    <col min="11023" max="11023" width="17.21875" style="486" customWidth="1"/>
    <col min="11024" max="11024" width="11" style="486" bestFit="1" customWidth="1"/>
    <col min="11025" max="11025" width="8.77734375" style="486" customWidth="1"/>
    <col min="11026" max="11029" width="10.21875" style="486" bestFit="1" customWidth="1"/>
    <col min="11030" max="11031" width="11.21875" style="486" bestFit="1" customWidth="1"/>
    <col min="11032" max="11242" width="8.77734375" style="486" customWidth="1"/>
    <col min="11243" max="11243" width="2.5546875" style="486" customWidth="1"/>
    <col min="11244" max="11244" width="5.5546875" style="486" customWidth="1"/>
    <col min="11245" max="11245" width="23.77734375" style="486" customWidth="1"/>
    <col min="11246" max="11246" width="3.77734375" style="486" customWidth="1"/>
    <col min="11247" max="11247" width="35.77734375" style="486" customWidth="1"/>
    <col min="11248" max="11248" width="22.21875" style="486" customWidth="1"/>
    <col min="11249" max="11249" width="17.77734375" style="486" customWidth="1"/>
    <col min="11250" max="11250" width="19" style="486" customWidth="1"/>
    <col min="11251" max="11251" width="20.77734375" style="486" customWidth="1"/>
    <col min="11252" max="11252" width="16.77734375" style="486" customWidth="1"/>
    <col min="11253" max="11253" width="18.77734375" style="486" customWidth="1"/>
    <col min="11254" max="11260" width="18.5546875" style="486"/>
    <col min="11261" max="11261" width="4" style="486" customWidth="1"/>
    <col min="11262" max="11262" width="5.5546875" style="486" customWidth="1"/>
    <col min="11263" max="11263" width="30.21875" style="486" customWidth="1"/>
    <col min="11264" max="11264" width="4.5546875" style="486" bestFit="1" customWidth="1"/>
    <col min="11265" max="11265" width="41" style="486" customWidth="1"/>
    <col min="11266" max="11267" width="14.5546875" style="486" customWidth="1"/>
    <col min="11268" max="11268" width="16.5546875" style="486" customWidth="1"/>
    <col min="11269" max="11272" width="14.5546875" style="486" customWidth="1"/>
    <col min="11273" max="11274" width="12.5546875" style="486" customWidth="1"/>
    <col min="11275" max="11275" width="16.5546875" style="486" customWidth="1"/>
    <col min="11276" max="11277" width="20.5546875" style="486" customWidth="1"/>
    <col min="11278" max="11278" width="11" style="486" bestFit="1" customWidth="1"/>
    <col min="11279" max="11279" width="17.21875" style="486" customWidth="1"/>
    <col min="11280" max="11280" width="11" style="486" bestFit="1" customWidth="1"/>
    <col min="11281" max="11281" width="8.77734375" style="486" customWidth="1"/>
    <col min="11282" max="11285" width="10.21875" style="486" bestFit="1" customWidth="1"/>
    <col min="11286" max="11287" width="11.21875" style="486" bestFit="1" customWidth="1"/>
    <col min="11288" max="11498" width="8.77734375" style="486" customWidth="1"/>
    <col min="11499" max="11499" width="2.5546875" style="486" customWidth="1"/>
    <col min="11500" max="11500" width="5.5546875" style="486" customWidth="1"/>
    <col min="11501" max="11501" width="23.77734375" style="486" customWidth="1"/>
    <col min="11502" max="11502" width="3.77734375" style="486" customWidth="1"/>
    <col min="11503" max="11503" width="35.77734375" style="486" customWidth="1"/>
    <col min="11504" max="11504" width="22.21875" style="486" customWidth="1"/>
    <col min="11505" max="11505" width="17.77734375" style="486" customWidth="1"/>
    <col min="11506" max="11506" width="19" style="486" customWidth="1"/>
    <col min="11507" max="11507" width="20.77734375" style="486" customWidth="1"/>
    <col min="11508" max="11508" width="16.77734375" style="486" customWidth="1"/>
    <col min="11509" max="11509" width="18.77734375" style="486" customWidth="1"/>
    <col min="11510" max="11516" width="18.5546875" style="486"/>
    <col min="11517" max="11517" width="4" style="486" customWidth="1"/>
    <col min="11518" max="11518" width="5.5546875" style="486" customWidth="1"/>
    <col min="11519" max="11519" width="30.21875" style="486" customWidth="1"/>
    <col min="11520" max="11520" width="4.5546875" style="486" bestFit="1" customWidth="1"/>
    <col min="11521" max="11521" width="41" style="486" customWidth="1"/>
    <col min="11522" max="11523" width="14.5546875" style="486" customWidth="1"/>
    <col min="11524" max="11524" width="16.5546875" style="486" customWidth="1"/>
    <col min="11525" max="11528" width="14.5546875" style="486" customWidth="1"/>
    <col min="11529" max="11530" width="12.5546875" style="486" customWidth="1"/>
    <col min="11531" max="11531" width="16.5546875" style="486" customWidth="1"/>
    <col min="11532" max="11533" width="20.5546875" style="486" customWidth="1"/>
    <col min="11534" max="11534" width="11" style="486" bestFit="1" customWidth="1"/>
    <col min="11535" max="11535" width="17.21875" style="486" customWidth="1"/>
    <col min="11536" max="11536" width="11" style="486" bestFit="1" customWidth="1"/>
    <col min="11537" max="11537" width="8.77734375" style="486" customWidth="1"/>
    <col min="11538" max="11541" width="10.21875" style="486" bestFit="1" customWidth="1"/>
    <col min="11542" max="11543" width="11.21875" style="486" bestFit="1" customWidth="1"/>
    <col min="11544" max="11754" width="8.77734375" style="486" customWidth="1"/>
    <col min="11755" max="11755" width="2.5546875" style="486" customWidth="1"/>
    <col min="11756" max="11756" width="5.5546875" style="486" customWidth="1"/>
    <col min="11757" max="11757" width="23.77734375" style="486" customWidth="1"/>
    <col min="11758" max="11758" width="3.77734375" style="486" customWidth="1"/>
    <col min="11759" max="11759" width="35.77734375" style="486" customWidth="1"/>
    <col min="11760" max="11760" width="22.21875" style="486" customWidth="1"/>
    <col min="11761" max="11761" width="17.77734375" style="486" customWidth="1"/>
    <col min="11762" max="11762" width="19" style="486" customWidth="1"/>
    <col min="11763" max="11763" width="20.77734375" style="486" customWidth="1"/>
    <col min="11764" max="11764" width="16.77734375" style="486" customWidth="1"/>
    <col min="11765" max="11765" width="18.77734375" style="486" customWidth="1"/>
    <col min="11766" max="11772" width="18.5546875" style="486"/>
    <col min="11773" max="11773" width="4" style="486" customWidth="1"/>
    <col min="11774" max="11774" width="5.5546875" style="486" customWidth="1"/>
    <col min="11775" max="11775" width="30.21875" style="486" customWidth="1"/>
    <col min="11776" max="11776" width="4.5546875" style="486" bestFit="1" customWidth="1"/>
    <col min="11777" max="11777" width="41" style="486" customWidth="1"/>
    <col min="11778" max="11779" width="14.5546875" style="486" customWidth="1"/>
    <col min="11780" max="11780" width="16.5546875" style="486" customWidth="1"/>
    <col min="11781" max="11784" width="14.5546875" style="486" customWidth="1"/>
    <col min="11785" max="11786" width="12.5546875" style="486" customWidth="1"/>
    <col min="11787" max="11787" width="16.5546875" style="486" customWidth="1"/>
    <col min="11788" max="11789" width="20.5546875" style="486" customWidth="1"/>
    <col min="11790" max="11790" width="11" style="486" bestFit="1" customWidth="1"/>
    <col min="11791" max="11791" width="17.21875" style="486" customWidth="1"/>
    <col min="11792" max="11792" width="11" style="486" bestFit="1" customWidth="1"/>
    <col min="11793" max="11793" width="8.77734375" style="486" customWidth="1"/>
    <col min="11794" max="11797" width="10.21875" style="486" bestFit="1" customWidth="1"/>
    <col min="11798" max="11799" width="11.21875" style="486" bestFit="1" customWidth="1"/>
    <col min="11800" max="12010" width="8.77734375" style="486" customWidth="1"/>
    <col min="12011" max="12011" width="2.5546875" style="486" customWidth="1"/>
    <col min="12012" max="12012" width="5.5546875" style="486" customWidth="1"/>
    <col min="12013" max="12013" width="23.77734375" style="486" customWidth="1"/>
    <col min="12014" max="12014" width="3.77734375" style="486" customWidth="1"/>
    <col min="12015" max="12015" width="35.77734375" style="486" customWidth="1"/>
    <col min="12016" max="12016" width="22.21875" style="486" customWidth="1"/>
    <col min="12017" max="12017" width="17.77734375" style="486" customWidth="1"/>
    <col min="12018" max="12018" width="19" style="486" customWidth="1"/>
    <col min="12019" max="12019" width="20.77734375" style="486" customWidth="1"/>
    <col min="12020" max="12020" width="16.77734375" style="486" customWidth="1"/>
    <col min="12021" max="12021" width="18.77734375" style="486" customWidth="1"/>
    <col min="12022" max="12028" width="18.5546875" style="486"/>
    <col min="12029" max="12029" width="4" style="486" customWidth="1"/>
    <col min="12030" max="12030" width="5.5546875" style="486" customWidth="1"/>
    <col min="12031" max="12031" width="30.21875" style="486" customWidth="1"/>
    <col min="12032" max="12032" width="4.5546875" style="486" bestFit="1" customWidth="1"/>
    <col min="12033" max="12033" width="41" style="486" customWidth="1"/>
    <col min="12034" max="12035" width="14.5546875" style="486" customWidth="1"/>
    <col min="12036" max="12036" width="16.5546875" style="486" customWidth="1"/>
    <col min="12037" max="12040" width="14.5546875" style="486" customWidth="1"/>
    <col min="12041" max="12042" width="12.5546875" style="486" customWidth="1"/>
    <col min="12043" max="12043" width="16.5546875" style="486" customWidth="1"/>
    <col min="12044" max="12045" width="20.5546875" style="486" customWidth="1"/>
    <col min="12046" max="12046" width="11" style="486" bestFit="1" customWidth="1"/>
    <col min="12047" max="12047" width="17.21875" style="486" customWidth="1"/>
    <col min="12048" max="12048" width="11" style="486" bestFit="1" customWidth="1"/>
    <col min="12049" max="12049" width="8.77734375" style="486" customWidth="1"/>
    <col min="12050" max="12053" width="10.21875" style="486" bestFit="1" customWidth="1"/>
    <col min="12054" max="12055" width="11.21875" style="486" bestFit="1" customWidth="1"/>
    <col min="12056" max="12266" width="8.77734375" style="486" customWidth="1"/>
    <col min="12267" max="12267" width="2.5546875" style="486" customWidth="1"/>
    <col min="12268" max="12268" width="5.5546875" style="486" customWidth="1"/>
    <col min="12269" max="12269" width="23.77734375" style="486" customWidth="1"/>
    <col min="12270" max="12270" width="3.77734375" style="486" customWidth="1"/>
    <col min="12271" max="12271" width="35.77734375" style="486" customWidth="1"/>
    <col min="12272" max="12272" width="22.21875" style="486" customWidth="1"/>
    <col min="12273" max="12273" width="17.77734375" style="486" customWidth="1"/>
    <col min="12274" max="12274" width="19" style="486" customWidth="1"/>
    <col min="12275" max="12275" width="20.77734375" style="486" customWidth="1"/>
    <col min="12276" max="12276" width="16.77734375" style="486" customWidth="1"/>
    <col min="12277" max="12277" width="18.77734375" style="486" customWidth="1"/>
    <col min="12278" max="12284" width="18.5546875" style="486"/>
    <col min="12285" max="12285" width="4" style="486" customWidth="1"/>
    <col min="12286" max="12286" width="5.5546875" style="486" customWidth="1"/>
    <col min="12287" max="12287" width="30.21875" style="486" customWidth="1"/>
    <col min="12288" max="12288" width="4.5546875" style="486" bestFit="1" customWidth="1"/>
    <col min="12289" max="12289" width="41" style="486" customWidth="1"/>
    <col min="12290" max="12291" width="14.5546875" style="486" customWidth="1"/>
    <col min="12292" max="12292" width="16.5546875" style="486" customWidth="1"/>
    <col min="12293" max="12296" width="14.5546875" style="486" customWidth="1"/>
    <col min="12297" max="12298" width="12.5546875" style="486" customWidth="1"/>
    <col min="12299" max="12299" width="16.5546875" style="486" customWidth="1"/>
    <col min="12300" max="12301" width="20.5546875" style="486" customWidth="1"/>
    <col min="12302" max="12302" width="11" style="486" bestFit="1" customWidth="1"/>
    <col min="12303" max="12303" width="17.21875" style="486" customWidth="1"/>
    <col min="12304" max="12304" width="11" style="486" bestFit="1" customWidth="1"/>
    <col min="12305" max="12305" width="8.77734375" style="486" customWidth="1"/>
    <col min="12306" max="12309" width="10.21875" style="486" bestFit="1" customWidth="1"/>
    <col min="12310" max="12311" width="11.21875" style="486" bestFit="1" customWidth="1"/>
    <col min="12312" max="12522" width="8.77734375" style="486" customWidth="1"/>
    <col min="12523" max="12523" width="2.5546875" style="486" customWidth="1"/>
    <col min="12524" max="12524" width="5.5546875" style="486" customWidth="1"/>
    <col min="12525" max="12525" width="23.77734375" style="486" customWidth="1"/>
    <col min="12526" max="12526" width="3.77734375" style="486" customWidth="1"/>
    <col min="12527" max="12527" width="35.77734375" style="486" customWidth="1"/>
    <col min="12528" max="12528" width="22.21875" style="486" customWidth="1"/>
    <col min="12529" max="12529" width="17.77734375" style="486" customWidth="1"/>
    <col min="12530" max="12530" width="19" style="486" customWidth="1"/>
    <col min="12531" max="12531" width="20.77734375" style="486" customWidth="1"/>
    <col min="12532" max="12532" width="16.77734375" style="486" customWidth="1"/>
    <col min="12533" max="12533" width="18.77734375" style="486" customWidth="1"/>
    <col min="12534" max="12540" width="18.5546875" style="486"/>
    <col min="12541" max="12541" width="4" style="486" customWidth="1"/>
    <col min="12542" max="12542" width="5.5546875" style="486" customWidth="1"/>
    <col min="12543" max="12543" width="30.21875" style="486" customWidth="1"/>
    <col min="12544" max="12544" width="4.5546875" style="486" bestFit="1" customWidth="1"/>
    <col min="12545" max="12545" width="41" style="486" customWidth="1"/>
    <col min="12546" max="12547" width="14.5546875" style="486" customWidth="1"/>
    <col min="12548" max="12548" width="16.5546875" style="486" customWidth="1"/>
    <col min="12549" max="12552" width="14.5546875" style="486" customWidth="1"/>
    <col min="12553" max="12554" width="12.5546875" style="486" customWidth="1"/>
    <col min="12555" max="12555" width="16.5546875" style="486" customWidth="1"/>
    <col min="12556" max="12557" width="20.5546875" style="486" customWidth="1"/>
    <col min="12558" max="12558" width="11" style="486" bestFit="1" customWidth="1"/>
    <col min="12559" max="12559" width="17.21875" style="486" customWidth="1"/>
    <col min="12560" max="12560" width="11" style="486" bestFit="1" customWidth="1"/>
    <col min="12561" max="12561" width="8.77734375" style="486" customWidth="1"/>
    <col min="12562" max="12565" width="10.21875" style="486" bestFit="1" customWidth="1"/>
    <col min="12566" max="12567" width="11.21875" style="486" bestFit="1" customWidth="1"/>
    <col min="12568" max="12778" width="8.77734375" style="486" customWidth="1"/>
    <col min="12779" max="12779" width="2.5546875" style="486" customWidth="1"/>
    <col min="12780" max="12780" width="5.5546875" style="486" customWidth="1"/>
    <col min="12781" max="12781" width="23.77734375" style="486" customWidth="1"/>
    <col min="12782" max="12782" width="3.77734375" style="486" customWidth="1"/>
    <col min="12783" max="12783" width="35.77734375" style="486" customWidth="1"/>
    <col min="12784" max="12784" width="22.21875" style="486" customWidth="1"/>
    <col min="12785" max="12785" width="17.77734375" style="486" customWidth="1"/>
    <col min="12786" max="12786" width="19" style="486" customWidth="1"/>
    <col min="12787" max="12787" width="20.77734375" style="486" customWidth="1"/>
    <col min="12788" max="12788" width="16.77734375" style="486" customWidth="1"/>
    <col min="12789" max="12789" width="18.77734375" style="486" customWidth="1"/>
    <col min="12790" max="12796" width="18.5546875" style="486"/>
    <col min="12797" max="12797" width="4" style="486" customWidth="1"/>
    <col min="12798" max="12798" width="5.5546875" style="486" customWidth="1"/>
    <col min="12799" max="12799" width="30.21875" style="486" customWidth="1"/>
    <col min="12800" max="12800" width="4.5546875" style="486" bestFit="1" customWidth="1"/>
    <col min="12801" max="12801" width="41" style="486" customWidth="1"/>
    <col min="12802" max="12803" width="14.5546875" style="486" customWidth="1"/>
    <col min="12804" max="12804" width="16.5546875" style="486" customWidth="1"/>
    <col min="12805" max="12808" width="14.5546875" style="486" customWidth="1"/>
    <col min="12809" max="12810" width="12.5546875" style="486" customWidth="1"/>
    <col min="12811" max="12811" width="16.5546875" style="486" customWidth="1"/>
    <col min="12812" max="12813" width="20.5546875" style="486" customWidth="1"/>
    <col min="12814" max="12814" width="11" style="486" bestFit="1" customWidth="1"/>
    <col min="12815" max="12815" width="17.21875" style="486" customWidth="1"/>
    <col min="12816" max="12816" width="11" style="486" bestFit="1" customWidth="1"/>
    <col min="12817" max="12817" width="8.77734375" style="486" customWidth="1"/>
    <col min="12818" max="12821" width="10.21875" style="486" bestFit="1" customWidth="1"/>
    <col min="12822" max="12823" width="11.21875" style="486" bestFit="1" customWidth="1"/>
    <col min="12824" max="13034" width="8.77734375" style="486" customWidth="1"/>
    <col min="13035" max="13035" width="2.5546875" style="486" customWidth="1"/>
    <col min="13036" max="13036" width="5.5546875" style="486" customWidth="1"/>
    <col min="13037" max="13037" width="23.77734375" style="486" customWidth="1"/>
    <col min="13038" max="13038" width="3.77734375" style="486" customWidth="1"/>
    <col min="13039" max="13039" width="35.77734375" style="486" customWidth="1"/>
    <col min="13040" max="13040" width="22.21875" style="486" customWidth="1"/>
    <col min="13041" max="13041" width="17.77734375" style="486" customWidth="1"/>
    <col min="13042" max="13042" width="19" style="486" customWidth="1"/>
    <col min="13043" max="13043" width="20.77734375" style="486" customWidth="1"/>
    <col min="13044" max="13044" width="16.77734375" style="486" customWidth="1"/>
    <col min="13045" max="13045" width="18.77734375" style="486" customWidth="1"/>
    <col min="13046" max="13052" width="18.5546875" style="486"/>
    <col min="13053" max="13053" width="4" style="486" customWidth="1"/>
    <col min="13054" max="13054" width="5.5546875" style="486" customWidth="1"/>
    <col min="13055" max="13055" width="30.21875" style="486" customWidth="1"/>
    <col min="13056" max="13056" width="4.5546875" style="486" bestFit="1" customWidth="1"/>
    <col min="13057" max="13057" width="41" style="486" customWidth="1"/>
    <col min="13058" max="13059" width="14.5546875" style="486" customWidth="1"/>
    <col min="13060" max="13060" width="16.5546875" style="486" customWidth="1"/>
    <col min="13061" max="13064" width="14.5546875" style="486" customWidth="1"/>
    <col min="13065" max="13066" width="12.5546875" style="486" customWidth="1"/>
    <col min="13067" max="13067" width="16.5546875" style="486" customWidth="1"/>
    <col min="13068" max="13069" width="20.5546875" style="486" customWidth="1"/>
    <col min="13070" max="13070" width="11" style="486" bestFit="1" customWidth="1"/>
    <col min="13071" max="13071" width="17.21875" style="486" customWidth="1"/>
    <col min="13072" max="13072" width="11" style="486" bestFit="1" customWidth="1"/>
    <col min="13073" max="13073" width="8.77734375" style="486" customWidth="1"/>
    <col min="13074" max="13077" width="10.21875" style="486" bestFit="1" customWidth="1"/>
    <col min="13078" max="13079" width="11.21875" style="486" bestFit="1" customWidth="1"/>
    <col min="13080" max="13290" width="8.77734375" style="486" customWidth="1"/>
    <col min="13291" max="13291" width="2.5546875" style="486" customWidth="1"/>
    <col min="13292" max="13292" width="5.5546875" style="486" customWidth="1"/>
    <col min="13293" max="13293" width="23.77734375" style="486" customWidth="1"/>
    <col min="13294" max="13294" width="3.77734375" style="486" customWidth="1"/>
    <col min="13295" max="13295" width="35.77734375" style="486" customWidth="1"/>
    <col min="13296" max="13296" width="22.21875" style="486" customWidth="1"/>
    <col min="13297" max="13297" width="17.77734375" style="486" customWidth="1"/>
    <col min="13298" max="13298" width="19" style="486" customWidth="1"/>
    <col min="13299" max="13299" width="20.77734375" style="486" customWidth="1"/>
    <col min="13300" max="13300" width="16.77734375" style="486" customWidth="1"/>
    <col min="13301" max="13301" width="18.77734375" style="486" customWidth="1"/>
    <col min="13302" max="13308" width="18.5546875" style="486"/>
    <col min="13309" max="13309" width="4" style="486" customWidth="1"/>
    <col min="13310" max="13310" width="5.5546875" style="486" customWidth="1"/>
    <col min="13311" max="13311" width="30.21875" style="486" customWidth="1"/>
    <col min="13312" max="13312" width="4.5546875" style="486" bestFit="1" customWidth="1"/>
    <col min="13313" max="13313" width="41" style="486" customWidth="1"/>
    <col min="13314" max="13315" width="14.5546875" style="486" customWidth="1"/>
    <col min="13316" max="13316" width="16.5546875" style="486" customWidth="1"/>
    <col min="13317" max="13320" width="14.5546875" style="486" customWidth="1"/>
    <col min="13321" max="13322" width="12.5546875" style="486" customWidth="1"/>
    <col min="13323" max="13323" width="16.5546875" style="486" customWidth="1"/>
    <col min="13324" max="13325" width="20.5546875" style="486" customWidth="1"/>
    <col min="13326" max="13326" width="11" style="486" bestFit="1" customWidth="1"/>
    <col min="13327" max="13327" width="17.21875" style="486" customWidth="1"/>
    <col min="13328" max="13328" width="11" style="486" bestFit="1" customWidth="1"/>
    <col min="13329" max="13329" width="8.77734375" style="486" customWidth="1"/>
    <col min="13330" max="13333" width="10.21875" style="486" bestFit="1" customWidth="1"/>
    <col min="13334" max="13335" width="11.21875" style="486" bestFit="1" customWidth="1"/>
    <col min="13336" max="13546" width="8.77734375" style="486" customWidth="1"/>
    <col min="13547" max="13547" width="2.5546875" style="486" customWidth="1"/>
    <col min="13548" max="13548" width="5.5546875" style="486" customWidth="1"/>
    <col min="13549" max="13549" width="23.77734375" style="486" customWidth="1"/>
    <col min="13550" max="13550" width="3.77734375" style="486" customWidth="1"/>
    <col min="13551" max="13551" width="35.77734375" style="486" customWidth="1"/>
    <col min="13552" max="13552" width="22.21875" style="486" customWidth="1"/>
    <col min="13553" max="13553" width="17.77734375" style="486" customWidth="1"/>
    <col min="13554" max="13554" width="19" style="486" customWidth="1"/>
    <col min="13555" max="13555" width="20.77734375" style="486" customWidth="1"/>
    <col min="13556" max="13556" width="16.77734375" style="486" customWidth="1"/>
    <col min="13557" max="13557" width="18.77734375" style="486" customWidth="1"/>
    <col min="13558" max="13564" width="18.5546875" style="486"/>
    <col min="13565" max="13565" width="4" style="486" customWidth="1"/>
    <col min="13566" max="13566" width="5.5546875" style="486" customWidth="1"/>
    <col min="13567" max="13567" width="30.21875" style="486" customWidth="1"/>
    <col min="13568" max="13568" width="4.5546875" style="486" bestFit="1" customWidth="1"/>
    <col min="13569" max="13569" width="41" style="486" customWidth="1"/>
    <col min="13570" max="13571" width="14.5546875" style="486" customWidth="1"/>
    <col min="13572" max="13572" width="16.5546875" style="486" customWidth="1"/>
    <col min="13573" max="13576" width="14.5546875" style="486" customWidth="1"/>
    <col min="13577" max="13578" width="12.5546875" style="486" customWidth="1"/>
    <col min="13579" max="13579" width="16.5546875" style="486" customWidth="1"/>
    <col min="13580" max="13581" width="20.5546875" style="486" customWidth="1"/>
    <col min="13582" max="13582" width="11" style="486" bestFit="1" customWidth="1"/>
    <col min="13583" max="13583" width="17.21875" style="486" customWidth="1"/>
    <col min="13584" max="13584" width="11" style="486" bestFit="1" customWidth="1"/>
    <col min="13585" max="13585" width="8.77734375" style="486" customWidth="1"/>
    <col min="13586" max="13589" width="10.21875" style="486" bestFit="1" customWidth="1"/>
    <col min="13590" max="13591" width="11.21875" style="486" bestFit="1" customWidth="1"/>
    <col min="13592" max="13802" width="8.77734375" style="486" customWidth="1"/>
    <col min="13803" max="13803" width="2.5546875" style="486" customWidth="1"/>
    <col min="13804" max="13804" width="5.5546875" style="486" customWidth="1"/>
    <col min="13805" max="13805" width="23.77734375" style="486" customWidth="1"/>
    <col min="13806" max="13806" width="3.77734375" style="486" customWidth="1"/>
    <col min="13807" max="13807" width="35.77734375" style="486" customWidth="1"/>
    <col min="13808" max="13808" width="22.21875" style="486" customWidth="1"/>
    <col min="13809" max="13809" width="17.77734375" style="486" customWidth="1"/>
    <col min="13810" max="13810" width="19" style="486" customWidth="1"/>
    <col min="13811" max="13811" width="20.77734375" style="486" customWidth="1"/>
    <col min="13812" max="13812" width="16.77734375" style="486" customWidth="1"/>
    <col min="13813" max="13813" width="18.77734375" style="486" customWidth="1"/>
    <col min="13814" max="13820" width="18.5546875" style="486"/>
    <col min="13821" max="13821" width="4" style="486" customWidth="1"/>
    <col min="13822" max="13822" width="5.5546875" style="486" customWidth="1"/>
    <col min="13823" max="13823" width="30.21875" style="486" customWidth="1"/>
    <col min="13824" max="13824" width="4.5546875" style="486" bestFit="1" customWidth="1"/>
    <col min="13825" max="13825" width="41" style="486" customWidth="1"/>
    <col min="13826" max="13827" width="14.5546875" style="486" customWidth="1"/>
    <col min="13828" max="13828" width="16.5546875" style="486" customWidth="1"/>
    <col min="13829" max="13832" width="14.5546875" style="486" customWidth="1"/>
    <col min="13833" max="13834" width="12.5546875" style="486" customWidth="1"/>
    <col min="13835" max="13835" width="16.5546875" style="486" customWidth="1"/>
    <col min="13836" max="13837" width="20.5546875" style="486" customWidth="1"/>
    <col min="13838" max="13838" width="11" style="486" bestFit="1" customWidth="1"/>
    <col min="13839" max="13839" width="17.21875" style="486" customWidth="1"/>
    <col min="13840" max="13840" width="11" style="486" bestFit="1" customWidth="1"/>
    <col min="13841" max="13841" width="8.77734375" style="486" customWidth="1"/>
    <col min="13842" max="13845" width="10.21875" style="486" bestFit="1" customWidth="1"/>
    <col min="13846" max="13847" width="11.21875" style="486" bestFit="1" customWidth="1"/>
    <col min="13848" max="14058" width="8.77734375" style="486" customWidth="1"/>
    <col min="14059" max="14059" width="2.5546875" style="486" customWidth="1"/>
    <col min="14060" max="14060" width="5.5546875" style="486" customWidth="1"/>
    <col min="14061" max="14061" width="23.77734375" style="486" customWidth="1"/>
    <col min="14062" max="14062" width="3.77734375" style="486" customWidth="1"/>
    <col min="14063" max="14063" width="35.77734375" style="486" customWidth="1"/>
    <col min="14064" max="14064" width="22.21875" style="486" customWidth="1"/>
    <col min="14065" max="14065" width="17.77734375" style="486" customWidth="1"/>
    <col min="14066" max="14066" width="19" style="486" customWidth="1"/>
    <col min="14067" max="14067" width="20.77734375" style="486" customWidth="1"/>
    <col min="14068" max="14068" width="16.77734375" style="486" customWidth="1"/>
    <col min="14069" max="14069" width="18.77734375" style="486" customWidth="1"/>
    <col min="14070" max="14076" width="18.5546875" style="486"/>
    <col min="14077" max="14077" width="4" style="486" customWidth="1"/>
    <col min="14078" max="14078" width="5.5546875" style="486" customWidth="1"/>
    <col min="14079" max="14079" width="30.21875" style="486" customWidth="1"/>
    <col min="14080" max="14080" width="4.5546875" style="486" bestFit="1" customWidth="1"/>
    <col min="14081" max="14081" width="41" style="486" customWidth="1"/>
    <col min="14082" max="14083" width="14.5546875" style="486" customWidth="1"/>
    <col min="14084" max="14084" width="16.5546875" style="486" customWidth="1"/>
    <col min="14085" max="14088" width="14.5546875" style="486" customWidth="1"/>
    <col min="14089" max="14090" width="12.5546875" style="486" customWidth="1"/>
    <col min="14091" max="14091" width="16.5546875" style="486" customWidth="1"/>
    <col min="14092" max="14093" width="20.5546875" style="486" customWidth="1"/>
    <col min="14094" max="14094" width="11" style="486" bestFit="1" customWidth="1"/>
    <col min="14095" max="14095" width="17.21875" style="486" customWidth="1"/>
    <col min="14096" max="14096" width="11" style="486" bestFit="1" customWidth="1"/>
    <col min="14097" max="14097" width="8.77734375" style="486" customWidth="1"/>
    <col min="14098" max="14101" width="10.21875" style="486" bestFit="1" customWidth="1"/>
    <col min="14102" max="14103" width="11.21875" style="486" bestFit="1" customWidth="1"/>
    <col min="14104" max="14314" width="8.77734375" style="486" customWidth="1"/>
    <col min="14315" max="14315" width="2.5546875" style="486" customWidth="1"/>
    <col min="14316" max="14316" width="5.5546875" style="486" customWidth="1"/>
    <col min="14317" max="14317" width="23.77734375" style="486" customWidth="1"/>
    <col min="14318" max="14318" width="3.77734375" style="486" customWidth="1"/>
    <col min="14319" max="14319" width="35.77734375" style="486" customWidth="1"/>
    <col min="14320" max="14320" width="22.21875" style="486" customWidth="1"/>
    <col min="14321" max="14321" width="17.77734375" style="486" customWidth="1"/>
    <col min="14322" max="14322" width="19" style="486" customWidth="1"/>
    <col min="14323" max="14323" width="20.77734375" style="486" customWidth="1"/>
    <col min="14324" max="14324" width="16.77734375" style="486" customWidth="1"/>
    <col min="14325" max="14325" width="18.77734375" style="486" customWidth="1"/>
    <col min="14326" max="14332" width="18.5546875" style="486"/>
    <col min="14333" max="14333" width="4" style="486" customWidth="1"/>
    <col min="14334" max="14334" width="5.5546875" style="486" customWidth="1"/>
    <col min="14335" max="14335" width="30.21875" style="486" customWidth="1"/>
    <col min="14336" max="14336" width="4.5546875" style="486" bestFit="1" customWidth="1"/>
    <col min="14337" max="14337" width="41" style="486" customWidth="1"/>
    <col min="14338" max="14339" width="14.5546875" style="486" customWidth="1"/>
    <col min="14340" max="14340" width="16.5546875" style="486" customWidth="1"/>
    <col min="14341" max="14344" width="14.5546875" style="486" customWidth="1"/>
    <col min="14345" max="14346" width="12.5546875" style="486" customWidth="1"/>
    <col min="14347" max="14347" width="16.5546875" style="486" customWidth="1"/>
    <col min="14348" max="14349" width="20.5546875" style="486" customWidth="1"/>
    <col min="14350" max="14350" width="11" style="486" bestFit="1" customWidth="1"/>
    <col min="14351" max="14351" width="17.21875" style="486" customWidth="1"/>
    <col min="14352" max="14352" width="11" style="486" bestFit="1" customWidth="1"/>
    <col min="14353" max="14353" width="8.77734375" style="486" customWidth="1"/>
    <col min="14354" max="14357" width="10.21875" style="486" bestFit="1" customWidth="1"/>
    <col min="14358" max="14359" width="11.21875" style="486" bestFit="1" customWidth="1"/>
    <col min="14360" max="14570" width="8.77734375" style="486" customWidth="1"/>
    <col min="14571" max="14571" width="2.5546875" style="486" customWidth="1"/>
    <col min="14572" max="14572" width="5.5546875" style="486" customWidth="1"/>
    <col min="14573" max="14573" width="23.77734375" style="486" customWidth="1"/>
    <col min="14574" max="14574" width="3.77734375" style="486" customWidth="1"/>
    <col min="14575" max="14575" width="35.77734375" style="486" customWidth="1"/>
    <col min="14576" max="14576" width="22.21875" style="486" customWidth="1"/>
    <col min="14577" max="14577" width="17.77734375" style="486" customWidth="1"/>
    <col min="14578" max="14578" width="19" style="486" customWidth="1"/>
    <col min="14579" max="14579" width="20.77734375" style="486" customWidth="1"/>
    <col min="14580" max="14580" width="16.77734375" style="486" customWidth="1"/>
    <col min="14581" max="14581" width="18.77734375" style="486" customWidth="1"/>
    <col min="14582" max="14588" width="18.5546875" style="486"/>
    <col min="14589" max="14589" width="4" style="486" customWidth="1"/>
    <col min="14590" max="14590" width="5.5546875" style="486" customWidth="1"/>
    <col min="14591" max="14591" width="30.21875" style="486" customWidth="1"/>
    <col min="14592" max="14592" width="4.5546875" style="486" bestFit="1" customWidth="1"/>
    <col min="14593" max="14593" width="41" style="486" customWidth="1"/>
    <col min="14594" max="14595" width="14.5546875" style="486" customWidth="1"/>
    <col min="14596" max="14596" width="16.5546875" style="486" customWidth="1"/>
    <col min="14597" max="14600" width="14.5546875" style="486" customWidth="1"/>
    <col min="14601" max="14602" width="12.5546875" style="486" customWidth="1"/>
    <col min="14603" max="14603" width="16.5546875" style="486" customWidth="1"/>
    <col min="14604" max="14605" width="20.5546875" style="486" customWidth="1"/>
    <col min="14606" max="14606" width="11" style="486" bestFit="1" customWidth="1"/>
    <col min="14607" max="14607" width="17.21875" style="486" customWidth="1"/>
    <col min="14608" max="14608" width="11" style="486" bestFit="1" customWidth="1"/>
    <col min="14609" max="14609" width="8.77734375" style="486" customWidth="1"/>
    <col min="14610" max="14613" width="10.21875" style="486" bestFit="1" customWidth="1"/>
    <col min="14614" max="14615" width="11.21875" style="486" bestFit="1" customWidth="1"/>
    <col min="14616" max="14826" width="8.77734375" style="486" customWidth="1"/>
    <col min="14827" max="14827" width="2.5546875" style="486" customWidth="1"/>
    <col min="14828" max="14828" width="5.5546875" style="486" customWidth="1"/>
    <col min="14829" max="14829" width="23.77734375" style="486" customWidth="1"/>
    <col min="14830" max="14830" width="3.77734375" style="486" customWidth="1"/>
    <col min="14831" max="14831" width="35.77734375" style="486" customWidth="1"/>
    <col min="14832" max="14832" width="22.21875" style="486" customWidth="1"/>
    <col min="14833" max="14833" width="17.77734375" style="486" customWidth="1"/>
    <col min="14834" max="14834" width="19" style="486" customWidth="1"/>
    <col min="14835" max="14835" width="20.77734375" style="486" customWidth="1"/>
    <col min="14836" max="14836" width="16.77734375" style="486" customWidth="1"/>
    <col min="14837" max="14837" width="18.77734375" style="486" customWidth="1"/>
    <col min="14838" max="14844" width="18.5546875" style="486"/>
    <col min="14845" max="14845" width="4" style="486" customWidth="1"/>
    <col min="14846" max="14846" width="5.5546875" style="486" customWidth="1"/>
    <col min="14847" max="14847" width="30.21875" style="486" customWidth="1"/>
    <col min="14848" max="14848" width="4.5546875" style="486" bestFit="1" customWidth="1"/>
    <col min="14849" max="14849" width="41" style="486" customWidth="1"/>
    <col min="14850" max="14851" width="14.5546875" style="486" customWidth="1"/>
    <col min="14852" max="14852" width="16.5546875" style="486" customWidth="1"/>
    <col min="14853" max="14856" width="14.5546875" style="486" customWidth="1"/>
    <col min="14857" max="14858" width="12.5546875" style="486" customWidth="1"/>
    <col min="14859" max="14859" width="16.5546875" style="486" customWidth="1"/>
    <col min="14860" max="14861" width="20.5546875" style="486" customWidth="1"/>
    <col min="14862" max="14862" width="11" style="486" bestFit="1" customWidth="1"/>
    <col min="14863" max="14863" width="17.21875" style="486" customWidth="1"/>
    <col min="14864" max="14864" width="11" style="486" bestFit="1" customWidth="1"/>
    <col min="14865" max="14865" width="8.77734375" style="486" customWidth="1"/>
    <col min="14866" max="14869" width="10.21875" style="486" bestFit="1" customWidth="1"/>
    <col min="14870" max="14871" width="11.21875" style="486" bestFit="1" customWidth="1"/>
    <col min="14872" max="15082" width="8.77734375" style="486" customWidth="1"/>
    <col min="15083" max="15083" width="2.5546875" style="486" customWidth="1"/>
    <col min="15084" max="15084" width="5.5546875" style="486" customWidth="1"/>
    <col min="15085" max="15085" width="23.77734375" style="486" customWidth="1"/>
    <col min="15086" max="15086" width="3.77734375" style="486" customWidth="1"/>
    <col min="15087" max="15087" width="35.77734375" style="486" customWidth="1"/>
    <col min="15088" max="15088" width="22.21875" style="486" customWidth="1"/>
    <col min="15089" max="15089" width="17.77734375" style="486" customWidth="1"/>
    <col min="15090" max="15090" width="19" style="486" customWidth="1"/>
    <col min="15091" max="15091" width="20.77734375" style="486" customWidth="1"/>
    <col min="15092" max="15092" width="16.77734375" style="486" customWidth="1"/>
    <col min="15093" max="15093" width="18.77734375" style="486" customWidth="1"/>
    <col min="15094" max="15100" width="18.5546875" style="486"/>
    <col min="15101" max="15101" width="4" style="486" customWidth="1"/>
    <col min="15102" max="15102" width="5.5546875" style="486" customWidth="1"/>
    <col min="15103" max="15103" width="30.21875" style="486" customWidth="1"/>
    <col min="15104" max="15104" width="4.5546875" style="486" bestFit="1" customWidth="1"/>
    <col min="15105" max="15105" width="41" style="486" customWidth="1"/>
    <col min="15106" max="15107" width="14.5546875" style="486" customWidth="1"/>
    <col min="15108" max="15108" width="16.5546875" style="486" customWidth="1"/>
    <col min="15109" max="15112" width="14.5546875" style="486" customWidth="1"/>
    <col min="15113" max="15114" width="12.5546875" style="486" customWidth="1"/>
    <col min="15115" max="15115" width="16.5546875" style="486" customWidth="1"/>
    <col min="15116" max="15117" width="20.5546875" style="486" customWidth="1"/>
    <col min="15118" max="15118" width="11" style="486" bestFit="1" customWidth="1"/>
    <col min="15119" max="15119" width="17.21875" style="486" customWidth="1"/>
    <col min="15120" max="15120" width="11" style="486" bestFit="1" customWidth="1"/>
    <col min="15121" max="15121" width="8.77734375" style="486" customWidth="1"/>
    <col min="15122" max="15125" width="10.21875" style="486" bestFit="1" customWidth="1"/>
    <col min="15126" max="15127" width="11.21875" style="486" bestFit="1" customWidth="1"/>
    <col min="15128" max="15338" width="8.77734375" style="486" customWidth="1"/>
    <col min="15339" max="15339" width="2.5546875" style="486" customWidth="1"/>
    <col min="15340" max="15340" width="5.5546875" style="486" customWidth="1"/>
    <col min="15341" max="15341" width="23.77734375" style="486" customWidth="1"/>
    <col min="15342" max="15342" width="3.77734375" style="486" customWidth="1"/>
    <col min="15343" max="15343" width="35.77734375" style="486" customWidth="1"/>
    <col min="15344" max="15344" width="22.21875" style="486" customWidth="1"/>
    <col min="15345" max="15345" width="17.77734375" style="486" customWidth="1"/>
    <col min="15346" max="15346" width="19" style="486" customWidth="1"/>
    <col min="15347" max="15347" width="20.77734375" style="486" customWidth="1"/>
    <col min="15348" max="15348" width="16.77734375" style="486" customWidth="1"/>
    <col min="15349" max="15349" width="18.77734375" style="486" customWidth="1"/>
    <col min="15350" max="15356" width="18.5546875" style="486"/>
    <col min="15357" max="15357" width="4" style="486" customWidth="1"/>
    <col min="15358" max="15358" width="5.5546875" style="486" customWidth="1"/>
    <col min="15359" max="15359" width="30.21875" style="486" customWidth="1"/>
    <col min="15360" max="15360" width="4.5546875" style="486" bestFit="1" customWidth="1"/>
    <col min="15361" max="15361" width="41" style="486" customWidth="1"/>
    <col min="15362" max="15363" width="14.5546875" style="486" customWidth="1"/>
    <col min="15364" max="15364" width="16.5546875" style="486" customWidth="1"/>
    <col min="15365" max="15368" width="14.5546875" style="486" customWidth="1"/>
    <col min="15369" max="15370" width="12.5546875" style="486" customWidth="1"/>
    <col min="15371" max="15371" width="16.5546875" style="486" customWidth="1"/>
    <col min="15372" max="15373" width="20.5546875" style="486" customWidth="1"/>
    <col min="15374" max="15374" width="11" style="486" bestFit="1" customWidth="1"/>
    <col min="15375" max="15375" width="17.21875" style="486" customWidth="1"/>
    <col min="15376" max="15376" width="11" style="486" bestFit="1" customWidth="1"/>
    <col min="15377" max="15377" width="8.77734375" style="486" customWidth="1"/>
    <col min="15378" max="15381" width="10.21875" style="486" bestFit="1" customWidth="1"/>
    <col min="15382" max="15383" width="11.21875" style="486" bestFit="1" customWidth="1"/>
    <col min="15384" max="15594" width="8.77734375" style="486" customWidth="1"/>
    <col min="15595" max="15595" width="2.5546875" style="486" customWidth="1"/>
    <col min="15596" max="15596" width="5.5546875" style="486" customWidth="1"/>
    <col min="15597" max="15597" width="23.77734375" style="486" customWidth="1"/>
    <col min="15598" max="15598" width="3.77734375" style="486" customWidth="1"/>
    <col min="15599" max="15599" width="35.77734375" style="486" customWidth="1"/>
    <col min="15600" max="15600" width="22.21875" style="486" customWidth="1"/>
    <col min="15601" max="15601" width="17.77734375" style="486" customWidth="1"/>
    <col min="15602" max="15602" width="19" style="486" customWidth="1"/>
    <col min="15603" max="15603" width="20.77734375" style="486" customWidth="1"/>
    <col min="15604" max="15604" width="16.77734375" style="486" customWidth="1"/>
    <col min="15605" max="15605" width="18.77734375" style="486" customWidth="1"/>
    <col min="15606" max="15612" width="18.5546875" style="486"/>
    <col min="15613" max="15613" width="4" style="486" customWidth="1"/>
    <col min="15614" max="15614" width="5.5546875" style="486" customWidth="1"/>
    <col min="15615" max="15615" width="30.21875" style="486" customWidth="1"/>
    <col min="15616" max="15616" width="4.5546875" style="486" bestFit="1" customWidth="1"/>
    <col min="15617" max="15617" width="41" style="486" customWidth="1"/>
    <col min="15618" max="15619" width="14.5546875" style="486" customWidth="1"/>
    <col min="15620" max="15620" width="16.5546875" style="486" customWidth="1"/>
    <col min="15621" max="15624" width="14.5546875" style="486" customWidth="1"/>
    <col min="15625" max="15626" width="12.5546875" style="486" customWidth="1"/>
    <col min="15627" max="15627" width="16.5546875" style="486" customWidth="1"/>
    <col min="15628" max="15629" width="20.5546875" style="486" customWidth="1"/>
    <col min="15630" max="15630" width="11" style="486" bestFit="1" customWidth="1"/>
    <col min="15631" max="15631" width="17.21875" style="486" customWidth="1"/>
    <col min="15632" max="15632" width="11" style="486" bestFit="1" customWidth="1"/>
    <col min="15633" max="15633" width="8.77734375" style="486" customWidth="1"/>
    <col min="15634" max="15637" width="10.21875" style="486" bestFit="1" customWidth="1"/>
    <col min="15638" max="15639" width="11.21875" style="486" bestFit="1" customWidth="1"/>
    <col min="15640" max="15850" width="8.77734375" style="486" customWidth="1"/>
    <col min="15851" max="15851" width="2.5546875" style="486" customWidth="1"/>
    <col min="15852" max="15852" width="5.5546875" style="486" customWidth="1"/>
    <col min="15853" max="15853" width="23.77734375" style="486" customWidth="1"/>
    <col min="15854" max="15854" width="3.77734375" style="486" customWidth="1"/>
    <col min="15855" max="15855" width="35.77734375" style="486" customWidth="1"/>
    <col min="15856" max="15856" width="22.21875" style="486" customWidth="1"/>
    <col min="15857" max="15857" width="17.77734375" style="486" customWidth="1"/>
    <col min="15858" max="15858" width="19" style="486" customWidth="1"/>
    <col min="15859" max="15859" width="20.77734375" style="486" customWidth="1"/>
    <col min="15860" max="15860" width="16.77734375" style="486" customWidth="1"/>
    <col min="15861" max="15861" width="18.77734375" style="486" customWidth="1"/>
    <col min="15862" max="15868" width="18.5546875" style="486"/>
    <col min="15869" max="15869" width="4" style="486" customWidth="1"/>
    <col min="15870" max="15870" width="5.5546875" style="486" customWidth="1"/>
    <col min="15871" max="15871" width="30.21875" style="486" customWidth="1"/>
    <col min="15872" max="15872" width="4.5546875" style="486" bestFit="1" customWidth="1"/>
    <col min="15873" max="15873" width="41" style="486" customWidth="1"/>
    <col min="15874" max="15875" width="14.5546875" style="486" customWidth="1"/>
    <col min="15876" max="15876" width="16.5546875" style="486" customWidth="1"/>
    <col min="15877" max="15880" width="14.5546875" style="486" customWidth="1"/>
    <col min="15881" max="15882" width="12.5546875" style="486" customWidth="1"/>
    <col min="15883" max="15883" width="16.5546875" style="486" customWidth="1"/>
    <col min="15884" max="15885" width="20.5546875" style="486" customWidth="1"/>
    <col min="15886" max="15886" width="11" style="486" bestFit="1" customWidth="1"/>
    <col min="15887" max="15887" width="17.21875" style="486" customWidth="1"/>
    <col min="15888" max="15888" width="11" style="486" bestFit="1" customWidth="1"/>
    <col min="15889" max="15889" width="8.77734375" style="486" customWidth="1"/>
    <col min="15890" max="15893" width="10.21875" style="486" bestFit="1" customWidth="1"/>
    <col min="15894" max="15895" width="11.21875" style="486" bestFit="1" customWidth="1"/>
    <col min="15896" max="16106" width="8.77734375" style="486" customWidth="1"/>
    <col min="16107" max="16107" width="2.5546875" style="486" customWidth="1"/>
    <col min="16108" max="16108" width="5.5546875" style="486" customWidth="1"/>
    <col min="16109" max="16109" width="23.77734375" style="486" customWidth="1"/>
    <col min="16110" max="16110" width="3.77734375" style="486" customWidth="1"/>
    <col min="16111" max="16111" width="35.77734375" style="486" customWidth="1"/>
    <col min="16112" max="16112" width="22.21875" style="486" customWidth="1"/>
    <col min="16113" max="16113" width="17.77734375" style="486" customWidth="1"/>
    <col min="16114" max="16114" width="19" style="486" customWidth="1"/>
    <col min="16115" max="16115" width="20.77734375" style="486" customWidth="1"/>
    <col min="16116" max="16116" width="16.77734375" style="486" customWidth="1"/>
    <col min="16117" max="16117" width="18.77734375" style="486" customWidth="1"/>
    <col min="16118" max="16124" width="18.5546875" style="486"/>
    <col min="16125" max="16125" width="4" style="486" customWidth="1"/>
    <col min="16126" max="16126" width="5.5546875" style="486" customWidth="1"/>
    <col min="16127" max="16127" width="30.21875" style="486" customWidth="1"/>
    <col min="16128" max="16128" width="4.5546875" style="486" bestFit="1" customWidth="1"/>
    <col min="16129" max="16129" width="41" style="486" customWidth="1"/>
    <col min="16130" max="16131" width="14.5546875" style="486" customWidth="1"/>
    <col min="16132" max="16132" width="16.5546875" style="486" customWidth="1"/>
    <col min="16133" max="16136" width="14.5546875" style="486" customWidth="1"/>
    <col min="16137" max="16138" width="12.5546875" style="486" customWidth="1"/>
    <col min="16139" max="16139" width="16.5546875" style="486" customWidth="1"/>
    <col min="16140" max="16141" width="20.5546875" style="486" customWidth="1"/>
    <col min="16142" max="16142" width="11" style="486" bestFit="1" customWidth="1"/>
    <col min="16143" max="16143" width="17.21875" style="486" customWidth="1"/>
    <col min="16144" max="16144" width="11" style="486" bestFit="1" customWidth="1"/>
    <col min="16145" max="16145" width="8.77734375" style="486" customWidth="1"/>
    <col min="16146" max="16149" width="10.21875" style="486" bestFit="1" customWidth="1"/>
    <col min="16150" max="16151" width="11.21875" style="486" bestFit="1" customWidth="1"/>
    <col min="16152" max="16362" width="8.77734375" style="486" customWidth="1"/>
    <col min="16363" max="16363" width="2.5546875" style="486" customWidth="1"/>
    <col min="16364" max="16364" width="5.5546875" style="486" customWidth="1"/>
    <col min="16365" max="16365" width="23.77734375" style="486" customWidth="1"/>
    <col min="16366" max="16366" width="3.77734375" style="486" customWidth="1"/>
    <col min="16367" max="16367" width="35.77734375" style="486" customWidth="1"/>
    <col min="16368" max="16368" width="22.21875" style="486" customWidth="1"/>
    <col min="16369" max="16369" width="17.77734375" style="486" customWidth="1"/>
    <col min="16370" max="16370" width="19" style="486" customWidth="1"/>
    <col min="16371" max="16371" width="20.77734375" style="486" customWidth="1"/>
    <col min="16372" max="16372" width="16.77734375" style="486" customWidth="1"/>
    <col min="16373" max="16373" width="18.77734375" style="486" customWidth="1"/>
    <col min="16374" max="16384" width="18.5546875" style="486"/>
  </cols>
  <sheetData>
    <row r="2" spans="1:14" s="474" customFormat="1" ht="18">
      <c r="B2" s="598" t="s">
        <v>896</v>
      </c>
      <c r="C2" s="598"/>
      <c r="D2" s="598"/>
      <c r="E2" s="598"/>
      <c r="F2" s="598"/>
      <c r="G2" s="598"/>
      <c r="H2" s="598"/>
      <c r="I2" s="598"/>
      <c r="J2" s="475"/>
      <c r="K2" s="475"/>
      <c r="L2" s="475"/>
      <c r="M2" s="475"/>
    </row>
    <row r="3" spans="1:14" s="474" customFormat="1" ht="23.25" customHeight="1">
      <c r="B3" s="598" t="s">
        <v>897</v>
      </c>
      <c r="C3" s="598"/>
      <c r="D3" s="598"/>
      <c r="E3" s="598"/>
      <c r="F3" s="598"/>
      <c r="G3" s="598"/>
      <c r="H3" s="598"/>
      <c r="I3" s="598"/>
      <c r="J3" s="475"/>
      <c r="K3" s="475"/>
      <c r="L3" s="475"/>
      <c r="M3" s="475"/>
    </row>
    <row r="4" spans="1:14" s="474" customFormat="1" ht="6" customHeight="1" thickBot="1">
      <c r="D4" s="476"/>
    </row>
    <row r="5" spans="1:14" s="476" customFormat="1" ht="40.950000000000003" customHeight="1">
      <c r="B5" s="599" t="s">
        <v>2</v>
      </c>
      <c r="C5" s="587" t="s">
        <v>338</v>
      </c>
      <c r="D5" s="585" t="s">
        <v>898</v>
      </c>
      <c r="E5" s="586"/>
      <c r="F5" s="587" t="s">
        <v>899</v>
      </c>
      <c r="G5" s="604" t="s">
        <v>956</v>
      </c>
      <c r="H5" s="604" t="s">
        <v>957</v>
      </c>
      <c r="I5" s="604" t="s">
        <v>958</v>
      </c>
      <c r="J5" s="604" t="s">
        <v>931</v>
      </c>
      <c r="K5" s="615" t="s">
        <v>928</v>
      </c>
      <c r="L5" s="587" t="s">
        <v>932</v>
      </c>
      <c r="M5" s="588"/>
    </row>
    <row r="6" spans="1:14" s="474" customFormat="1" ht="44.55" customHeight="1">
      <c r="B6" s="600"/>
      <c r="C6" s="601"/>
      <c r="D6" s="602"/>
      <c r="E6" s="603"/>
      <c r="F6" s="601"/>
      <c r="G6" s="605"/>
      <c r="H6" s="605"/>
      <c r="I6" s="605"/>
      <c r="J6" s="605"/>
      <c r="K6" s="616"/>
      <c r="L6" s="477" t="s">
        <v>939</v>
      </c>
      <c r="M6" s="478" t="s">
        <v>955</v>
      </c>
    </row>
    <row r="7" spans="1:14" s="479" customFormat="1" ht="14.4" thickBot="1">
      <c r="B7" s="480">
        <v>1</v>
      </c>
      <c r="C7" s="481">
        <v>2</v>
      </c>
      <c r="D7" s="589">
        <v>3</v>
      </c>
      <c r="E7" s="590"/>
      <c r="F7" s="481">
        <v>4</v>
      </c>
      <c r="G7" s="481">
        <v>5</v>
      </c>
      <c r="H7" s="481">
        <v>6</v>
      </c>
      <c r="I7" s="481" t="s">
        <v>959</v>
      </c>
      <c r="J7" s="481" t="s">
        <v>960</v>
      </c>
      <c r="K7" s="540">
        <v>9</v>
      </c>
      <c r="L7" s="481" t="s">
        <v>961</v>
      </c>
      <c r="M7" s="482" t="s">
        <v>962</v>
      </c>
    </row>
    <row r="8" spans="1:14">
      <c r="A8" s="404"/>
      <c r="B8" s="405"/>
      <c r="C8" s="406"/>
      <c r="D8" s="407"/>
      <c r="E8" s="408"/>
      <c r="F8" s="483"/>
      <c r="G8" s="484"/>
      <c r="H8" s="484"/>
      <c r="I8" s="484"/>
      <c r="J8" s="484"/>
      <c r="K8" s="541"/>
      <c r="L8" s="484"/>
      <c r="M8" s="485"/>
    </row>
    <row r="9" spans="1:14">
      <c r="A9" s="404"/>
      <c r="B9" s="412">
        <v>1</v>
      </c>
      <c r="C9" s="413" t="s">
        <v>901</v>
      </c>
      <c r="D9" s="487">
        <v>1</v>
      </c>
      <c r="E9" s="488" t="s">
        <v>902</v>
      </c>
      <c r="F9" s="489">
        <f>[2]REKAP!$F$11</f>
        <v>260845555.66666672</v>
      </c>
      <c r="G9" s="489">
        <f>'[3]PROGNOSA (2)'!$D$54</f>
        <v>70508220</v>
      </c>
      <c r="H9" s="490">
        <f>'data Prognosa rutin'!T8</f>
        <v>108685648.19444446</v>
      </c>
      <c r="I9" s="490">
        <f>'data Prognosa rutin'!U8</f>
        <v>179193868.19444448</v>
      </c>
      <c r="J9" s="491">
        <f>I9/F9</f>
        <v>0.68697305475058756</v>
      </c>
      <c r="K9" s="542">
        <f>'[26]REKAPITULASI  KAPAL'!$I$11</f>
        <v>223531158.76288658</v>
      </c>
      <c r="L9" s="547">
        <f>K9/F9</f>
        <v>0.8569483125429822</v>
      </c>
      <c r="M9" s="548">
        <f>K9/I9</f>
        <v>1.247426382471589</v>
      </c>
    </row>
    <row r="10" spans="1:14">
      <c r="A10" s="404"/>
      <c r="B10" s="412"/>
      <c r="C10" s="413"/>
      <c r="D10" s="487">
        <v>2</v>
      </c>
      <c r="E10" s="494" t="s">
        <v>903</v>
      </c>
      <c r="F10" s="489">
        <v>994766768</v>
      </c>
      <c r="G10" s="489">
        <f>'[3]PROGNOSA (2)'!$D$55</f>
        <v>801138610</v>
      </c>
      <c r="H10" s="490">
        <f>'data Prognosa rutin'!T9</f>
        <v>0</v>
      </c>
      <c r="I10" s="490">
        <f>'data Prognosa rutin'!U9</f>
        <v>801138610</v>
      </c>
      <c r="J10" s="491">
        <f>I10/F10</f>
        <v>0.80535321019087358</v>
      </c>
      <c r="K10" s="542">
        <f>'[26]REKAPITULASI  KAPAL'!$I$14</f>
        <v>760538833.20000005</v>
      </c>
      <c r="L10" s="547">
        <f t="shared" ref="L10:L14" si="0">K10/F10</f>
        <v>0.76453984759571303</v>
      </c>
      <c r="M10" s="548">
        <f t="shared" ref="M10:M14" si="1">K10/I10</f>
        <v>0.94932240651839273</v>
      </c>
    </row>
    <row r="11" spans="1:14">
      <c r="A11" s="404"/>
      <c r="B11" s="412"/>
      <c r="C11" s="413"/>
      <c r="D11" s="487">
        <v>3</v>
      </c>
      <c r="E11" s="494" t="s">
        <v>32</v>
      </c>
      <c r="F11" s="489">
        <v>294773975</v>
      </c>
      <c r="G11" s="489">
        <f>'[3]PROGNOSA (2)'!$D$56</f>
        <v>177514920</v>
      </c>
      <c r="H11" s="490">
        <f>'data Prognosa rutin'!T10</f>
        <v>122822489.58333334</v>
      </c>
      <c r="I11" s="490">
        <f>'data Prognosa rutin'!U10</f>
        <v>300337409.58333337</v>
      </c>
      <c r="J11" s="491">
        <f>I11/F11</f>
        <v>1.0188735609489725</v>
      </c>
      <c r="K11" s="542">
        <f>'[26]REKAPITULASI  KAPAL'!$I$20</f>
        <v>435264650</v>
      </c>
      <c r="L11" s="547">
        <f t="shared" si="0"/>
        <v>1.4766047443638808</v>
      </c>
      <c r="M11" s="548">
        <f t="shared" si="1"/>
        <v>1.449252194736097</v>
      </c>
    </row>
    <row r="12" spans="1:14">
      <c r="A12" s="404"/>
      <c r="B12" s="412"/>
      <c r="C12" s="413"/>
      <c r="D12" s="487">
        <v>4</v>
      </c>
      <c r="E12" s="494" t="s">
        <v>43</v>
      </c>
      <c r="F12" s="489">
        <v>306018000</v>
      </c>
      <c r="G12" s="489">
        <f>'[3]PROGNOSA (2)'!$D$57</f>
        <v>179754078</v>
      </c>
      <c r="H12" s="490">
        <f>'data Prognosa rutin'!T11</f>
        <v>127507500</v>
      </c>
      <c r="I12" s="490">
        <f>'data Prognosa rutin'!U11</f>
        <v>307261578</v>
      </c>
      <c r="J12" s="491">
        <f>I12/F12</f>
        <v>1.004063741348548</v>
      </c>
      <c r="K12" s="542">
        <f>'[26]REKAPITULASI  KAPAL'!$I$27</f>
        <v>443685430</v>
      </c>
      <c r="L12" s="547">
        <f t="shared" si="0"/>
        <v>1.449867099320955</v>
      </c>
      <c r="M12" s="548">
        <f t="shared" si="1"/>
        <v>1.443999060631004</v>
      </c>
    </row>
    <row r="13" spans="1:14">
      <c r="A13" s="404"/>
      <c r="B13" s="412"/>
      <c r="C13" s="413"/>
      <c r="D13" s="487">
        <v>5</v>
      </c>
      <c r="E13" s="494" t="s">
        <v>904</v>
      </c>
      <c r="F13" s="489">
        <v>149477700</v>
      </c>
      <c r="G13" s="489">
        <f>'[3]PROGNOSA (2)'!$D$53</f>
        <v>186036000</v>
      </c>
      <c r="H13" s="490">
        <f>'data Prognosa rutin'!T12</f>
        <v>0</v>
      </c>
      <c r="I13" s="490">
        <f>'data Prognosa rutin'!U12</f>
        <v>186036000</v>
      </c>
      <c r="J13" s="491">
        <f>I13/F13</f>
        <v>1.2445736052936325</v>
      </c>
      <c r="K13" s="542">
        <f>'[26]REKAPITULASI  KAPAL'!$I$33</f>
        <v>186400000</v>
      </c>
      <c r="L13" s="547">
        <f t="shared" si="0"/>
        <v>1.2470087511381296</v>
      </c>
      <c r="M13" s="548">
        <f t="shared" si="1"/>
        <v>1.0019566105484961</v>
      </c>
      <c r="N13" s="495" t="e">
        <f>#REF!/G13</f>
        <v>#REF!</v>
      </c>
    </row>
    <row r="14" spans="1:14">
      <c r="A14" s="419"/>
      <c r="B14" s="496"/>
      <c r="C14" s="497"/>
      <c r="D14" s="498"/>
      <c r="E14" s="499" t="s">
        <v>905</v>
      </c>
      <c r="F14" s="500">
        <f t="shared" ref="F14:I14" si="2">SUM(F9:F13)</f>
        <v>2005881998.6666667</v>
      </c>
      <c r="G14" s="500">
        <f t="shared" si="2"/>
        <v>1414951828</v>
      </c>
      <c r="H14" s="500">
        <f t="shared" si="2"/>
        <v>359015637.77777779</v>
      </c>
      <c r="I14" s="500">
        <f t="shared" si="2"/>
        <v>1773967465.7777777</v>
      </c>
      <c r="J14" s="501">
        <f>I14/G14</f>
        <v>1.2537299367182255</v>
      </c>
      <c r="K14" s="500">
        <f>SUM(K9:K13)</f>
        <v>2049420071.9628866</v>
      </c>
      <c r="L14" s="549">
        <f t="shared" si="0"/>
        <v>1.0217052016644848</v>
      </c>
      <c r="M14" s="550">
        <f t="shared" si="1"/>
        <v>1.1552748917322109</v>
      </c>
    </row>
    <row r="15" spans="1:14">
      <c r="A15" s="404"/>
      <c r="B15" s="412"/>
      <c r="C15" s="413"/>
      <c r="D15" s="425"/>
      <c r="E15" s="426"/>
      <c r="F15" s="490"/>
      <c r="G15" s="490"/>
      <c r="H15" s="490"/>
      <c r="I15" s="490"/>
      <c r="J15" s="490"/>
      <c r="K15" s="542"/>
      <c r="L15" s="551"/>
      <c r="M15" s="552"/>
    </row>
    <row r="16" spans="1:14">
      <c r="A16" s="419"/>
      <c r="B16" s="412">
        <v>2</v>
      </c>
      <c r="C16" s="413" t="s">
        <v>906</v>
      </c>
      <c r="D16" s="487">
        <v>1</v>
      </c>
      <c r="E16" s="488" t="s">
        <v>902</v>
      </c>
      <c r="F16" s="489">
        <f>[2]REKAP!$F$18</f>
        <v>261345555.66666666</v>
      </c>
      <c r="G16" s="489">
        <f>'[3]PROGNOSA (2)'!D5</f>
        <v>94192480</v>
      </c>
      <c r="H16" s="490">
        <f>'data Prognosa rutin'!T15</f>
        <v>108893981.52777778</v>
      </c>
      <c r="I16" s="490">
        <f>'data Prognosa rutin'!U15</f>
        <v>203086461.52777779</v>
      </c>
      <c r="J16" s="491">
        <f>I16/F16</f>
        <v>0.77708021860071164</v>
      </c>
      <c r="K16" s="542">
        <f>'[26]REKAPITULASI  KAPAL'!$G$11</f>
        <v>204583548.45360824</v>
      </c>
      <c r="L16" s="547">
        <f t="shared" ref="L16:L21" si="3">K16/F16</f>
        <v>0.78280859964018079</v>
      </c>
      <c r="M16" s="548">
        <f t="shared" ref="M16:M21" si="4">K16/I16</f>
        <v>1.0073716727081075</v>
      </c>
    </row>
    <row r="17" spans="1:13">
      <c r="A17" s="404"/>
      <c r="B17" s="412"/>
      <c r="C17" s="413"/>
      <c r="D17" s="487">
        <v>2</v>
      </c>
      <c r="E17" s="494" t="s">
        <v>903</v>
      </c>
      <c r="F17" s="489">
        <f>908852460</f>
        <v>908852460</v>
      </c>
      <c r="G17" s="489">
        <f>'[3]PROGNOSA (2)'!D6</f>
        <v>1661115776</v>
      </c>
      <c r="H17" s="490">
        <f>'data Prognosa rutin'!T16</f>
        <v>0</v>
      </c>
      <c r="I17" s="490">
        <f>'data Prognosa rutin'!U16</f>
        <v>1661115776</v>
      </c>
      <c r="J17" s="491">
        <f>I17/F17</f>
        <v>1.8277067501143145</v>
      </c>
      <c r="K17" s="542">
        <f>'[26]REKAPITULASI  KAPAL'!$G$14</f>
        <v>822284767</v>
      </c>
      <c r="L17" s="547">
        <f t="shared" si="3"/>
        <v>0.90475055434190055</v>
      </c>
      <c r="M17" s="548">
        <f t="shared" si="4"/>
        <v>0.49501953980599606</v>
      </c>
    </row>
    <row r="18" spans="1:13">
      <c r="A18" s="419"/>
      <c r="B18" s="412"/>
      <c r="C18" s="413"/>
      <c r="D18" s="487">
        <v>3</v>
      </c>
      <c r="E18" s="494" t="s">
        <v>32</v>
      </c>
      <c r="F18" s="489">
        <f>278355450</f>
        <v>278355450</v>
      </c>
      <c r="G18" s="489">
        <f>'[3]PROGNOSA (2)'!D7</f>
        <v>315266188</v>
      </c>
      <c r="H18" s="490">
        <f>'data Prognosa rutin'!T17</f>
        <v>115981437.5</v>
      </c>
      <c r="I18" s="490">
        <f>'data Prognosa rutin'!U17</f>
        <v>431247625.5</v>
      </c>
      <c r="J18" s="491">
        <f>I18/F18</f>
        <v>1.5492695598379698</v>
      </c>
      <c r="K18" s="542">
        <f>'[26]REKAPITULASI  KAPAL'!$G$20</f>
        <v>496122900</v>
      </c>
      <c r="L18" s="547">
        <f t="shared" si="3"/>
        <v>1.7823358587015272</v>
      </c>
      <c r="M18" s="548">
        <f t="shared" si="4"/>
        <v>1.1504362474454946</v>
      </c>
    </row>
    <row r="19" spans="1:13">
      <c r="A19" s="419"/>
      <c r="B19" s="412"/>
      <c r="C19" s="413"/>
      <c r="D19" s="487">
        <v>4</v>
      </c>
      <c r="E19" s="494" t="s">
        <v>43</v>
      </c>
      <c r="F19" s="489">
        <f>243024000</f>
        <v>243024000</v>
      </c>
      <c r="G19" s="489">
        <f>'[3]PROGNOSA (2)'!D8</f>
        <v>220917700</v>
      </c>
      <c r="H19" s="490">
        <f>'data Prognosa rutin'!T18</f>
        <v>101260000</v>
      </c>
      <c r="I19" s="490">
        <f>'data Prognosa rutin'!U18</f>
        <v>322177700</v>
      </c>
      <c r="J19" s="491">
        <f>I19/F19</f>
        <v>1.3257032227269734</v>
      </c>
      <c r="K19" s="542">
        <f>'[26]REKAPITULASI  KAPAL'!$G$27</f>
        <v>478047520</v>
      </c>
      <c r="L19" s="547">
        <f t="shared" si="3"/>
        <v>1.967079465402594</v>
      </c>
      <c r="M19" s="548">
        <f t="shared" si="4"/>
        <v>1.4838007720584012</v>
      </c>
    </row>
    <row r="20" spans="1:13">
      <c r="A20" s="419"/>
      <c r="B20" s="412"/>
      <c r="C20" s="413"/>
      <c r="D20" s="487">
        <v>5</v>
      </c>
      <c r="E20" s="494" t="s">
        <v>904</v>
      </c>
      <c r="F20" s="489">
        <f>109477700</f>
        <v>109477700</v>
      </c>
      <c r="G20" s="489">
        <f>'[3]PROGNOSA (2)'!$D$4</f>
        <v>115495500</v>
      </c>
      <c r="H20" s="490">
        <f>'data Prognosa rutin'!T19</f>
        <v>0</v>
      </c>
      <c r="I20" s="490">
        <f>'data Prognosa rutin'!U19</f>
        <v>115495500</v>
      </c>
      <c r="J20" s="491">
        <f>I20/F20</f>
        <v>1.0549682720773272</v>
      </c>
      <c r="K20" s="542">
        <f>'[26]REKAPITULASI  KAPAL'!$G$33</f>
        <v>151000000</v>
      </c>
      <c r="L20" s="547">
        <f t="shared" si="3"/>
        <v>1.3792763275077937</v>
      </c>
      <c r="M20" s="548">
        <f t="shared" si="4"/>
        <v>1.3074102454208172</v>
      </c>
    </row>
    <row r="21" spans="1:13">
      <c r="A21" s="419"/>
      <c r="B21" s="427"/>
      <c r="C21" s="428"/>
      <c r="D21" s="429"/>
      <c r="E21" s="430" t="s">
        <v>905</v>
      </c>
      <c r="F21" s="500">
        <f t="shared" ref="F21:I21" si="5">SUM(F16:F20)</f>
        <v>1801055165.6666667</v>
      </c>
      <c r="G21" s="500">
        <f t="shared" si="5"/>
        <v>2406987644</v>
      </c>
      <c r="H21" s="500">
        <f t="shared" ref="H21" si="6">SUM(H16:H20)</f>
        <v>326135419.02777779</v>
      </c>
      <c r="I21" s="500">
        <f t="shared" si="5"/>
        <v>2733123063.0277777</v>
      </c>
      <c r="J21" s="501">
        <f>I21/G21</f>
        <v>1.1354952609917834</v>
      </c>
      <c r="K21" s="500">
        <f>SUM(K16:K20)</f>
        <v>2152038735.4536085</v>
      </c>
      <c r="L21" s="549">
        <f t="shared" si="3"/>
        <v>1.1948766348070321</v>
      </c>
      <c r="M21" s="550">
        <f t="shared" si="4"/>
        <v>0.78739181728230023</v>
      </c>
    </row>
    <row r="22" spans="1:13" s="504" customFormat="1" ht="16.5" customHeight="1">
      <c r="B22" s="505"/>
      <c r="C22" s="506"/>
      <c r="D22" s="507"/>
      <c r="E22" s="508"/>
      <c r="F22" s="489"/>
      <c r="G22" s="489"/>
      <c r="H22" s="489"/>
      <c r="I22" s="489"/>
      <c r="J22" s="489"/>
      <c r="K22" s="543"/>
      <c r="L22" s="553"/>
      <c r="M22" s="554"/>
    </row>
    <row r="23" spans="1:13">
      <c r="A23" s="510"/>
      <c r="B23" s="412">
        <v>3</v>
      </c>
      <c r="C23" s="413" t="s">
        <v>907</v>
      </c>
      <c r="D23" s="487">
        <v>1</v>
      </c>
      <c r="E23" s="488" t="s">
        <v>902</v>
      </c>
      <c r="F23" s="489">
        <f>[2]REKAP!$F$25</f>
        <v>261345555.66666701</v>
      </c>
      <c r="G23" s="489">
        <f>'[3]PROGNOSA (2)'!D29</f>
        <v>69992480</v>
      </c>
      <c r="H23" s="490">
        <f>'data Prognosa rutin'!T22</f>
        <v>108893981.52777793</v>
      </c>
      <c r="I23" s="490">
        <f>'data Prognosa rutin'!U22</f>
        <v>178886461.52777791</v>
      </c>
      <c r="J23" s="491">
        <f>I23/F23</f>
        <v>0.68448250849897174</v>
      </c>
      <c r="K23" s="542">
        <f>'[26]REKAPITULASI  KAPAL'!$E$11</f>
        <v>223941107.21649486</v>
      </c>
      <c r="L23" s="547">
        <f t="shared" ref="L23:L28" si="7">K23/F23</f>
        <v>0.85687742668989697</v>
      </c>
      <c r="M23" s="548">
        <f t="shared" ref="M23:M28" si="8">K23/I23</f>
        <v>1.251861685361364</v>
      </c>
    </row>
    <row r="24" spans="1:13">
      <c r="A24" s="404"/>
      <c r="B24" s="412"/>
      <c r="C24" s="413"/>
      <c r="D24" s="487">
        <v>2</v>
      </c>
      <c r="E24" s="494" t="s">
        <v>903</v>
      </c>
      <c r="F24" s="489">
        <v>849098940</v>
      </c>
      <c r="G24" s="489">
        <f>'[3]PROGNOSA (2)'!D30</f>
        <v>1838757695</v>
      </c>
      <c r="H24" s="490">
        <f>'data Prognosa rutin'!T23</f>
        <v>0</v>
      </c>
      <c r="I24" s="490">
        <f>'data Prognosa rutin'!U23</f>
        <v>1838757695</v>
      </c>
      <c r="J24" s="491">
        <f>I24/F24</f>
        <v>2.1655399722910973</v>
      </c>
      <c r="K24" s="542">
        <f>'[26]REKAPITULASI  KAPAL'!$E$14</f>
        <v>829414900</v>
      </c>
      <c r="L24" s="547">
        <f t="shared" si="7"/>
        <v>0.97681773104086078</v>
      </c>
      <c r="M24" s="548">
        <f t="shared" si="8"/>
        <v>0.45107351678547292</v>
      </c>
    </row>
    <row r="25" spans="1:13">
      <c r="A25" s="404"/>
      <c r="B25" s="412"/>
      <c r="C25" s="413"/>
      <c r="D25" s="487">
        <v>3</v>
      </c>
      <c r="E25" s="494" t="s">
        <v>32</v>
      </c>
      <c r="F25" s="489">
        <v>262104333</v>
      </c>
      <c r="G25" s="489">
        <f>'[3]PROGNOSA (2)'!D31</f>
        <v>249673250</v>
      </c>
      <c r="H25" s="490">
        <f>'data Prognosa rutin'!T24</f>
        <v>109210138.75</v>
      </c>
      <c r="I25" s="490">
        <f>'data Prognosa rutin'!U24</f>
        <v>358883388.75</v>
      </c>
      <c r="J25" s="491">
        <f>I25/F25</f>
        <v>1.3692386716475993</v>
      </c>
      <c r="K25" s="542">
        <f>'[26]REKAPITULASI  KAPAL'!$E$20</f>
        <v>507260900</v>
      </c>
      <c r="L25" s="547">
        <f t="shared" si="7"/>
        <v>1.9353396191279295</v>
      </c>
      <c r="M25" s="548">
        <f t="shared" si="8"/>
        <v>1.4134421260532639</v>
      </c>
    </row>
    <row r="26" spans="1:13">
      <c r="A26" s="404"/>
      <c r="B26" s="412"/>
      <c r="C26" s="413"/>
      <c r="D26" s="487">
        <v>4</v>
      </c>
      <c r="E26" s="494" t="s">
        <v>43</v>
      </c>
      <c r="F26" s="489">
        <v>316778000</v>
      </c>
      <c r="G26" s="489">
        <f>'[3]PROGNOSA (2)'!D32</f>
        <v>297756800</v>
      </c>
      <c r="H26" s="490">
        <f>'data Prognosa rutin'!T25</f>
        <v>131990833.33333334</v>
      </c>
      <c r="I26" s="490">
        <f>'data Prognosa rutin'!U25</f>
        <v>429747633.33333337</v>
      </c>
      <c r="J26" s="491">
        <f>I26/F26</f>
        <v>1.356620830150242</v>
      </c>
      <c r="K26" s="542">
        <f>'[26]REKAPITULASI  KAPAL'!$E$27</f>
        <v>477311186.66666663</v>
      </c>
      <c r="L26" s="547">
        <f t="shared" si="7"/>
        <v>1.50676873604438</v>
      </c>
      <c r="M26" s="548">
        <f t="shared" si="8"/>
        <v>1.1106778714856602</v>
      </c>
    </row>
    <row r="27" spans="1:13">
      <c r="A27" s="404"/>
      <c r="B27" s="412"/>
      <c r="C27" s="413"/>
      <c r="D27" s="487">
        <v>5</v>
      </c>
      <c r="E27" s="494" t="s">
        <v>904</v>
      </c>
      <c r="F27" s="489">
        <v>126554300</v>
      </c>
      <c r="G27" s="489">
        <f>'[3]PROGNOSA (2)'!$D$28</f>
        <v>186800000</v>
      </c>
      <c r="H27" s="490">
        <f>'data Prognosa rutin'!T26</f>
        <v>0</v>
      </c>
      <c r="I27" s="490">
        <f>'data Prognosa rutin'!U26</f>
        <v>186800000</v>
      </c>
      <c r="J27" s="491">
        <f>I27/F27</f>
        <v>1.4760462505027485</v>
      </c>
      <c r="K27" s="542">
        <f>'[26]REKAPITULASI  KAPAL'!$E$33</f>
        <v>189000000</v>
      </c>
      <c r="L27" s="547">
        <f t="shared" si="7"/>
        <v>1.4934300928534234</v>
      </c>
      <c r="M27" s="548">
        <f t="shared" si="8"/>
        <v>1.0117773019271949</v>
      </c>
    </row>
    <row r="28" spans="1:13">
      <c r="A28" s="419"/>
      <c r="B28" s="496"/>
      <c r="C28" s="497"/>
      <c r="D28" s="498"/>
      <c r="E28" s="499" t="s">
        <v>905</v>
      </c>
      <c r="F28" s="500">
        <f t="shared" ref="F28:I28" si="9">SUM(F23:F27)</f>
        <v>1815881128.666667</v>
      </c>
      <c r="G28" s="500">
        <f t="shared" si="9"/>
        <v>2642980225</v>
      </c>
      <c r="H28" s="500">
        <f t="shared" si="9"/>
        <v>350094953.61111128</v>
      </c>
      <c r="I28" s="500">
        <f t="shared" si="9"/>
        <v>2993075178.6111112</v>
      </c>
      <c r="J28" s="501">
        <f>I28/G28</f>
        <v>1.1324621918467479</v>
      </c>
      <c r="K28" s="500">
        <f>SUM(K23:K27)</f>
        <v>2226928093.8831615</v>
      </c>
      <c r="L28" s="549">
        <f t="shared" si="7"/>
        <v>1.2263622649783859</v>
      </c>
      <c r="M28" s="550">
        <f t="shared" si="8"/>
        <v>0.74402678215270623</v>
      </c>
    </row>
    <row r="29" spans="1:13">
      <c r="A29" s="404"/>
      <c r="B29" s="412"/>
      <c r="C29" s="413"/>
      <c r="D29" s="425"/>
      <c r="E29" s="426"/>
      <c r="F29" s="490"/>
      <c r="G29" s="490"/>
      <c r="H29" s="490"/>
      <c r="I29" s="490"/>
      <c r="J29" s="490"/>
      <c r="K29" s="542"/>
      <c r="L29" s="551"/>
      <c r="M29" s="552"/>
    </row>
    <row r="30" spans="1:13">
      <c r="A30" s="404"/>
      <c r="B30" s="412">
        <v>4</v>
      </c>
      <c r="C30" s="413" t="s">
        <v>908</v>
      </c>
      <c r="D30" s="487">
        <v>1</v>
      </c>
      <c r="E30" s="488" t="s">
        <v>902</v>
      </c>
      <c r="F30" s="489">
        <f>[2]REKAP!$F$32</f>
        <v>248255101.12121215</v>
      </c>
      <c r="G30" s="489">
        <f>'[3]PROGNOSA (2)'!D17</f>
        <v>86892480</v>
      </c>
      <c r="H30" s="490">
        <f>'data Prognosa rutin'!T29</f>
        <v>103439625.46717173</v>
      </c>
      <c r="I30" s="490">
        <f>'data Prognosa rutin'!U29</f>
        <v>190332105.46717173</v>
      </c>
      <c r="J30" s="491">
        <f>I30/F30</f>
        <v>0.76667953491211793</v>
      </c>
      <c r="K30" s="542">
        <f>'[26]REKAPITULASI  KAPAL'!$H$11</f>
        <v>215980288.65979376</v>
      </c>
      <c r="L30" s="547">
        <f t="shared" ref="L30:L35" si="10">K30/F30</f>
        <v>0.86999335636748909</v>
      </c>
      <c r="M30" s="548">
        <f t="shared" ref="M30:M35" si="11">K30/I30</f>
        <v>1.1347548966038512</v>
      </c>
    </row>
    <row r="31" spans="1:13">
      <c r="A31" s="404"/>
      <c r="B31" s="412"/>
      <c r="C31" s="413"/>
      <c r="D31" s="487">
        <v>2</v>
      </c>
      <c r="E31" s="494" t="s">
        <v>903</v>
      </c>
      <c r="F31" s="489">
        <v>790664322</v>
      </c>
      <c r="G31" s="489">
        <f>'[3]PROGNOSA (2)'!D18</f>
        <v>884763187</v>
      </c>
      <c r="H31" s="490">
        <f>'data Prognosa rutin'!T30</f>
        <v>0</v>
      </c>
      <c r="I31" s="490">
        <f>'data Prognosa rutin'!U30</f>
        <v>884763187</v>
      </c>
      <c r="J31" s="491">
        <f>I31/F31</f>
        <v>1.1190124081506234</v>
      </c>
      <c r="K31" s="542">
        <f>'[26]REKAPITULASI  KAPAL'!$H$14</f>
        <v>736184817</v>
      </c>
      <c r="L31" s="547">
        <f t="shared" si="10"/>
        <v>0.93109654314210977</v>
      </c>
      <c r="M31" s="548">
        <f t="shared" si="11"/>
        <v>0.8320699005303438</v>
      </c>
    </row>
    <row r="32" spans="1:13">
      <c r="A32" s="404"/>
      <c r="B32" s="412"/>
      <c r="C32" s="413"/>
      <c r="D32" s="487">
        <v>3</v>
      </c>
      <c r="E32" s="494" t="s">
        <v>32</v>
      </c>
      <c r="F32" s="489">
        <v>224275761</v>
      </c>
      <c r="G32" s="489">
        <f>'[3]PROGNOSA (2)'!D19</f>
        <v>169048600</v>
      </c>
      <c r="H32" s="490">
        <f>'data Prognosa rutin'!T31</f>
        <v>93448233.75</v>
      </c>
      <c r="I32" s="490">
        <f>'data Prognosa rutin'!U31</f>
        <v>262496833.75</v>
      </c>
      <c r="J32" s="491">
        <f>I32/F32</f>
        <v>1.1704199891222307</v>
      </c>
      <c r="K32" s="542">
        <f>'[26]REKAPITULASI  KAPAL'!$H$20</f>
        <v>480650200</v>
      </c>
      <c r="L32" s="547">
        <f t="shared" si="10"/>
        <v>2.1431214762437034</v>
      </c>
      <c r="M32" s="548">
        <f t="shared" si="11"/>
        <v>1.831070467149968</v>
      </c>
    </row>
    <row r="33" spans="1:23">
      <c r="A33" s="404"/>
      <c r="B33" s="412"/>
      <c r="C33" s="413"/>
      <c r="D33" s="487">
        <v>4</v>
      </c>
      <c r="E33" s="494" t="s">
        <v>43</v>
      </c>
      <c r="F33" s="489">
        <v>322506800</v>
      </c>
      <c r="G33" s="489">
        <f>'[3]PROGNOSA (2)'!D20</f>
        <v>211288362</v>
      </c>
      <c r="H33" s="490">
        <f>'data Prognosa rutin'!T32</f>
        <v>134377833.33333334</v>
      </c>
      <c r="I33" s="490">
        <f>'data Prognosa rutin'!U32</f>
        <v>345666195.33333337</v>
      </c>
      <c r="J33" s="491">
        <f>I33/F33</f>
        <v>1.0718105644077376</v>
      </c>
      <c r="K33" s="542">
        <f>'[26]REKAPITULASI  KAPAL'!$H$27</f>
        <v>450467330</v>
      </c>
      <c r="L33" s="547">
        <f t="shared" si="10"/>
        <v>1.3967684712384358</v>
      </c>
      <c r="M33" s="548">
        <f t="shared" si="11"/>
        <v>1.3031859524637768</v>
      </c>
    </row>
    <row r="34" spans="1:23">
      <c r="A34" s="404"/>
      <c r="B34" s="412"/>
      <c r="C34" s="413"/>
      <c r="D34" s="487">
        <v>5</v>
      </c>
      <c r="E34" s="494" t="s">
        <v>904</v>
      </c>
      <c r="F34" s="489">
        <v>125798050</v>
      </c>
      <c r="G34" s="489">
        <f>'[3]PROGNOSA (2)'!$D$16</f>
        <v>18348000</v>
      </c>
      <c r="H34" s="490">
        <f>'data Prognosa rutin'!T33</f>
        <v>0</v>
      </c>
      <c r="I34" s="490">
        <f>'data Prognosa rutin'!U33</f>
        <v>18348000</v>
      </c>
      <c r="J34" s="491">
        <f>I34/F34</f>
        <v>0.14585281727339972</v>
      </c>
      <c r="K34" s="542">
        <f>'[26]REKAPITULASI  KAPAL'!$H$33</f>
        <v>162705439.54166666</v>
      </c>
      <c r="L34" s="547">
        <f t="shared" si="10"/>
        <v>1.2933860226105782</v>
      </c>
      <c r="M34" s="548">
        <f t="shared" si="11"/>
        <v>8.8677479584514209</v>
      </c>
    </row>
    <row r="35" spans="1:23">
      <c r="A35" s="419"/>
      <c r="B35" s="496"/>
      <c r="C35" s="497"/>
      <c r="D35" s="498"/>
      <c r="E35" s="499" t="s">
        <v>905</v>
      </c>
      <c r="F35" s="500">
        <f t="shared" ref="F35:I35" si="12">SUM(F30:F34)</f>
        <v>1711500034.121212</v>
      </c>
      <c r="G35" s="500">
        <f t="shared" si="12"/>
        <v>1370340629</v>
      </c>
      <c r="H35" s="500">
        <f t="shared" si="12"/>
        <v>331265692.55050504</v>
      </c>
      <c r="I35" s="500">
        <f t="shared" si="12"/>
        <v>1701606321.5505052</v>
      </c>
      <c r="J35" s="501">
        <f>I35/G35</f>
        <v>1.2417396708088884</v>
      </c>
      <c r="K35" s="500">
        <f>SUM(K30:K34)</f>
        <v>2045988075.2014606</v>
      </c>
      <c r="L35" s="549">
        <f t="shared" si="10"/>
        <v>1.1954356029282787</v>
      </c>
      <c r="M35" s="550">
        <f t="shared" si="11"/>
        <v>1.202386268368558</v>
      </c>
    </row>
    <row r="36" spans="1:23">
      <c r="A36" s="404"/>
      <c r="B36" s="412"/>
      <c r="C36" s="413"/>
      <c r="D36" s="425"/>
      <c r="E36" s="426"/>
      <c r="F36" s="490"/>
      <c r="G36" s="490"/>
      <c r="H36" s="490"/>
      <c r="I36" s="490"/>
      <c r="J36" s="490"/>
      <c r="K36" s="542"/>
      <c r="L36" s="551"/>
      <c r="M36" s="552"/>
    </row>
    <row r="37" spans="1:23">
      <c r="A37" s="404"/>
      <c r="B37" s="412">
        <v>5</v>
      </c>
      <c r="C37" s="413" t="s">
        <v>909</v>
      </c>
      <c r="D37" s="487">
        <v>1</v>
      </c>
      <c r="E37" s="488" t="s">
        <v>902</v>
      </c>
      <c r="F37" s="489">
        <f>[2]REKAP!$F$46</f>
        <v>261345555.6666666</v>
      </c>
      <c r="G37" s="489">
        <f>'[3]PROGNOSA (2)'!D42</f>
        <v>103192480</v>
      </c>
      <c r="H37" s="490">
        <f>'data Prognosa rutin'!T36</f>
        <v>108893981.52777775</v>
      </c>
      <c r="I37" s="490">
        <f>'data Prognosa rutin'!U36</f>
        <v>212086461.52777773</v>
      </c>
      <c r="J37" s="491">
        <f>I37/F37</f>
        <v>0.81151738351458169</v>
      </c>
      <c r="K37" s="542">
        <f>'[26]REKAPITULASI  KAPAL'!$J$11</f>
        <v>227045896.90721652</v>
      </c>
      <c r="L37" s="547">
        <f t="shared" ref="L37:L42" si="13">K37/F37</f>
        <v>0.86875744386792786</v>
      </c>
      <c r="M37" s="548">
        <f t="shared" ref="M37:M42" si="14">K37/I37</f>
        <v>1.0705346077806079</v>
      </c>
    </row>
    <row r="38" spans="1:23">
      <c r="A38" s="404"/>
      <c r="B38" s="412"/>
      <c r="C38" s="413"/>
      <c r="D38" s="487">
        <v>2</v>
      </c>
      <c r="E38" s="494" t="s">
        <v>903</v>
      </c>
      <c r="F38" s="489">
        <v>847824785</v>
      </c>
      <c r="G38" s="489">
        <f>'[3]PROGNOSA (2)'!D43</f>
        <v>1252641038</v>
      </c>
      <c r="H38" s="490">
        <f>'data Prognosa rutin'!T37</f>
        <v>0</v>
      </c>
      <c r="I38" s="490">
        <f>'data Prognosa rutin'!U37</f>
        <v>1252641038</v>
      </c>
      <c r="J38" s="491">
        <f>I38/F38</f>
        <v>1.4774763136937545</v>
      </c>
      <c r="K38" s="542">
        <f>'[26]REKAPITULASI  KAPAL'!$J$14</f>
        <v>744524135.00000012</v>
      </c>
      <c r="L38" s="547">
        <f t="shared" si="13"/>
        <v>0.87815802058676562</v>
      </c>
      <c r="M38" s="548">
        <f t="shared" si="14"/>
        <v>0.5943635186890629</v>
      </c>
      <c r="P38" s="511">
        <f>338697163/2</f>
        <v>169348581.5</v>
      </c>
    </row>
    <row r="39" spans="1:23">
      <c r="A39" s="404"/>
      <c r="B39" s="412"/>
      <c r="C39" s="413"/>
      <c r="D39" s="487">
        <v>3</v>
      </c>
      <c r="E39" s="494" t="s">
        <v>32</v>
      </c>
      <c r="F39" s="489">
        <v>315284392</v>
      </c>
      <c r="G39" s="489">
        <f>'[3]PROGNOSA (2)'!D44</f>
        <v>36200500</v>
      </c>
      <c r="H39" s="490">
        <f>'data Prognosa rutin'!T38</f>
        <v>131368496.66666666</v>
      </c>
      <c r="I39" s="490">
        <f>'data Prognosa rutin'!U38</f>
        <v>167568996.66666666</v>
      </c>
      <c r="J39" s="491">
        <f>I39/F39</f>
        <v>0.53148522704754331</v>
      </c>
      <c r="K39" s="542">
        <f>'[26]REKAPITULASI  KAPAL'!$J$20</f>
        <v>474731600</v>
      </c>
      <c r="L39" s="547">
        <f t="shared" si="13"/>
        <v>1.5057250280882919</v>
      </c>
      <c r="M39" s="548">
        <f t="shared" si="14"/>
        <v>2.8330515157547342</v>
      </c>
      <c r="P39" s="511">
        <v>74453308</v>
      </c>
    </row>
    <row r="40" spans="1:23">
      <c r="A40" s="404"/>
      <c r="B40" s="412"/>
      <c r="C40" s="413"/>
      <c r="D40" s="487">
        <v>4</v>
      </c>
      <c r="E40" s="494" t="s">
        <v>43</v>
      </c>
      <c r="F40" s="489">
        <v>319556100</v>
      </c>
      <c r="G40" s="489">
        <f>'[3]PROGNOSA (2)'!D45</f>
        <v>80313000</v>
      </c>
      <c r="H40" s="490">
        <f>'data Prognosa rutin'!T39</f>
        <v>133148375</v>
      </c>
      <c r="I40" s="490">
        <f>'data Prognosa rutin'!U39</f>
        <v>213461375</v>
      </c>
      <c r="J40" s="491">
        <f>I40/F40</f>
        <v>0.66799342900980452</v>
      </c>
      <c r="K40" s="542">
        <f>'[26]REKAPITULASI  KAPAL'!$J$27</f>
        <v>406756495</v>
      </c>
      <c r="L40" s="547">
        <f t="shared" si="13"/>
        <v>1.2728797697806427</v>
      </c>
      <c r="M40" s="548">
        <f t="shared" si="14"/>
        <v>1.9055273817101572</v>
      </c>
      <c r="P40" s="511">
        <v>79000000</v>
      </c>
    </row>
    <row r="41" spans="1:23">
      <c r="A41" s="404"/>
      <c r="B41" s="412"/>
      <c r="C41" s="413"/>
      <c r="D41" s="487">
        <v>5</v>
      </c>
      <c r="E41" s="494" t="s">
        <v>904</v>
      </c>
      <c r="F41" s="489">
        <v>222399646</v>
      </c>
      <c r="G41" s="489">
        <f>'[3]PROGNOSA (2)'!$D$41</f>
        <v>116550000</v>
      </c>
      <c r="H41" s="490">
        <f>'data Prognosa rutin'!T40</f>
        <v>0</v>
      </c>
      <c r="I41" s="490">
        <f>'data Prognosa rutin'!U40</f>
        <v>116550000</v>
      </c>
      <c r="J41" s="491">
        <f>I41/F41</f>
        <v>0.52405658955050671</v>
      </c>
      <c r="K41" s="542">
        <f>'[26]REKAPITULASI  KAPAL'!$J$33</f>
        <v>159000000</v>
      </c>
      <c r="L41" s="547">
        <f t="shared" si="13"/>
        <v>0.71492919552578782</v>
      </c>
      <c r="M41" s="548">
        <f t="shared" si="14"/>
        <v>1.3642213642213643</v>
      </c>
      <c r="P41" s="511">
        <v>16175000</v>
      </c>
    </row>
    <row r="42" spans="1:23">
      <c r="A42" s="419"/>
      <c r="B42" s="496"/>
      <c r="C42" s="497"/>
      <c r="D42" s="498"/>
      <c r="E42" s="499" t="s">
        <v>905</v>
      </c>
      <c r="F42" s="500">
        <f t="shared" ref="F42:I42" si="15">SUM(F37:F41)</f>
        <v>1966410478.6666665</v>
      </c>
      <c r="G42" s="500">
        <f t="shared" si="15"/>
        <v>1588897018</v>
      </c>
      <c r="H42" s="500">
        <f t="shared" si="15"/>
        <v>373410853.19444442</v>
      </c>
      <c r="I42" s="500">
        <f t="shared" si="15"/>
        <v>1962307871.1944444</v>
      </c>
      <c r="J42" s="501">
        <f>I42/G42</f>
        <v>1.2350126213116503</v>
      </c>
      <c r="K42" s="500">
        <f>SUM(K37:K41)</f>
        <v>2012058126.9072165</v>
      </c>
      <c r="L42" s="549">
        <f t="shared" si="13"/>
        <v>1.0232136925305146</v>
      </c>
      <c r="M42" s="550">
        <f t="shared" si="14"/>
        <v>1.0253529308234846</v>
      </c>
      <c r="O42" s="486" t="s">
        <v>949</v>
      </c>
      <c r="P42" s="511">
        <f>SUM(P38:P41)</f>
        <v>338976889.5</v>
      </c>
    </row>
    <row r="43" spans="1:23">
      <c r="A43" s="404"/>
      <c r="B43" s="412"/>
      <c r="C43" s="413"/>
      <c r="D43" s="425"/>
      <c r="E43" s="426"/>
      <c r="F43" s="490"/>
      <c r="G43" s="490"/>
      <c r="H43" s="490"/>
      <c r="I43" s="490"/>
      <c r="J43" s="490"/>
      <c r="K43" s="542"/>
      <c r="L43" s="551"/>
      <c r="M43" s="552"/>
      <c r="O43" s="486" t="s">
        <v>950</v>
      </c>
      <c r="P43" s="511">
        <v>78642396</v>
      </c>
    </row>
    <row r="44" spans="1:23">
      <c r="A44" s="419"/>
      <c r="B44" s="412">
        <v>6</v>
      </c>
      <c r="C44" s="413" t="s">
        <v>910</v>
      </c>
      <c r="D44" s="487">
        <v>1</v>
      </c>
      <c r="E44" s="488" t="s">
        <v>902</v>
      </c>
      <c r="F44" s="489">
        <f>[2]REKAP!$F$39</f>
        <v>246262676.87878782</v>
      </c>
      <c r="G44" s="489">
        <f>'[3]PROGNOSA (2)'!D67</f>
        <v>70508220</v>
      </c>
      <c r="H44" s="490">
        <f>'data Prognosa rutin'!T43</f>
        <v>102609448.69949491</v>
      </c>
      <c r="I44" s="490">
        <f>'data Prognosa rutin'!U43</f>
        <v>173117668.6994949</v>
      </c>
      <c r="J44" s="491">
        <f>I44/F44</f>
        <v>0.70297972430757183</v>
      </c>
      <c r="K44" s="542">
        <f>'[26]REKAPITULASI  KAPAL'!$F$11</f>
        <v>231995896.90721652</v>
      </c>
      <c r="L44" s="547">
        <f t="shared" ref="L44:L49" si="16">K44/F44</f>
        <v>0.94206682006224796</v>
      </c>
      <c r="M44" s="548">
        <f t="shared" ref="M44:M49" si="17">K44/I44</f>
        <v>1.3401052512434475</v>
      </c>
      <c r="N44" s="511"/>
      <c r="O44" s="486" t="s">
        <v>951</v>
      </c>
      <c r="P44" s="511">
        <v>134713425</v>
      </c>
      <c r="R44" s="486" t="s">
        <v>821</v>
      </c>
      <c r="S44" s="486" t="s">
        <v>822</v>
      </c>
      <c r="T44" s="486" t="s">
        <v>835</v>
      </c>
      <c r="U44" s="486" t="s">
        <v>842</v>
      </c>
    </row>
    <row r="45" spans="1:23" ht="14.25" customHeight="1">
      <c r="A45" s="404"/>
      <c r="B45" s="412"/>
      <c r="C45" s="591"/>
      <c r="D45" s="487">
        <v>2</v>
      </c>
      <c r="E45" s="494" t="s">
        <v>903</v>
      </c>
      <c r="F45" s="489">
        <v>876755778</v>
      </c>
      <c r="G45" s="489">
        <f>'[3]PROGNOSA (2)'!D68</f>
        <v>653548850</v>
      </c>
      <c r="H45" s="490">
        <f>'data Prognosa rutin'!T44</f>
        <v>0</v>
      </c>
      <c r="I45" s="490">
        <f>'data Prognosa rutin'!U44</f>
        <v>653548850</v>
      </c>
      <c r="J45" s="491">
        <f>I45/F45</f>
        <v>0.74541721468985855</v>
      </c>
      <c r="K45" s="542">
        <f>'[26]REKAPITULASI  KAPAL'!$F$14</f>
        <v>778102700.5</v>
      </c>
      <c r="L45" s="547">
        <f t="shared" si="16"/>
        <v>0.88747940991613283</v>
      </c>
      <c r="M45" s="548">
        <f t="shared" si="17"/>
        <v>1.190580781375409</v>
      </c>
      <c r="N45" s="512"/>
      <c r="O45" s="486" t="s">
        <v>952</v>
      </c>
      <c r="P45" s="511">
        <v>99294580</v>
      </c>
      <c r="R45" s="511">
        <v>28744815.000000004</v>
      </c>
      <c r="S45" s="511">
        <v>21600000</v>
      </c>
      <c r="T45" s="511">
        <v>32400000</v>
      </c>
      <c r="U45" s="511">
        <v>45040000</v>
      </c>
      <c r="V45" s="511">
        <f>SUM(R45:U45)</f>
        <v>127784815</v>
      </c>
      <c r="W45" s="511">
        <f>SUM(S45:U45)</f>
        <v>99040000</v>
      </c>
    </row>
    <row r="46" spans="1:23">
      <c r="A46" s="419"/>
      <c r="B46" s="412"/>
      <c r="C46" s="591"/>
      <c r="D46" s="487">
        <v>3</v>
      </c>
      <c r="E46" s="494" t="s">
        <v>32</v>
      </c>
      <c r="F46" s="489">
        <v>299803810</v>
      </c>
      <c r="G46" s="489">
        <f>'[3]PROGNOSA (2)'!D69</f>
        <v>213177250</v>
      </c>
      <c r="H46" s="490">
        <f>'data Prognosa rutin'!T45</f>
        <v>124918254.16666666</v>
      </c>
      <c r="I46" s="490">
        <f>'data Prognosa rutin'!U45</f>
        <v>338095504.16666663</v>
      </c>
      <c r="J46" s="491">
        <f>I46/F46</f>
        <v>1.1277225068175973</v>
      </c>
      <c r="K46" s="542">
        <f>'[26]REKAPITULASI  KAPAL'!$F$20</f>
        <v>408619400</v>
      </c>
      <c r="L46" s="547">
        <f t="shared" si="16"/>
        <v>1.3629559944551739</v>
      </c>
      <c r="M46" s="548">
        <f t="shared" si="17"/>
        <v>1.2085916404217198</v>
      </c>
      <c r="O46" s="486" t="s">
        <v>758</v>
      </c>
      <c r="P46" s="511">
        <v>11594033</v>
      </c>
      <c r="R46" s="511">
        <v>0</v>
      </c>
      <c r="S46" s="511">
        <v>0</v>
      </c>
      <c r="T46" s="511">
        <v>0</v>
      </c>
      <c r="U46" s="511">
        <v>0</v>
      </c>
      <c r="V46" s="511">
        <f>SUM(R46:U46)</f>
        <v>0</v>
      </c>
    </row>
    <row r="47" spans="1:23">
      <c r="A47" s="419"/>
      <c r="B47" s="412"/>
      <c r="C47" s="591"/>
      <c r="D47" s="487">
        <v>4</v>
      </c>
      <c r="E47" s="494" t="s">
        <v>43</v>
      </c>
      <c r="F47" s="489">
        <v>338927600</v>
      </c>
      <c r="G47" s="489">
        <f>'[3]PROGNOSA (2)'!D70</f>
        <v>232968700</v>
      </c>
      <c r="H47" s="490">
        <f>'data Prognosa rutin'!T46</f>
        <v>141219833.33333334</v>
      </c>
      <c r="I47" s="490">
        <f>'data Prognosa rutin'!U46</f>
        <v>374188533.33333337</v>
      </c>
      <c r="J47" s="491">
        <f>I47/F47</f>
        <v>1.1040367716684429</v>
      </c>
      <c r="K47" s="542">
        <f>'[26]REKAPITULASI  KAPAL'!$F$27</f>
        <v>424053070</v>
      </c>
      <c r="L47" s="547">
        <f t="shared" si="16"/>
        <v>1.2511612214526051</v>
      </c>
      <c r="M47" s="548">
        <f t="shared" si="17"/>
        <v>1.1332604615712434</v>
      </c>
      <c r="R47" s="511">
        <v>15583450</v>
      </c>
      <c r="S47" s="511">
        <v>4572000</v>
      </c>
      <c r="T47" s="511">
        <v>65747000</v>
      </c>
      <c r="U47" s="511">
        <v>37969018.814999998</v>
      </c>
      <c r="V47" s="511">
        <f>SUM(R47:U47)</f>
        <v>123871468.815</v>
      </c>
      <c r="W47" s="511">
        <f>SUM(S47:U47)</f>
        <v>108288018.815</v>
      </c>
    </row>
    <row r="48" spans="1:23" ht="14.25" customHeight="1">
      <c r="A48" s="419"/>
      <c r="B48" s="412"/>
      <c r="C48" s="413"/>
      <c r="D48" s="487">
        <v>5</v>
      </c>
      <c r="E48" s="494" t="s">
        <v>904</v>
      </c>
      <c r="F48" s="489">
        <v>189877700</v>
      </c>
      <c r="G48" s="489">
        <f>'[3]PROGNOSA (2)'!$D$66</f>
        <v>20548000</v>
      </c>
      <c r="H48" s="490">
        <f>'data Prognosa rutin'!T47</f>
        <v>0</v>
      </c>
      <c r="I48" s="490">
        <f>'data Prognosa rutin'!U47</f>
        <v>20548000</v>
      </c>
      <c r="J48" s="491">
        <f>I48/F48</f>
        <v>0.10821702601200668</v>
      </c>
      <c r="K48" s="542">
        <f>'[26]REKAPITULASI  KAPAL'!$F$33</f>
        <v>173000000</v>
      </c>
      <c r="L48" s="547">
        <f t="shared" si="16"/>
        <v>0.91111278470299562</v>
      </c>
      <c r="M48" s="548">
        <f t="shared" si="17"/>
        <v>8.4193108818376476</v>
      </c>
      <c r="O48" s="592" t="s">
        <v>953</v>
      </c>
      <c r="P48" s="511">
        <v>-9658446.1709931567</v>
      </c>
      <c r="R48" s="511">
        <v>68002600</v>
      </c>
      <c r="S48" s="511">
        <v>32028000</v>
      </c>
      <c r="T48" s="511">
        <v>22585500</v>
      </c>
      <c r="U48" s="511">
        <v>73692000</v>
      </c>
      <c r="V48" s="511">
        <f>SUM(R48:U48)</f>
        <v>196308100</v>
      </c>
      <c r="W48" s="511">
        <f>SUM(S48:U48)</f>
        <v>128305500</v>
      </c>
    </row>
    <row r="49" spans="1:246">
      <c r="A49" s="419"/>
      <c r="B49" s="427"/>
      <c r="C49" s="428"/>
      <c r="D49" s="429"/>
      <c r="E49" s="430" t="s">
        <v>905</v>
      </c>
      <c r="F49" s="500">
        <f t="shared" ref="F49:I49" si="18">SUM(F44:F48)</f>
        <v>1951627564.8787878</v>
      </c>
      <c r="G49" s="500">
        <f t="shared" si="18"/>
        <v>1190751020</v>
      </c>
      <c r="H49" s="500">
        <f t="shared" si="18"/>
        <v>368747536.19949496</v>
      </c>
      <c r="I49" s="500">
        <f t="shared" si="18"/>
        <v>1559498556.1994948</v>
      </c>
      <c r="J49" s="501">
        <f>I49/G49</f>
        <v>1.3096764394957183</v>
      </c>
      <c r="K49" s="500">
        <f>SUM(K44:K48)</f>
        <v>2015771067.4072165</v>
      </c>
      <c r="L49" s="549">
        <f t="shared" si="16"/>
        <v>1.0328666717373469</v>
      </c>
      <c r="M49" s="550">
        <f t="shared" si="17"/>
        <v>1.2925764242575895</v>
      </c>
      <c r="O49" s="592"/>
      <c r="R49" s="511">
        <v>0</v>
      </c>
      <c r="S49" s="511"/>
      <c r="T49" s="511">
        <v>0</v>
      </c>
      <c r="U49" s="511"/>
      <c r="V49" s="511">
        <f>SUM(R49:U49)</f>
        <v>0</v>
      </c>
    </row>
    <row r="50" spans="1:246" ht="8.25" customHeight="1">
      <c r="A50" s="419"/>
      <c r="B50" s="593"/>
      <c r="C50" s="594"/>
      <c r="D50" s="594"/>
      <c r="E50" s="594"/>
      <c r="F50" s="594"/>
      <c r="G50" s="594"/>
      <c r="H50" s="594"/>
      <c r="I50" s="594"/>
      <c r="J50" s="437"/>
      <c r="K50" s="437"/>
      <c r="L50" s="437"/>
      <c r="M50" s="513"/>
      <c r="O50" s="592"/>
      <c r="R50" s="511"/>
      <c r="S50" s="511"/>
      <c r="T50" s="511"/>
      <c r="U50" s="511"/>
      <c r="V50" s="511"/>
    </row>
    <row r="51" spans="1:246" ht="10.050000000000001" customHeight="1">
      <c r="A51" s="419"/>
      <c r="B51" s="595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7"/>
      <c r="O51" s="592"/>
      <c r="R51" s="511"/>
      <c r="S51" s="511"/>
      <c r="T51" s="511"/>
      <c r="U51" s="511"/>
      <c r="V51" s="511"/>
    </row>
    <row r="52" spans="1:246" ht="8.25" customHeight="1">
      <c r="A52" s="419"/>
      <c r="B52" s="412"/>
      <c r="C52" s="413"/>
      <c r="D52" s="439"/>
      <c r="E52" s="440"/>
      <c r="F52" s="489"/>
      <c r="G52" s="489"/>
      <c r="H52" s="489"/>
      <c r="I52" s="489"/>
      <c r="J52" s="489"/>
      <c r="K52" s="489"/>
      <c r="L52" s="514"/>
      <c r="M52" s="515"/>
      <c r="O52" s="592"/>
    </row>
    <row r="53" spans="1:246" ht="16.5" customHeight="1">
      <c r="A53" s="419"/>
      <c r="B53" s="441"/>
      <c r="C53" s="442" t="s">
        <v>911</v>
      </c>
      <c r="D53" s="516">
        <v>1</v>
      </c>
      <c r="E53" s="517" t="s">
        <v>902</v>
      </c>
      <c r="F53" s="489">
        <f t="shared" ref="F53:I57" si="19">F9+F16+F23+F30+F37+F44</f>
        <v>1539400000.6666667</v>
      </c>
      <c r="G53" s="489">
        <f t="shared" si="19"/>
        <v>495286360</v>
      </c>
      <c r="H53" s="490">
        <f t="shared" si="19"/>
        <v>641416666.94444466</v>
      </c>
      <c r="I53" s="490">
        <f t="shared" si="19"/>
        <v>1136703026.9444444</v>
      </c>
      <c r="J53" s="491">
        <f t="shared" ref="J53:J58" si="20">I53/G53</f>
        <v>2.2950420579812545</v>
      </c>
      <c r="K53" s="542">
        <f>K9+K16+K23+K30+K37+K44</f>
        <v>1327077896.9072163</v>
      </c>
      <c r="L53" s="547">
        <f t="shared" ref="L53:L58" si="21">K53/F53</f>
        <v>0.86207476700824981</v>
      </c>
      <c r="M53" s="548">
        <f>I53/K53</f>
        <v>0.85654582115605671</v>
      </c>
      <c r="O53" s="511"/>
      <c r="P53" s="511" t="e">
        <f>#REF!+#REF!</f>
        <v>#REF!</v>
      </c>
    </row>
    <row r="54" spans="1:246" ht="16.5" customHeight="1">
      <c r="A54" s="404"/>
      <c r="B54" s="445"/>
      <c r="C54" s="446" t="s">
        <v>912</v>
      </c>
      <c r="D54" s="516">
        <v>2</v>
      </c>
      <c r="E54" s="518" t="s">
        <v>903</v>
      </c>
      <c r="F54" s="489">
        <f t="shared" si="19"/>
        <v>5267963053</v>
      </c>
      <c r="G54" s="489">
        <f t="shared" si="19"/>
        <v>7091965156</v>
      </c>
      <c r="H54" s="490">
        <f t="shared" si="19"/>
        <v>0</v>
      </c>
      <c r="I54" s="490">
        <f t="shared" si="19"/>
        <v>7091965156</v>
      </c>
      <c r="J54" s="491">
        <f t="shared" si="20"/>
        <v>1</v>
      </c>
      <c r="K54" s="542">
        <f>K10+K17+K24+K31+K38+K45</f>
        <v>4671050152.6999998</v>
      </c>
      <c r="L54" s="547">
        <f t="shared" si="21"/>
        <v>0.88668999871590404</v>
      </c>
      <c r="M54" s="548">
        <f>I54/K54</f>
        <v>1.5182806701188261</v>
      </c>
      <c r="P54" s="511" t="e">
        <f>#REF!+#REF!</f>
        <v>#REF!</v>
      </c>
    </row>
    <row r="55" spans="1:246" ht="16.5" customHeight="1">
      <c r="A55" s="419"/>
      <c r="B55" s="441"/>
      <c r="C55" s="583"/>
      <c r="D55" s="516">
        <v>3</v>
      </c>
      <c r="E55" s="518" t="s">
        <v>32</v>
      </c>
      <c r="F55" s="489">
        <f t="shared" si="19"/>
        <v>1674597721</v>
      </c>
      <c r="G55" s="489">
        <f t="shared" si="19"/>
        <v>1160880708</v>
      </c>
      <c r="H55" s="490">
        <f t="shared" si="19"/>
        <v>697749050.41666663</v>
      </c>
      <c r="I55" s="490">
        <f t="shared" si="19"/>
        <v>1858629758.416667</v>
      </c>
      <c r="J55" s="491">
        <f t="shared" si="20"/>
        <v>1.6010514651576646</v>
      </c>
      <c r="K55" s="542">
        <f>K11+K18+K25+K32+K39+K46</f>
        <v>2802649650</v>
      </c>
      <c r="L55" s="547">
        <f t="shared" si="21"/>
        <v>1.6736256205617994</v>
      </c>
      <c r="M55" s="548">
        <f>I55/K55</f>
        <v>0.66316878330356666</v>
      </c>
      <c r="P55" s="511" t="e">
        <f>#REF!+#REF!</f>
        <v>#REF!</v>
      </c>
    </row>
    <row r="56" spans="1:246" ht="16.5" customHeight="1">
      <c r="A56" s="419"/>
      <c r="B56" s="441"/>
      <c r="C56" s="583"/>
      <c r="D56" s="516">
        <v>4</v>
      </c>
      <c r="E56" s="518" t="s">
        <v>43</v>
      </c>
      <c r="F56" s="489">
        <f t="shared" si="19"/>
        <v>1846810500</v>
      </c>
      <c r="G56" s="489">
        <f t="shared" si="19"/>
        <v>1222998640</v>
      </c>
      <c r="H56" s="490">
        <f t="shared" si="19"/>
        <v>769504375.00000012</v>
      </c>
      <c r="I56" s="490">
        <f t="shared" si="19"/>
        <v>1992503015</v>
      </c>
      <c r="J56" s="491">
        <f t="shared" si="20"/>
        <v>1.6291947920727041</v>
      </c>
      <c r="K56" s="542">
        <f>K12+K19+K26+K33+K40+K47</f>
        <v>2680321031.6666665</v>
      </c>
      <c r="L56" s="547">
        <f t="shared" si="21"/>
        <v>1.451324340892943</v>
      </c>
      <c r="M56" s="548">
        <f>I56/K56</f>
        <v>0.743382226031719</v>
      </c>
      <c r="P56" s="511" t="e">
        <f>#REF!+#REF!</f>
        <v>#REF!</v>
      </c>
    </row>
    <row r="57" spans="1:246" ht="16.5" customHeight="1" thickBot="1">
      <c r="A57" s="419"/>
      <c r="B57" s="448"/>
      <c r="C57" s="584"/>
      <c r="D57" s="519">
        <v>5</v>
      </c>
      <c r="E57" s="520" t="s">
        <v>904</v>
      </c>
      <c r="F57" s="521">
        <f t="shared" si="19"/>
        <v>923585096</v>
      </c>
      <c r="G57" s="521">
        <f t="shared" si="19"/>
        <v>643777500</v>
      </c>
      <c r="H57" s="522">
        <f t="shared" si="19"/>
        <v>0</v>
      </c>
      <c r="I57" s="522">
        <f t="shared" si="19"/>
        <v>643777500</v>
      </c>
      <c r="J57" s="523">
        <f t="shared" si="20"/>
        <v>1</v>
      </c>
      <c r="K57" s="544">
        <f>K13+K20+K27+K34+K41+K48</f>
        <v>1021105439.5416666</v>
      </c>
      <c r="L57" s="547">
        <f t="shared" si="21"/>
        <v>1.1055889099597018</v>
      </c>
      <c r="M57" s="548">
        <f>I57/K57</f>
        <v>0.63047112968957053</v>
      </c>
      <c r="P57" s="511" t="e">
        <f>#REF!+#REF!</f>
        <v>#REF!</v>
      </c>
    </row>
    <row r="58" spans="1:246" ht="16.5" customHeight="1" thickBot="1">
      <c r="A58" s="419"/>
      <c r="B58" s="452"/>
      <c r="C58" s="453"/>
      <c r="D58" s="454"/>
      <c r="E58" s="455" t="s">
        <v>905</v>
      </c>
      <c r="F58" s="524">
        <f t="shared" ref="F58:H58" si="22">SUM(F53:F57)</f>
        <v>11252356370.666668</v>
      </c>
      <c r="G58" s="524">
        <f t="shared" si="22"/>
        <v>10614908364</v>
      </c>
      <c r="H58" s="524">
        <f t="shared" si="22"/>
        <v>2108670092.3611112</v>
      </c>
      <c r="I58" s="524">
        <f>SUM(I53:I57)</f>
        <v>12723578456.361111</v>
      </c>
      <c r="J58" s="525">
        <f t="shared" si="20"/>
        <v>1.1986517471514473</v>
      </c>
      <c r="K58" s="524">
        <f>SUM(K53:K57)</f>
        <v>12502204170.815548</v>
      </c>
      <c r="L58" s="555">
        <f t="shared" si="21"/>
        <v>1.1110743171454345</v>
      </c>
      <c r="M58" s="546">
        <f>K58/I58</f>
        <v>0.98260125590416059</v>
      </c>
      <c r="Z58" s="511"/>
    </row>
    <row r="59" spans="1:246" s="531" customFormat="1">
      <c r="A59" s="486"/>
      <c r="B59" s="486"/>
      <c r="C59" s="486"/>
      <c r="D59" s="528"/>
      <c r="E59" s="529"/>
      <c r="F59" s="511"/>
      <c r="G59" s="530"/>
      <c r="H59" s="486"/>
      <c r="I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511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6"/>
      <c r="AP59" s="486"/>
      <c r="AQ59" s="486"/>
      <c r="AR59" s="486"/>
      <c r="AS59" s="486"/>
      <c r="AT59" s="486"/>
      <c r="AU59" s="486"/>
      <c r="AV59" s="486"/>
      <c r="AW59" s="486"/>
      <c r="AX59" s="486"/>
      <c r="AY59" s="486"/>
      <c r="AZ59" s="486"/>
      <c r="BA59" s="486"/>
      <c r="BB59" s="486"/>
      <c r="BC59" s="486"/>
      <c r="BD59" s="486"/>
      <c r="BE59" s="486"/>
      <c r="BF59" s="486"/>
      <c r="BG59" s="486"/>
      <c r="BH59" s="486"/>
      <c r="BI59" s="486"/>
      <c r="BJ59" s="486"/>
      <c r="BK59" s="486"/>
      <c r="BL59" s="486"/>
      <c r="BM59" s="486"/>
      <c r="BN59" s="486"/>
      <c r="BO59" s="486"/>
      <c r="BP59" s="486"/>
      <c r="BQ59" s="486"/>
      <c r="BR59" s="486"/>
      <c r="BS59" s="486"/>
      <c r="BT59" s="486"/>
      <c r="BU59" s="486"/>
      <c r="BV59" s="486"/>
      <c r="BW59" s="486"/>
      <c r="BX59" s="486"/>
      <c r="BY59" s="486"/>
      <c r="BZ59" s="486"/>
      <c r="CA59" s="486"/>
      <c r="CB59" s="486"/>
      <c r="CC59" s="486"/>
      <c r="CD59" s="486"/>
      <c r="CE59" s="486"/>
      <c r="CF59" s="486"/>
      <c r="CG59" s="486"/>
      <c r="CH59" s="486"/>
      <c r="CI59" s="486"/>
      <c r="CJ59" s="486"/>
      <c r="CK59" s="486"/>
      <c r="CL59" s="486"/>
      <c r="CM59" s="486"/>
      <c r="CN59" s="486"/>
      <c r="CO59" s="486"/>
      <c r="CP59" s="486"/>
      <c r="CQ59" s="486"/>
      <c r="CR59" s="486"/>
      <c r="CS59" s="486"/>
      <c r="CT59" s="486"/>
      <c r="CU59" s="486"/>
      <c r="CV59" s="486"/>
      <c r="CW59" s="486"/>
      <c r="CX59" s="486"/>
      <c r="CY59" s="486"/>
      <c r="CZ59" s="486"/>
      <c r="DA59" s="486"/>
      <c r="DB59" s="486"/>
      <c r="DC59" s="486"/>
      <c r="DD59" s="486"/>
      <c r="DE59" s="486"/>
      <c r="DF59" s="486"/>
      <c r="DG59" s="486"/>
      <c r="DH59" s="486"/>
      <c r="DI59" s="486"/>
      <c r="DJ59" s="486"/>
      <c r="DK59" s="486"/>
      <c r="DL59" s="486"/>
      <c r="DM59" s="486"/>
      <c r="DN59" s="486"/>
      <c r="DO59" s="486"/>
      <c r="DP59" s="486"/>
      <c r="DQ59" s="486"/>
      <c r="DR59" s="486"/>
      <c r="DS59" s="486"/>
      <c r="DT59" s="486"/>
      <c r="DU59" s="486"/>
      <c r="DV59" s="486"/>
      <c r="DW59" s="486"/>
      <c r="DX59" s="486"/>
      <c r="DY59" s="486"/>
      <c r="DZ59" s="486"/>
      <c r="EA59" s="486"/>
      <c r="EB59" s="486"/>
      <c r="EC59" s="486"/>
      <c r="ED59" s="486"/>
      <c r="EE59" s="486"/>
      <c r="EF59" s="486"/>
      <c r="EG59" s="486"/>
      <c r="EH59" s="486"/>
      <c r="EI59" s="486"/>
      <c r="EJ59" s="486"/>
      <c r="EK59" s="486"/>
      <c r="EL59" s="486"/>
      <c r="EM59" s="486"/>
      <c r="EN59" s="486"/>
      <c r="EO59" s="486"/>
      <c r="EP59" s="486"/>
      <c r="EQ59" s="486"/>
      <c r="ER59" s="486"/>
      <c r="ES59" s="486"/>
      <c r="ET59" s="486"/>
      <c r="EU59" s="486"/>
      <c r="EV59" s="486"/>
      <c r="EW59" s="486"/>
      <c r="EX59" s="486"/>
      <c r="EY59" s="486"/>
      <c r="EZ59" s="486"/>
      <c r="FA59" s="486"/>
      <c r="FB59" s="486"/>
      <c r="FC59" s="486"/>
      <c r="FD59" s="486"/>
      <c r="FE59" s="486"/>
      <c r="FF59" s="486"/>
      <c r="FG59" s="486"/>
      <c r="FH59" s="486"/>
      <c r="FI59" s="486"/>
      <c r="FJ59" s="486"/>
      <c r="FK59" s="486"/>
      <c r="FL59" s="486"/>
      <c r="FM59" s="486"/>
      <c r="FN59" s="486"/>
      <c r="FO59" s="486"/>
      <c r="FP59" s="486"/>
      <c r="FQ59" s="486"/>
      <c r="FR59" s="486"/>
      <c r="FS59" s="486"/>
      <c r="FT59" s="486"/>
      <c r="FU59" s="486"/>
      <c r="FV59" s="486"/>
      <c r="FW59" s="486"/>
      <c r="FX59" s="486"/>
      <c r="FY59" s="486"/>
      <c r="FZ59" s="486"/>
      <c r="GA59" s="486"/>
      <c r="GB59" s="486"/>
      <c r="GC59" s="486"/>
      <c r="GD59" s="486"/>
      <c r="GE59" s="486"/>
      <c r="GF59" s="486"/>
      <c r="GG59" s="486"/>
      <c r="GH59" s="486"/>
      <c r="GI59" s="486"/>
      <c r="GJ59" s="486"/>
      <c r="GK59" s="486"/>
      <c r="GL59" s="486"/>
      <c r="GM59" s="486"/>
      <c r="GN59" s="486"/>
      <c r="GO59" s="486"/>
      <c r="GP59" s="486"/>
      <c r="GQ59" s="486"/>
      <c r="GR59" s="486"/>
      <c r="GS59" s="486"/>
      <c r="GT59" s="486"/>
      <c r="GU59" s="486"/>
      <c r="GV59" s="486"/>
      <c r="GW59" s="486"/>
      <c r="GX59" s="486"/>
      <c r="GY59" s="486"/>
      <c r="GZ59" s="486"/>
      <c r="HA59" s="486"/>
      <c r="HB59" s="486"/>
      <c r="HC59" s="486"/>
      <c r="HD59" s="486"/>
      <c r="HE59" s="486"/>
      <c r="HF59" s="486"/>
      <c r="HG59" s="486"/>
      <c r="HH59" s="486"/>
      <c r="HI59" s="486"/>
      <c r="HJ59" s="486"/>
      <c r="HK59" s="486"/>
      <c r="HL59" s="486"/>
      <c r="HM59" s="486"/>
      <c r="HN59" s="486"/>
      <c r="HO59" s="486"/>
      <c r="HP59" s="486"/>
      <c r="HQ59" s="486"/>
      <c r="HR59" s="486"/>
      <c r="HS59" s="486"/>
      <c r="HT59" s="486"/>
      <c r="HU59" s="486"/>
      <c r="HV59" s="486"/>
      <c r="HW59" s="486"/>
      <c r="HX59" s="486"/>
      <c r="HY59" s="486"/>
      <c r="HZ59" s="486"/>
      <c r="IA59" s="486"/>
      <c r="IB59" s="486"/>
      <c r="IC59" s="486"/>
      <c r="ID59" s="486"/>
      <c r="IE59" s="486"/>
      <c r="IF59" s="486"/>
      <c r="IG59" s="486"/>
      <c r="IH59" s="486"/>
      <c r="II59" s="486"/>
      <c r="IJ59" s="486"/>
      <c r="IK59" s="486"/>
      <c r="IL59" s="486"/>
    </row>
    <row r="60" spans="1:246" s="531" customFormat="1" hidden="1">
      <c r="A60" s="486"/>
      <c r="B60" s="486"/>
      <c r="C60" s="486"/>
      <c r="D60" s="528"/>
      <c r="E60" s="529"/>
      <c r="F60" s="511"/>
      <c r="G60" s="530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/>
      <c r="AB60" s="486"/>
      <c r="AC60" s="486"/>
      <c r="AD60" s="486"/>
      <c r="AE60" s="486"/>
      <c r="AF60" s="486"/>
      <c r="AG60" s="486"/>
      <c r="AH60" s="486"/>
      <c r="AI60" s="486"/>
      <c r="AJ60" s="486"/>
      <c r="AK60" s="486"/>
      <c r="AL60" s="486"/>
      <c r="AM60" s="486"/>
      <c r="AN60" s="486"/>
      <c r="AO60" s="486"/>
      <c r="AP60" s="486"/>
      <c r="AQ60" s="486"/>
      <c r="AR60" s="486"/>
      <c r="AS60" s="486"/>
      <c r="AT60" s="486"/>
      <c r="AU60" s="486"/>
      <c r="AV60" s="486"/>
      <c r="AW60" s="486"/>
      <c r="AX60" s="486"/>
      <c r="AY60" s="486"/>
      <c r="AZ60" s="486"/>
      <c r="BA60" s="486"/>
      <c r="BB60" s="486"/>
      <c r="BC60" s="486"/>
      <c r="BD60" s="486"/>
      <c r="BE60" s="486"/>
      <c r="BF60" s="486"/>
      <c r="BG60" s="486"/>
      <c r="BH60" s="486"/>
      <c r="BI60" s="486"/>
      <c r="BJ60" s="486"/>
      <c r="BK60" s="486"/>
      <c r="BL60" s="486"/>
      <c r="BM60" s="486"/>
      <c r="BN60" s="486"/>
      <c r="BO60" s="486"/>
      <c r="BP60" s="486"/>
      <c r="BQ60" s="486"/>
      <c r="BR60" s="486"/>
      <c r="BS60" s="486"/>
      <c r="BT60" s="486"/>
      <c r="BU60" s="486"/>
      <c r="BV60" s="486"/>
      <c r="BW60" s="486"/>
      <c r="BX60" s="486"/>
      <c r="BY60" s="486"/>
      <c r="BZ60" s="486"/>
      <c r="CA60" s="486"/>
      <c r="CB60" s="486"/>
      <c r="CC60" s="486"/>
      <c r="CD60" s="486"/>
      <c r="CE60" s="486"/>
      <c r="CF60" s="486"/>
      <c r="CG60" s="486"/>
      <c r="CH60" s="486"/>
      <c r="CI60" s="486"/>
      <c r="CJ60" s="486"/>
      <c r="CK60" s="486"/>
      <c r="CL60" s="486"/>
      <c r="CM60" s="486"/>
      <c r="CN60" s="486"/>
      <c r="CO60" s="486"/>
      <c r="CP60" s="486"/>
      <c r="CQ60" s="486"/>
      <c r="CR60" s="486"/>
      <c r="CS60" s="486"/>
      <c r="CT60" s="486"/>
      <c r="CU60" s="486"/>
      <c r="CV60" s="486"/>
      <c r="CW60" s="486"/>
      <c r="CX60" s="486"/>
      <c r="CY60" s="486"/>
      <c r="CZ60" s="486"/>
      <c r="DA60" s="486"/>
      <c r="DB60" s="486"/>
      <c r="DC60" s="486"/>
      <c r="DD60" s="486"/>
      <c r="DE60" s="486"/>
      <c r="DF60" s="486"/>
      <c r="DG60" s="486"/>
      <c r="DH60" s="486"/>
      <c r="DI60" s="486"/>
      <c r="DJ60" s="486"/>
      <c r="DK60" s="486"/>
      <c r="DL60" s="486"/>
      <c r="DM60" s="486"/>
      <c r="DN60" s="486"/>
      <c r="DO60" s="486"/>
      <c r="DP60" s="486"/>
      <c r="DQ60" s="486"/>
      <c r="DR60" s="486"/>
      <c r="DS60" s="486"/>
      <c r="DT60" s="486"/>
      <c r="DU60" s="486"/>
      <c r="DV60" s="486"/>
      <c r="DW60" s="486"/>
      <c r="DX60" s="486"/>
      <c r="DY60" s="486"/>
      <c r="DZ60" s="486"/>
      <c r="EA60" s="486"/>
      <c r="EB60" s="486"/>
      <c r="EC60" s="486"/>
      <c r="ED60" s="486"/>
      <c r="EE60" s="486"/>
      <c r="EF60" s="486"/>
      <c r="EG60" s="486"/>
      <c r="EH60" s="486"/>
      <c r="EI60" s="486"/>
      <c r="EJ60" s="486"/>
      <c r="EK60" s="486"/>
      <c r="EL60" s="486"/>
      <c r="EM60" s="486"/>
      <c r="EN60" s="486"/>
      <c r="EO60" s="486"/>
      <c r="EP60" s="486"/>
      <c r="EQ60" s="486"/>
      <c r="ER60" s="486"/>
      <c r="ES60" s="486"/>
      <c r="ET60" s="486"/>
      <c r="EU60" s="486"/>
      <c r="EV60" s="486"/>
      <c r="EW60" s="486"/>
      <c r="EX60" s="486"/>
      <c r="EY60" s="486"/>
      <c r="EZ60" s="486"/>
      <c r="FA60" s="486"/>
      <c r="FB60" s="486"/>
      <c r="FC60" s="486"/>
      <c r="FD60" s="486"/>
      <c r="FE60" s="486"/>
      <c r="FF60" s="486"/>
      <c r="FG60" s="486"/>
      <c r="FH60" s="486"/>
      <c r="FI60" s="486"/>
      <c r="FJ60" s="486"/>
      <c r="FK60" s="486"/>
      <c r="FL60" s="486"/>
      <c r="FM60" s="486"/>
      <c r="FN60" s="486"/>
      <c r="FO60" s="486"/>
      <c r="FP60" s="486"/>
      <c r="FQ60" s="486"/>
      <c r="FR60" s="486"/>
      <c r="FS60" s="486"/>
      <c r="FT60" s="486"/>
      <c r="FU60" s="486"/>
      <c r="FV60" s="486"/>
      <c r="FW60" s="486"/>
      <c r="FX60" s="486"/>
      <c r="FY60" s="486"/>
      <c r="FZ60" s="486"/>
      <c r="GA60" s="486"/>
      <c r="GB60" s="486"/>
      <c r="GC60" s="486"/>
      <c r="GD60" s="486"/>
      <c r="GE60" s="486"/>
      <c r="GF60" s="486"/>
      <c r="GG60" s="486"/>
      <c r="GH60" s="486"/>
      <c r="GI60" s="486"/>
      <c r="GJ60" s="486"/>
      <c r="GK60" s="486"/>
      <c r="GL60" s="486"/>
      <c r="GM60" s="486"/>
      <c r="GN60" s="486"/>
      <c r="GO60" s="486"/>
      <c r="GP60" s="486"/>
      <c r="GQ60" s="486"/>
      <c r="GR60" s="486"/>
      <c r="GS60" s="486"/>
      <c r="GT60" s="486"/>
      <c r="GU60" s="486"/>
      <c r="GV60" s="486"/>
      <c r="GW60" s="486"/>
      <c r="GX60" s="486"/>
      <c r="GY60" s="486"/>
      <c r="GZ60" s="486"/>
      <c r="HA60" s="486"/>
      <c r="HB60" s="486"/>
      <c r="HC60" s="486"/>
      <c r="HD60" s="486"/>
      <c r="HE60" s="486"/>
      <c r="HF60" s="486"/>
      <c r="HG60" s="486"/>
      <c r="HH60" s="486"/>
      <c r="HI60" s="486"/>
      <c r="HJ60" s="486"/>
      <c r="HK60" s="486"/>
      <c r="HL60" s="486"/>
      <c r="HM60" s="486"/>
      <c r="HN60" s="486"/>
      <c r="HO60" s="486"/>
      <c r="HP60" s="486"/>
      <c r="HQ60" s="486"/>
      <c r="HR60" s="486"/>
      <c r="HS60" s="486"/>
      <c r="HT60" s="486"/>
      <c r="HU60" s="486"/>
      <c r="HV60" s="486"/>
      <c r="HW60" s="486"/>
      <c r="HX60" s="486"/>
      <c r="HY60" s="486"/>
      <c r="HZ60" s="486"/>
      <c r="IA60" s="486"/>
      <c r="IB60" s="486"/>
      <c r="IC60" s="486"/>
      <c r="ID60" s="486"/>
      <c r="IE60" s="486"/>
      <c r="IF60" s="486"/>
      <c r="IG60" s="486"/>
      <c r="IH60" s="486"/>
      <c r="II60" s="486"/>
      <c r="IJ60" s="486"/>
      <c r="IK60" s="486"/>
      <c r="IL60" s="486"/>
    </row>
    <row r="61" spans="1:246" s="531" customFormat="1" hidden="1">
      <c r="A61" s="486"/>
      <c r="B61" s="486"/>
      <c r="C61" s="474"/>
      <c r="D61" s="528"/>
      <c r="E61" s="486"/>
      <c r="F61" s="486"/>
      <c r="G61" s="532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486"/>
      <c r="AL61" s="486"/>
      <c r="AM61" s="486"/>
      <c r="AN61" s="486"/>
      <c r="AO61" s="486"/>
      <c r="AP61" s="486"/>
      <c r="AQ61" s="486"/>
      <c r="AR61" s="486"/>
      <c r="AS61" s="486"/>
      <c r="AT61" s="486"/>
      <c r="AU61" s="486"/>
      <c r="AV61" s="486"/>
      <c r="AW61" s="486"/>
      <c r="AX61" s="486"/>
      <c r="AY61" s="486"/>
      <c r="AZ61" s="486"/>
      <c r="BA61" s="486"/>
      <c r="BB61" s="486"/>
      <c r="BC61" s="486"/>
      <c r="BD61" s="486"/>
      <c r="BE61" s="486"/>
      <c r="BF61" s="486"/>
      <c r="BG61" s="486"/>
      <c r="BH61" s="486"/>
      <c r="BI61" s="486"/>
      <c r="BJ61" s="486"/>
      <c r="BK61" s="486"/>
      <c r="BL61" s="486"/>
      <c r="BM61" s="486"/>
      <c r="BN61" s="486"/>
      <c r="BO61" s="486"/>
      <c r="BP61" s="486"/>
      <c r="BQ61" s="486"/>
      <c r="BR61" s="486"/>
      <c r="BS61" s="486"/>
      <c r="BT61" s="486"/>
      <c r="BU61" s="486"/>
      <c r="BV61" s="486"/>
      <c r="BW61" s="486"/>
      <c r="BX61" s="486"/>
      <c r="BY61" s="486"/>
      <c r="BZ61" s="486"/>
      <c r="CA61" s="486"/>
      <c r="CB61" s="486"/>
      <c r="CC61" s="486"/>
      <c r="CD61" s="486"/>
      <c r="CE61" s="486"/>
      <c r="CF61" s="486"/>
      <c r="CG61" s="486"/>
      <c r="CH61" s="486"/>
      <c r="CI61" s="486"/>
      <c r="CJ61" s="486"/>
      <c r="CK61" s="486"/>
      <c r="CL61" s="486"/>
      <c r="CM61" s="486"/>
      <c r="CN61" s="486"/>
      <c r="CO61" s="486"/>
      <c r="CP61" s="486"/>
      <c r="CQ61" s="486"/>
      <c r="CR61" s="486"/>
      <c r="CS61" s="486"/>
      <c r="CT61" s="486"/>
      <c r="CU61" s="486"/>
      <c r="CV61" s="486"/>
      <c r="CW61" s="486"/>
      <c r="CX61" s="486"/>
      <c r="CY61" s="486"/>
      <c r="CZ61" s="486"/>
      <c r="DA61" s="486"/>
      <c r="DB61" s="486"/>
      <c r="DC61" s="486"/>
      <c r="DD61" s="486"/>
      <c r="DE61" s="486"/>
      <c r="DF61" s="486"/>
      <c r="DG61" s="486"/>
      <c r="DH61" s="486"/>
      <c r="DI61" s="486"/>
      <c r="DJ61" s="486"/>
      <c r="DK61" s="486"/>
      <c r="DL61" s="486"/>
      <c r="DM61" s="486"/>
      <c r="DN61" s="486"/>
      <c r="DO61" s="486"/>
      <c r="DP61" s="486"/>
      <c r="DQ61" s="486"/>
      <c r="DR61" s="486"/>
      <c r="DS61" s="486"/>
      <c r="DT61" s="486"/>
      <c r="DU61" s="486"/>
      <c r="DV61" s="486"/>
      <c r="DW61" s="486"/>
      <c r="DX61" s="486"/>
      <c r="DY61" s="486"/>
      <c r="DZ61" s="486"/>
      <c r="EA61" s="486"/>
      <c r="EB61" s="486"/>
      <c r="EC61" s="486"/>
      <c r="ED61" s="486"/>
      <c r="EE61" s="486"/>
      <c r="EF61" s="486"/>
      <c r="EG61" s="486"/>
      <c r="EH61" s="486"/>
      <c r="EI61" s="486"/>
      <c r="EJ61" s="486"/>
      <c r="EK61" s="486"/>
      <c r="EL61" s="486"/>
      <c r="EM61" s="486"/>
      <c r="EN61" s="486"/>
      <c r="EO61" s="486"/>
      <c r="EP61" s="486"/>
      <c r="EQ61" s="486"/>
      <c r="ER61" s="486"/>
      <c r="ES61" s="486"/>
      <c r="ET61" s="486"/>
      <c r="EU61" s="486"/>
      <c r="EV61" s="486"/>
      <c r="EW61" s="486"/>
      <c r="EX61" s="486"/>
      <c r="EY61" s="486"/>
      <c r="EZ61" s="486"/>
      <c r="FA61" s="486"/>
      <c r="FB61" s="486"/>
      <c r="FC61" s="486"/>
      <c r="FD61" s="486"/>
      <c r="FE61" s="486"/>
      <c r="FF61" s="486"/>
      <c r="FG61" s="486"/>
      <c r="FH61" s="486"/>
      <c r="FI61" s="486"/>
      <c r="FJ61" s="486"/>
      <c r="FK61" s="486"/>
      <c r="FL61" s="486"/>
      <c r="FM61" s="486"/>
      <c r="FN61" s="486"/>
      <c r="FO61" s="486"/>
      <c r="FP61" s="486"/>
      <c r="FQ61" s="486"/>
      <c r="FR61" s="486"/>
      <c r="FS61" s="486"/>
      <c r="FT61" s="486"/>
      <c r="FU61" s="486"/>
      <c r="FV61" s="486"/>
      <c r="FW61" s="486"/>
      <c r="FX61" s="486"/>
      <c r="FY61" s="486"/>
      <c r="FZ61" s="486"/>
      <c r="GA61" s="486"/>
      <c r="GB61" s="486"/>
      <c r="GC61" s="486"/>
      <c r="GD61" s="486"/>
      <c r="GE61" s="486"/>
      <c r="GF61" s="486"/>
      <c r="GG61" s="486"/>
      <c r="GH61" s="486"/>
      <c r="GI61" s="486"/>
      <c r="GJ61" s="486"/>
      <c r="GK61" s="486"/>
      <c r="GL61" s="486"/>
      <c r="GM61" s="486"/>
      <c r="GN61" s="486"/>
      <c r="GO61" s="486"/>
      <c r="GP61" s="486"/>
      <c r="GQ61" s="486"/>
      <c r="GR61" s="486"/>
      <c r="GS61" s="486"/>
      <c r="GT61" s="486"/>
      <c r="GU61" s="486"/>
      <c r="GV61" s="486"/>
      <c r="GW61" s="486"/>
      <c r="GX61" s="486"/>
      <c r="GY61" s="486"/>
      <c r="GZ61" s="486"/>
      <c r="HA61" s="486"/>
      <c r="HB61" s="486"/>
      <c r="HC61" s="486"/>
      <c r="HD61" s="486"/>
      <c r="HE61" s="486"/>
      <c r="HF61" s="486"/>
      <c r="HG61" s="486"/>
      <c r="HH61" s="486"/>
      <c r="HI61" s="486"/>
      <c r="HJ61" s="486"/>
      <c r="HK61" s="486"/>
      <c r="HL61" s="486"/>
      <c r="HM61" s="486"/>
      <c r="HN61" s="486"/>
      <c r="HO61" s="486"/>
      <c r="HP61" s="486"/>
      <c r="HQ61" s="486"/>
      <c r="HR61" s="486"/>
      <c r="HS61" s="486"/>
      <c r="HT61" s="486"/>
      <c r="HU61" s="486"/>
      <c r="HV61" s="486"/>
      <c r="HW61" s="486"/>
      <c r="HX61" s="486"/>
      <c r="HY61" s="486"/>
      <c r="HZ61" s="486"/>
      <c r="IA61" s="486"/>
      <c r="IB61" s="486"/>
      <c r="IC61" s="486"/>
      <c r="ID61" s="486"/>
      <c r="IE61" s="486"/>
      <c r="IF61" s="486"/>
      <c r="IG61" s="486"/>
      <c r="IH61" s="486"/>
      <c r="II61" s="486"/>
      <c r="IJ61" s="486"/>
      <c r="IK61" s="486"/>
      <c r="IL61" s="486"/>
    </row>
    <row r="62" spans="1:246" s="531" customFormat="1" hidden="1">
      <c r="A62" s="486"/>
      <c r="B62" s="486"/>
      <c r="C62" s="474"/>
      <c r="D62" s="528"/>
      <c r="E62" s="486"/>
      <c r="G62" s="533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/>
      <c r="AC62" s="486"/>
      <c r="AD62" s="486"/>
      <c r="AE62" s="486"/>
      <c r="AF62" s="486"/>
      <c r="AG62" s="486"/>
      <c r="AH62" s="486"/>
      <c r="AI62" s="486"/>
      <c r="AJ62" s="486"/>
      <c r="AK62" s="486"/>
      <c r="AL62" s="486"/>
      <c r="AM62" s="486"/>
      <c r="AN62" s="486"/>
      <c r="AO62" s="486"/>
      <c r="AP62" s="486"/>
      <c r="AQ62" s="486"/>
      <c r="AR62" s="486"/>
      <c r="AS62" s="486"/>
      <c r="AT62" s="486"/>
      <c r="AU62" s="486"/>
      <c r="AV62" s="486"/>
      <c r="AW62" s="486"/>
      <c r="AX62" s="486"/>
      <c r="AY62" s="486"/>
      <c r="AZ62" s="486"/>
      <c r="BA62" s="486"/>
      <c r="BB62" s="486"/>
      <c r="BC62" s="486"/>
      <c r="BD62" s="486"/>
      <c r="BE62" s="486"/>
      <c r="BF62" s="486"/>
      <c r="BG62" s="486"/>
      <c r="BH62" s="486"/>
      <c r="BI62" s="486"/>
      <c r="BJ62" s="486"/>
      <c r="BK62" s="486"/>
      <c r="BL62" s="486"/>
      <c r="BM62" s="486"/>
      <c r="BN62" s="486"/>
      <c r="BO62" s="486"/>
      <c r="BP62" s="486"/>
      <c r="BQ62" s="486"/>
      <c r="BR62" s="486"/>
      <c r="BS62" s="486"/>
      <c r="BT62" s="486"/>
      <c r="BU62" s="486"/>
      <c r="BV62" s="486"/>
      <c r="BW62" s="486"/>
      <c r="BX62" s="486"/>
      <c r="BY62" s="486"/>
      <c r="BZ62" s="486"/>
      <c r="CA62" s="486"/>
      <c r="CB62" s="486"/>
      <c r="CC62" s="486"/>
      <c r="CD62" s="486"/>
      <c r="CE62" s="486"/>
      <c r="CF62" s="486"/>
      <c r="CG62" s="486"/>
      <c r="CH62" s="486"/>
      <c r="CI62" s="486"/>
      <c r="CJ62" s="486"/>
      <c r="CK62" s="486"/>
      <c r="CL62" s="486"/>
      <c r="CM62" s="486"/>
      <c r="CN62" s="486"/>
      <c r="CO62" s="486"/>
      <c r="CP62" s="486"/>
      <c r="CQ62" s="486"/>
      <c r="CR62" s="486"/>
      <c r="CS62" s="486"/>
      <c r="CT62" s="486"/>
      <c r="CU62" s="486"/>
      <c r="CV62" s="486"/>
      <c r="CW62" s="486"/>
      <c r="CX62" s="486"/>
      <c r="CY62" s="486"/>
      <c r="CZ62" s="486"/>
      <c r="DA62" s="486"/>
      <c r="DB62" s="486"/>
      <c r="DC62" s="486"/>
      <c r="DD62" s="486"/>
      <c r="DE62" s="486"/>
      <c r="DF62" s="486"/>
      <c r="DG62" s="486"/>
      <c r="DH62" s="486"/>
      <c r="DI62" s="486"/>
      <c r="DJ62" s="486"/>
      <c r="DK62" s="486"/>
      <c r="DL62" s="486"/>
      <c r="DM62" s="486"/>
      <c r="DN62" s="486"/>
      <c r="DO62" s="486"/>
      <c r="DP62" s="486"/>
      <c r="DQ62" s="486"/>
      <c r="DR62" s="486"/>
      <c r="DS62" s="486"/>
      <c r="DT62" s="486"/>
      <c r="DU62" s="486"/>
      <c r="DV62" s="486"/>
      <c r="DW62" s="486"/>
      <c r="DX62" s="486"/>
      <c r="DY62" s="486"/>
      <c r="DZ62" s="486"/>
      <c r="EA62" s="486"/>
      <c r="EB62" s="486"/>
      <c r="EC62" s="486"/>
      <c r="ED62" s="486"/>
      <c r="EE62" s="486"/>
      <c r="EF62" s="486"/>
      <c r="EG62" s="486"/>
      <c r="EH62" s="486"/>
      <c r="EI62" s="486"/>
      <c r="EJ62" s="486"/>
      <c r="EK62" s="486"/>
      <c r="EL62" s="486"/>
      <c r="EM62" s="486"/>
      <c r="EN62" s="486"/>
      <c r="EO62" s="486"/>
      <c r="EP62" s="486"/>
      <c r="EQ62" s="486"/>
      <c r="ER62" s="486"/>
      <c r="ES62" s="486"/>
      <c r="ET62" s="486"/>
      <c r="EU62" s="486"/>
      <c r="EV62" s="486"/>
      <c r="EW62" s="486"/>
      <c r="EX62" s="486"/>
      <c r="EY62" s="486"/>
      <c r="EZ62" s="486"/>
      <c r="FA62" s="486"/>
      <c r="FB62" s="486"/>
      <c r="FC62" s="486"/>
      <c r="FD62" s="486"/>
      <c r="FE62" s="486"/>
      <c r="FF62" s="486"/>
      <c r="FG62" s="486"/>
      <c r="FH62" s="486"/>
      <c r="FI62" s="486"/>
      <c r="FJ62" s="486"/>
      <c r="FK62" s="486"/>
      <c r="FL62" s="486"/>
      <c r="FM62" s="486"/>
      <c r="FN62" s="486"/>
      <c r="FO62" s="486"/>
      <c r="FP62" s="486"/>
      <c r="FQ62" s="486"/>
      <c r="FR62" s="486"/>
      <c r="FS62" s="486"/>
      <c r="FT62" s="486"/>
      <c r="FU62" s="486"/>
      <c r="FV62" s="486"/>
      <c r="FW62" s="486"/>
      <c r="FX62" s="486"/>
      <c r="FY62" s="486"/>
      <c r="FZ62" s="486"/>
      <c r="GA62" s="486"/>
      <c r="GB62" s="486"/>
      <c r="GC62" s="486"/>
      <c r="GD62" s="486"/>
      <c r="GE62" s="486"/>
      <c r="GF62" s="486"/>
      <c r="GG62" s="486"/>
      <c r="GH62" s="486"/>
      <c r="GI62" s="486"/>
      <c r="GJ62" s="486"/>
      <c r="GK62" s="486"/>
      <c r="GL62" s="486"/>
      <c r="GM62" s="486"/>
      <c r="GN62" s="486"/>
      <c r="GO62" s="486"/>
      <c r="GP62" s="486"/>
      <c r="GQ62" s="486"/>
      <c r="GR62" s="486"/>
      <c r="GS62" s="486"/>
      <c r="GT62" s="486"/>
      <c r="GU62" s="486"/>
      <c r="GV62" s="486"/>
      <c r="GW62" s="486"/>
      <c r="GX62" s="486"/>
      <c r="GY62" s="486"/>
      <c r="GZ62" s="486"/>
      <c r="HA62" s="486"/>
      <c r="HB62" s="486"/>
      <c r="HC62" s="486"/>
      <c r="HD62" s="486"/>
      <c r="HE62" s="486"/>
      <c r="HF62" s="486"/>
      <c r="HG62" s="486"/>
      <c r="HH62" s="486"/>
      <c r="HI62" s="486"/>
      <c r="HJ62" s="486"/>
      <c r="HK62" s="486"/>
      <c r="HL62" s="486"/>
      <c r="HM62" s="486"/>
      <c r="HN62" s="486"/>
      <c r="HO62" s="486"/>
      <c r="HP62" s="486"/>
      <c r="HQ62" s="486"/>
      <c r="HR62" s="486"/>
      <c r="HS62" s="486"/>
      <c r="HT62" s="486"/>
      <c r="HU62" s="486"/>
      <c r="HV62" s="486"/>
      <c r="HW62" s="486"/>
      <c r="HX62" s="486"/>
      <c r="HY62" s="486"/>
      <c r="HZ62" s="486"/>
      <c r="IA62" s="486"/>
      <c r="IB62" s="486"/>
      <c r="IC62" s="486"/>
      <c r="ID62" s="486"/>
      <c r="IE62" s="486"/>
      <c r="IF62" s="486"/>
      <c r="IG62" s="486"/>
      <c r="IH62" s="486"/>
      <c r="II62" s="486"/>
      <c r="IJ62" s="486"/>
      <c r="IK62" s="486"/>
      <c r="IL62" s="486"/>
    </row>
    <row r="63" spans="1:246" s="531" customFormat="1" hidden="1">
      <c r="A63" s="486"/>
      <c r="B63" s="486"/>
      <c r="C63" s="474"/>
      <c r="D63" s="528"/>
      <c r="E63" s="474"/>
      <c r="G63" s="533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W63" s="486"/>
      <c r="AX63" s="486"/>
      <c r="AY63" s="486"/>
      <c r="AZ63" s="486"/>
      <c r="BA63" s="486"/>
      <c r="BB63" s="486"/>
      <c r="BC63" s="486"/>
      <c r="BD63" s="486"/>
      <c r="BE63" s="486"/>
      <c r="BF63" s="486"/>
      <c r="BG63" s="486"/>
      <c r="BH63" s="486"/>
      <c r="BI63" s="486"/>
      <c r="BJ63" s="486"/>
      <c r="BK63" s="486"/>
      <c r="BL63" s="486"/>
      <c r="BM63" s="486"/>
      <c r="BN63" s="486"/>
      <c r="BO63" s="486"/>
      <c r="BP63" s="486"/>
      <c r="BQ63" s="486"/>
      <c r="BR63" s="486"/>
      <c r="BS63" s="486"/>
      <c r="BT63" s="486"/>
      <c r="BU63" s="486"/>
      <c r="BV63" s="486"/>
      <c r="BW63" s="486"/>
      <c r="BX63" s="486"/>
      <c r="BY63" s="486"/>
      <c r="BZ63" s="486"/>
      <c r="CA63" s="486"/>
      <c r="CB63" s="486"/>
      <c r="CC63" s="486"/>
      <c r="CD63" s="486"/>
      <c r="CE63" s="486"/>
      <c r="CF63" s="486"/>
      <c r="CG63" s="486"/>
      <c r="CH63" s="486"/>
      <c r="CI63" s="486"/>
      <c r="CJ63" s="486"/>
      <c r="CK63" s="486"/>
      <c r="CL63" s="486"/>
      <c r="CM63" s="486"/>
      <c r="CN63" s="486"/>
      <c r="CO63" s="486"/>
      <c r="CP63" s="486"/>
      <c r="CQ63" s="486"/>
      <c r="CR63" s="486"/>
      <c r="CS63" s="486"/>
      <c r="CT63" s="486"/>
      <c r="CU63" s="486"/>
      <c r="CV63" s="486"/>
      <c r="CW63" s="486"/>
      <c r="CX63" s="486"/>
      <c r="CY63" s="486"/>
      <c r="CZ63" s="486"/>
      <c r="DA63" s="486"/>
      <c r="DB63" s="486"/>
      <c r="DC63" s="486"/>
      <c r="DD63" s="486"/>
      <c r="DE63" s="486"/>
      <c r="DF63" s="486"/>
      <c r="DG63" s="486"/>
      <c r="DH63" s="486"/>
      <c r="DI63" s="486"/>
      <c r="DJ63" s="486"/>
      <c r="DK63" s="486"/>
      <c r="DL63" s="486"/>
      <c r="DM63" s="486"/>
      <c r="DN63" s="486"/>
      <c r="DO63" s="486"/>
      <c r="DP63" s="486"/>
      <c r="DQ63" s="486"/>
      <c r="DR63" s="486"/>
      <c r="DS63" s="486"/>
      <c r="DT63" s="486"/>
      <c r="DU63" s="486"/>
      <c r="DV63" s="486"/>
      <c r="DW63" s="486"/>
      <c r="DX63" s="486"/>
      <c r="DY63" s="486"/>
      <c r="DZ63" s="486"/>
      <c r="EA63" s="486"/>
      <c r="EB63" s="486"/>
      <c r="EC63" s="486"/>
      <c r="ED63" s="486"/>
      <c r="EE63" s="486"/>
      <c r="EF63" s="486"/>
      <c r="EG63" s="486"/>
      <c r="EH63" s="486"/>
      <c r="EI63" s="486"/>
      <c r="EJ63" s="486"/>
      <c r="EK63" s="486"/>
      <c r="EL63" s="486"/>
      <c r="EM63" s="486"/>
      <c r="EN63" s="486"/>
      <c r="EO63" s="486"/>
      <c r="EP63" s="486"/>
      <c r="EQ63" s="486"/>
      <c r="ER63" s="486"/>
      <c r="ES63" s="486"/>
      <c r="ET63" s="486"/>
      <c r="EU63" s="486"/>
      <c r="EV63" s="486"/>
      <c r="EW63" s="486"/>
      <c r="EX63" s="486"/>
      <c r="EY63" s="486"/>
      <c r="EZ63" s="486"/>
      <c r="FA63" s="486"/>
      <c r="FB63" s="486"/>
      <c r="FC63" s="486"/>
      <c r="FD63" s="486"/>
      <c r="FE63" s="486"/>
      <c r="FF63" s="486"/>
      <c r="FG63" s="486"/>
      <c r="FH63" s="486"/>
      <c r="FI63" s="486"/>
      <c r="FJ63" s="486"/>
      <c r="FK63" s="486"/>
      <c r="FL63" s="486"/>
      <c r="FM63" s="486"/>
      <c r="FN63" s="486"/>
      <c r="FO63" s="486"/>
      <c r="FP63" s="486"/>
      <c r="FQ63" s="486"/>
      <c r="FR63" s="486"/>
      <c r="FS63" s="486"/>
      <c r="FT63" s="486"/>
      <c r="FU63" s="486"/>
      <c r="FV63" s="486"/>
      <c r="FW63" s="486"/>
      <c r="FX63" s="486"/>
      <c r="FY63" s="486"/>
      <c r="FZ63" s="486"/>
      <c r="GA63" s="486"/>
      <c r="GB63" s="486"/>
      <c r="GC63" s="486"/>
      <c r="GD63" s="486"/>
      <c r="GE63" s="486"/>
      <c r="GF63" s="486"/>
      <c r="GG63" s="486"/>
      <c r="GH63" s="486"/>
      <c r="GI63" s="486"/>
      <c r="GJ63" s="486"/>
      <c r="GK63" s="486"/>
      <c r="GL63" s="486"/>
      <c r="GM63" s="486"/>
      <c r="GN63" s="486"/>
      <c r="GO63" s="486"/>
      <c r="GP63" s="486"/>
      <c r="GQ63" s="486"/>
      <c r="GR63" s="486"/>
      <c r="GS63" s="486"/>
      <c r="GT63" s="486"/>
      <c r="GU63" s="486"/>
      <c r="GV63" s="486"/>
      <c r="GW63" s="486"/>
      <c r="GX63" s="486"/>
      <c r="GY63" s="486"/>
      <c r="GZ63" s="486"/>
      <c r="HA63" s="486"/>
      <c r="HB63" s="486"/>
      <c r="HC63" s="486"/>
      <c r="HD63" s="486"/>
      <c r="HE63" s="486"/>
      <c r="HF63" s="486"/>
      <c r="HG63" s="486"/>
      <c r="HH63" s="486"/>
      <c r="HI63" s="486"/>
      <c r="HJ63" s="486"/>
      <c r="HK63" s="486"/>
      <c r="HL63" s="486"/>
      <c r="HM63" s="486"/>
      <c r="HN63" s="486"/>
      <c r="HO63" s="486"/>
      <c r="HP63" s="486"/>
      <c r="HQ63" s="486"/>
      <c r="HR63" s="486"/>
      <c r="HS63" s="486"/>
      <c r="HT63" s="486"/>
      <c r="HU63" s="486"/>
      <c r="HV63" s="486"/>
      <c r="HW63" s="486"/>
      <c r="HX63" s="486"/>
      <c r="HY63" s="486"/>
      <c r="HZ63" s="486"/>
      <c r="IA63" s="486"/>
      <c r="IB63" s="486"/>
      <c r="IC63" s="486"/>
      <c r="ID63" s="486"/>
      <c r="IE63" s="486"/>
      <c r="IF63" s="486"/>
      <c r="IG63" s="486"/>
      <c r="IH63" s="486"/>
      <c r="II63" s="486"/>
      <c r="IJ63" s="486"/>
      <c r="IK63" s="486"/>
      <c r="IL63" s="486"/>
    </row>
    <row r="64" spans="1:246" s="531" customFormat="1" ht="15" hidden="1" customHeight="1">
      <c r="A64" s="486"/>
      <c r="B64" s="486"/>
      <c r="C64" s="474"/>
      <c r="D64" s="528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6"/>
      <c r="BF64" s="486"/>
      <c r="BG64" s="486"/>
      <c r="BH64" s="486"/>
      <c r="BI64" s="486"/>
      <c r="BJ64" s="486"/>
      <c r="BK64" s="486"/>
      <c r="BL64" s="486"/>
      <c r="BM64" s="486"/>
      <c r="BN64" s="486"/>
      <c r="BO64" s="486"/>
      <c r="BP64" s="486"/>
      <c r="BQ64" s="486"/>
      <c r="BR64" s="486"/>
      <c r="BS64" s="486"/>
      <c r="BT64" s="486"/>
      <c r="BU64" s="486"/>
      <c r="BV64" s="486"/>
      <c r="BW64" s="486"/>
      <c r="BX64" s="486"/>
      <c r="BY64" s="486"/>
      <c r="BZ64" s="486"/>
      <c r="CA64" s="486"/>
      <c r="CB64" s="486"/>
      <c r="CC64" s="486"/>
      <c r="CD64" s="486"/>
      <c r="CE64" s="486"/>
      <c r="CF64" s="486"/>
      <c r="CG64" s="486"/>
      <c r="CH64" s="486"/>
      <c r="CI64" s="486"/>
      <c r="CJ64" s="486"/>
      <c r="CK64" s="486"/>
      <c r="CL64" s="486"/>
      <c r="CM64" s="486"/>
      <c r="CN64" s="486"/>
      <c r="CO64" s="486"/>
      <c r="CP64" s="486"/>
      <c r="CQ64" s="486"/>
      <c r="CR64" s="486"/>
      <c r="CS64" s="486"/>
      <c r="CT64" s="486"/>
      <c r="CU64" s="486"/>
      <c r="CV64" s="486"/>
      <c r="CW64" s="486"/>
      <c r="CX64" s="486"/>
      <c r="CY64" s="486"/>
      <c r="CZ64" s="486"/>
      <c r="DA64" s="486"/>
      <c r="DB64" s="486"/>
      <c r="DC64" s="486"/>
      <c r="DD64" s="486"/>
      <c r="DE64" s="486"/>
      <c r="DF64" s="486"/>
      <c r="DG64" s="486"/>
      <c r="DH64" s="486"/>
      <c r="DI64" s="486"/>
      <c r="DJ64" s="486"/>
      <c r="DK64" s="486"/>
      <c r="DL64" s="486"/>
      <c r="DM64" s="486"/>
      <c r="DN64" s="486"/>
      <c r="DO64" s="486"/>
      <c r="DP64" s="486"/>
      <c r="DQ64" s="486"/>
      <c r="DR64" s="486"/>
      <c r="DS64" s="486"/>
      <c r="DT64" s="486"/>
      <c r="DU64" s="486"/>
      <c r="DV64" s="486"/>
      <c r="DW64" s="486"/>
      <c r="DX64" s="486"/>
      <c r="DY64" s="486"/>
      <c r="DZ64" s="486"/>
      <c r="EA64" s="486"/>
      <c r="EB64" s="486"/>
      <c r="EC64" s="486"/>
      <c r="ED64" s="486"/>
      <c r="EE64" s="486"/>
      <c r="EF64" s="486"/>
      <c r="EG64" s="486"/>
      <c r="EH64" s="486"/>
      <c r="EI64" s="486"/>
      <c r="EJ64" s="486"/>
      <c r="EK64" s="486"/>
      <c r="EL64" s="486"/>
      <c r="EM64" s="486"/>
      <c r="EN64" s="486"/>
      <c r="EO64" s="486"/>
      <c r="EP64" s="486"/>
      <c r="EQ64" s="486"/>
      <c r="ER64" s="486"/>
      <c r="ES64" s="486"/>
      <c r="ET64" s="486"/>
      <c r="EU64" s="486"/>
      <c r="EV64" s="486"/>
      <c r="EW64" s="486"/>
      <c r="EX64" s="486"/>
      <c r="EY64" s="486"/>
      <c r="EZ64" s="486"/>
      <c r="FA64" s="486"/>
      <c r="FB64" s="486"/>
      <c r="FC64" s="486"/>
      <c r="FD64" s="486"/>
      <c r="FE64" s="486"/>
      <c r="FF64" s="486"/>
      <c r="FG64" s="486"/>
      <c r="FH64" s="486"/>
      <c r="FI64" s="486"/>
      <c r="FJ64" s="486"/>
      <c r="FK64" s="486"/>
      <c r="FL64" s="486"/>
      <c r="FM64" s="486"/>
      <c r="FN64" s="486"/>
      <c r="FO64" s="486"/>
      <c r="FP64" s="486"/>
      <c r="FQ64" s="486"/>
      <c r="FR64" s="486"/>
      <c r="FS64" s="486"/>
      <c r="FT64" s="486"/>
      <c r="FU64" s="486"/>
      <c r="FV64" s="486"/>
      <c r="FW64" s="486"/>
      <c r="FX64" s="486"/>
      <c r="FY64" s="486"/>
      <c r="FZ64" s="486"/>
      <c r="GA64" s="486"/>
      <c r="GB64" s="486"/>
      <c r="GC64" s="486"/>
      <c r="GD64" s="486"/>
      <c r="GE64" s="486"/>
      <c r="GF64" s="486"/>
      <c r="GG64" s="486"/>
      <c r="GH64" s="486"/>
      <c r="GI64" s="486"/>
      <c r="GJ64" s="486"/>
      <c r="GK64" s="486"/>
      <c r="GL64" s="486"/>
      <c r="GM64" s="486"/>
      <c r="GN64" s="486"/>
      <c r="GO64" s="486"/>
      <c r="GP64" s="486"/>
      <c r="GQ64" s="486"/>
      <c r="GR64" s="486"/>
      <c r="GS64" s="486"/>
      <c r="GT64" s="486"/>
      <c r="GU64" s="486"/>
      <c r="GV64" s="486"/>
      <c r="GW64" s="486"/>
      <c r="GX64" s="486"/>
      <c r="GY64" s="486"/>
      <c r="GZ64" s="486"/>
      <c r="HA64" s="486"/>
      <c r="HB64" s="486"/>
      <c r="HC64" s="486"/>
      <c r="HD64" s="486"/>
      <c r="HE64" s="486"/>
      <c r="HF64" s="486"/>
      <c r="HG64" s="486"/>
      <c r="HH64" s="486"/>
      <c r="HI64" s="486"/>
      <c r="HJ64" s="486"/>
      <c r="HK64" s="486"/>
      <c r="HL64" s="486"/>
      <c r="HM64" s="486"/>
      <c r="HN64" s="486"/>
      <c r="HO64" s="486"/>
      <c r="HP64" s="486"/>
      <c r="HQ64" s="486"/>
      <c r="HR64" s="486"/>
      <c r="HS64" s="486"/>
      <c r="HT64" s="486"/>
      <c r="HU64" s="486"/>
      <c r="HV64" s="486"/>
      <c r="HW64" s="486"/>
      <c r="HX64" s="486"/>
      <c r="HY64" s="486"/>
      <c r="HZ64" s="486"/>
      <c r="IA64" s="486"/>
      <c r="IB64" s="486"/>
      <c r="IC64" s="486"/>
      <c r="ID64" s="486"/>
      <c r="IE64" s="486"/>
      <c r="IF64" s="486"/>
      <c r="IG64" s="486"/>
      <c r="IH64" s="486"/>
      <c r="II64" s="486"/>
      <c r="IJ64" s="486"/>
      <c r="IK64" s="486"/>
      <c r="IL64" s="486"/>
    </row>
    <row r="65" spans="1:246" hidden="1">
      <c r="E65" s="534"/>
      <c r="F65" s="535"/>
    </row>
    <row r="66" spans="1:246" s="531" customFormat="1" hidden="1">
      <c r="A66" s="486"/>
      <c r="B66" s="486"/>
      <c r="C66" s="474"/>
      <c r="D66" s="528"/>
      <c r="E66" s="536" t="s">
        <v>954</v>
      </c>
      <c r="F66" s="490">
        <v>3802500</v>
      </c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6"/>
      <c r="AP66" s="486"/>
      <c r="AQ66" s="486"/>
      <c r="AR66" s="486"/>
      <c r="AS66" s="486"/>
      <c r="AT66" s="486"/>
      <c r="AU66" s="486"/>
      <c r="AV66" s="486"/>
      <c r="AW66" s="486"/>
      <c r="AX66" s="486"/>
      <c r="AY66" s="486"/>
      <c r="AZ66" s="486"/>
      <c r="BA66" s="486"/>
      <c r="BB66" s="486"/>
      <c r="BC66" s="486"/>
      <c r="BD66" s="486"/>
      <c r="BE66" s="486"/>
      <c r="BF66" s="486"/>
      <c r="BG66" s="486"/>
      <c r="BH66" s="486"/>
      <c r="BI66" s="486"/>
      <c r="BJ66" s="486"/>
      <c r="BK66" s="486"/>
      <c r="BL66" s="486"/>
      <c r="BM66" s="486"/>
      <c r="BN66" s="486"/>
      <c r="BO66" s="486"/>
      <c r="BP66" s="486"/>
      <c r="BQ66" s="486"/>
      <c r="BR66" s="486"/>
      <c r="BS66" s="486"/>
      <c r="BT66" s="486"/>
      <c r="BU66" s="486"/>
      <c r="BV66" s="486"/>
      <c r="BW66" s="486"/>
      <c r="BX66" s="486"/>
      <c r="BY66" s="486"/>
      <c r="BZ66" s="486"/>
      <c r="CA66" s="486"/>
      <c r="CB66" s="486"/>
      <c r="CC66" s="486"/>
      <c r="CD66" s="486"/>
      <c r="CE66" s="486"/>
      <c r="CF66" s="486"/>
      <c r="CG66" s="486"/>
      <c r="CH66" s="486"/>
      <c r="CI66" s="486"/>
      <c r="CJ66" s="486"/>
      <c r="CK66" s="486"/>
      <c r="CL66" s="486"/>
      <c r="CM66" s="486"/>
      <c r="CN66" s="486"/>
      <c r="CO66" s="486"/>
      <c r="CP66" s="486"/>
      <c r="CQ66" s="486"/>
      <c r="CR66" s="486"/>
      <c r="CS66" s="486"/>
      <c r="CT66" s="486"/>
      <c r="CU66" s="486"/>
      <c r="CV66" s="486"/>
      <c r="CW66" s="486"/>
      <c r="CX66" s="486"/>
      <c r="CY66" s="486"/>
      <c r="CZ66" s="486"/>
      <c r="DA66" s="486"/>
      <c r="DB66" s="486"/>
      <c r="DC66" s="486"/>
      <c r="DD66" s="486"/>
      <c r="DE66" s="486"/>
      <c r="DF66" s="486"/>
      <c r="DG66" s="486"/>
      <c r="DH66" s="486"/>
      <c r="DI66" s="486"/>
      <c r="DJ66" s="486"/>
      <c r="DK66" s="486"/>
      <c r="DL66" s="486"/>
      <c r="DM66" s="486"/>
      <c r="DN66" s="486"/>
      <c r="DO66" s="486"/>
      <c r="DP66" s="486"/>
      <c r="DQ66" s="486"/>
      <c r="DR66" s="486"/>
      <c r="DS66" s="486"/>
      <c r="DT66" s="486"/>
      <c r="DU66" s="486"/>
      <c r="DV66" s="486"/>
      <c r="DW66" s="486"/>
      <c r="DX66" s="486"/>
      <c r="DY66" s="486"/>
      <c r="DZ66" s="486"/>
      <c r="EA66" s="486"/>
      <c r="EB66" s="486"/>
      <c r="EC66" s="486"/>
      <c r="ED66" s="486"/>
      <c r="EE66" s="486"/>
      <c r="EF66" s="486"/>
      <c r="EG66" s="486"/>
      <c r="EH66" s="486"/>
      <c r="EI66" s="486"/>
      <c r="EJ66" s="486"/>
      <c r="EK66" s="486"/>
      <c r="EL66" s="486"/>
      <c r="EM66" s="486"/>
      <c r="EN66" s="486"/>
      <c r="EO66" s="486"/>
      <c r="EP66" s="486"/>
      <c r="EQ66" s="486"/>
      <c r="ER66" s="486"/>
      <c r="ES66" s="486"/>
      <c r="ET66" s="486"/>
      <c r="EU66" s="486"/>
      <c r="EV66" s="486"/>
      <c r="EW66" s="486"/>
      <c r="EX66" s="486"/>
      <c r="EY66" s="486"/>
      <c r="EZ66" s="486"/>
      <c r="FA66" s="486"/>
      <c r="FB66" s="486"/>
      <c r="FC66" s="486"/>
      <c r="FD66" s="486"/>
      <c r="FE66" s="486"/>
      <c r="FF66" s="486"/>
      <c r="FG66" s="486"/>
      <c r="FH66" s="486"/>
      <c r="FI66" s="486"/>
      <c r="FJ66" s="486"/>
      <c r="FK66" s="486"/>
      <c r="FL66" s="486"/>
      <c r="FM66" s="486"/>
      <c r="FN66" s="486"/>
      <c r="FO66" s="486"/>
      <c r="FP66" s="486"/>
      <c r="FQ66" s="486"/>
      <c r="FR66" s="486"/>
      <c r="FS66" s="486"/>
      <c r="FT66" s="486"/>
      <c r="FU66" s="486"/>
      <c r="FV66" s="486"/>
      <c r="FW66" s="486"/>
      <c r="FX66" s="486"/>
      <c r="FY66" s="486"/>
      <c r="FZ66" s="486"/>
      <c r="GA66" s="486"/>
      <c r="GB66" s="486"/>
      <c r="GC66" s="486"/>
      <c r="GD66" s="486"/>
      <c r="GE66" s="486"/>
      <c r="GF66" s="486"/>
      <c r="GG66" s="486"/>
      <c r="GH66" s="486"/>
      <c r="GI66" s="486"/>
      <c r="GJ66" s="486"/>
      <c r="GK66" s="486"/>
      <c r="GL66" s="486"/>
      <c r="GM66" s="486"/>
      <c r="GN66" s="486"/>
      <c r="GO66" s="486"/>
      <c r="GP66" s="486"/>
      <c r="GQ66" s="486"/>
      <c r="GR66" s="486"/>
      <c r="GS66" s="486"/>
      <c r="GT66" s="486"/>
      <c r="GU66" s="486"/>
      <c r="GV66" s="486"/>
      <c r="GW66" s="486"/>
      <c r="GX66" s="486"/>
      <c r="GY66" s="486"/>
      <c r="GZ66" s="486"/>
      <c r="HA66" s="486"/>
      <c r="HB66" s="486"/>
      <c r="HC66" s="486"/>
      <c r="HD66" s="486"/>
      <c r="HE66" s="486"/>
      <c r="HF66" s="486"/>
      <c r="HG66" s="486"/>
      <c r="HH66" s="486"/>
      <c r="HI66" s="486"/>
      <c r="HJ66" s="486"/>
      <c r="HK66" s="486"/>
      <c r="HL66" s="486"/>
      <c r="HM66" s="486"/>
      <c r="HN66" s="486"/>
      <c r="HO66" s="486"/>
      <c r="HP66" s="486"/>
      <c r="HQ66" s="486"/>
      <c r="HR66" s="486"/>
      <c r="HS66" s="486"/>
      <c r="HT66" s="486"/>
      <c r="HU66" s="486"/>
      <c r="HV66" s="486"/>
      <c r="HW66" s="486"/>
      <c r="HX66" s="486"/>
      <c r="HY66" s="486"/>
      <c r="HZ66" s="486"/>
      <c r="IA66" s="486"/>
      <c r="IB66" s="486"/>
      <c r="IC66" s="486"/>
      <c r="ID66" s="486"/>
      <c r="IE66" s="486"/>
      <c r="IF66" s="486"/>
      <c r="IG66" s="486"/>
      <c r="IH66" s="486"/>
      <c r="II66" s="486"/>
      <c r="IJ66" s="486"/>
      <c r="IK66" s="486"/>
      <c r="IL66" s="486"/>
    </row>
    <row r="67" spans="1:246" hidden="1">
      <c r="E67" s="536" t="s">
        <v>877</v>
      </c>
      <c r="F67" s="490">
        <v>3802500</v>
      </c>
    </row>
    <row r="68" spans="1:246" hidden="1">
      <c r="E68" s="537" t="s">
        <v>913</v>
      </c>
      <c r="F68" s="490">
        <v>4387500</v>
      </c>
    </row>
    <row r="69" spans="1:246" hidden="1">
      <c r="E69" s="536" t="s">
        <v>914</v>
      </c>
      <c r="F69" s="490">
        <v>3802500</v>
      </c>
    </row>
    <row r="70" spans="1:246" hidden="1">
      <c r="E70" s="536" t="s">
        <v>915</v>
      </c>
      <c r="F70" s="490">
        <v>3802500</v>
      </c>
    </row>
    <row r="71" spans="1:246" hidden="1">
      <c r="E71" s="538" t="s">
        <v>866</v>
      </c>
      <c r="F71" s="539">
        <v>3802500</v>
      </c>
    </row>
    <row r="72" spans="1:246" hidden="1"/>
    <row r="73" spans="1:246">
      <c r="F73" s="511"/>
      <c r="G73" s="511">
        <f>G58-'data Prognosa rutin'!N57</f>
        <v>0</v>
      </c>
    </row>
  </sheetData>
  <mergeCells count="18">
    <mergeCell ref="O48:O52"/>
    <mergeCell ref="B50:I50"/>
    <mergeCell ref="B51:M51"/>
    <mergeCell ref="J5:J6"/>
    <mergeCell ref="K5:K6"/>
    <mergeCell ref="H5:H6"/>
    <mergeCell ref="I5:I6"/>
    <mergeCell ref="C55:C57"/>
    <mergeCell ref="L5:M5"/>
    <mergeCell ref="D7:E7"/>
    <mergeCell ref="C45:C47"/>
    <mergeCell ref="B2:I2"/>
    <mergeCell ref="B3:I3"/>
    <mergeCell ref="B5:B6"/>
    <mergeCell ref="C5:C6"/>
    <mergeCell ref="D5:E6"/>
    <mergeCell ref="F5:F6"/>
    <mergeCell ref="G5:G6"/>
  </mergeCells>
  <printOptions horizontalCentered="1"/>
  <pageMargins left="0.5" right="0" top="0.25" bottom="0" header="0.3" footer="0.3"/>
  <pageSetup paperSize="9" scale="64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EE8C-DC49-4AE3-8034-37D056BFCA4B}">
  <sheetPr>
    <tabColor rgb="FFFF0000"/>
    <pageSetUpPr fitToPage="1"/>
  </sheetPr>
  <dimension ref="A2:JC60"/>
  <sheetViews>
    <sheetView showGridLines="0" view="pageBreakPreview" topLeftCell="L1" zoomScaleNormal="100" zoomScaleSheetLayoutView="100" workbookViewId="0">
      <selection activeCell="I6" sqref="I6"/>
    </sheetView>
  </sheetViews>
  <sheetFormatPr defaultColWidth="18.5546875" defaultRowHeight="13.8"/>
  <cols>
    <col min="1" max="1" width="4" style="411" customWidth="1"/>
    <col min="2" max="2" width="5.5546875" style="411" customWidth="1"/>
    <col min="3" max="3" width="30.21875" style="411" customWidth="1"/>
    <col min="4" max="4" width="4.5546875" style="457" bestFit="1" customWidth="1"/>
    <col min="5" max="5" width="41" style="411" customWidth="1"/>
    <col min="6" max="22" width="14.5546875" style="411" customWidth="1"/>
    <col min="23" max="31" width="14.5546875" style="411" hidden="1" customWidth="1"/>
    <col min="32" max="32" width="17.21875" style="411" hidden="1" customWidth="1"/>
    <col min="33" max="33" width="17.88671875" style="411" hidden="1" customWidth="1"/>
    <col min="34" max="34" width="8.77734375" style="411" hidden="1" customWidth="1"/>
    <col min="35" max="38" width="10.21875" style="411" hidden="1" customWidth="1"/>
    <col min="39" max="40" width="11.21875" style="411" hidden="1" customWidth="1"/>
    <col min="41" max="251" width="8.77734375" style="411" customWidth="1"/>
    <col min="252" max="252" width="2.5546875" style="411" customWidth="1"/>
    <col min="253" max="253" width="5.5546875" style="411" customWidth="1"/>
    <col min="254" max="254" width="23.77734375" style="411" customWidth="1"/>
    <col min="255" max="255" width="3.77734375" style="411" customWidth="1"/>
    <col min="256" max="256" width="35.77734375" style="411" customWidth="1"/>
    <col min="257" max="257" width="22.21875" style="411" customWidth="1"/>
    <col min="258" max="258" width="17.77734375" style="411" customWidth="1"/>
    <col min="259" max="259" width="19" style="411" customWidth="1"/>
    <col min="260" max="260" width="20.77734375" style="411" customWidth="1"/>
    <col min="261" max="261" width="16.77734375" style="411" customWidth="1"/>
    <col min="262" max="262" width="18.77734375" style="411" customWidth="1"/>
    <col min="263" max="270" width="18.5546875" style="411"/>
    <col min="271" max="271" width="4" style="411" customWidth="1"/>
    <col min="272" max="272" width="5.5546875" style="411" customWidth="1"/>
    <col min="273" max="273" width="30.21875" style="411" customWidth="1"/>
    <col min="274" max="274" width="4.5546875" style="411" bestFit="1" customWidth="1"/>
    <col min="275" max="275" width="41" style="411" customWidth="1"/>
    <col min="276" max="277" width="14.5546875" style="411" customWidth="1"/>
    <col min="278" max="278" width="16.5546875" style="411" customWidth="1"/>
    <col min="279" max="281" width="14.5546875" style="411" customWidth="1"/>
    <col min="282" max="283" width="12.5546875" style="411" customWidth="1"/>
    <col min="284" max="284" width="16.5546875" style="411" customWidth="1"/>
    <col min="285" max="286" width="20.5546875" style="411" customWidth="1"/>
    <col min="287" max="287" width="11" style="411" bestFit="1" customWidth="1"/>
    <col min="288" max="288" width="17.21875" style="411" customWidth="1"/>
    <col min="289" max="289" width="11" style="411" bestFit="1" customWidth="1"/>
    <col min="290" max="290" width="8.77734375" style="411" customWidth="1"/>
    <col min="291" max="294" width="10.21875" style="411" bestFit="1" customWidth="1"/>
    <col min="295" max="296" width="11.21875" style="411" bestFit="1" customWidth="1"/>
    <col min="297" max="507" width="8.77734375" style="411" customWidth="1"/>
    <col min="508" max="508" width="2.5546875" style="411" customWidth="1"/>
    <col min="509" max="509" width="5.5546875" style="411" customWidth="1"/>
    <col min="510" max="510" width="23.77734375" style="411" customWidth="1"/>
    <col min="511" max="511" width="3.77734375" style="411" customWidth="1"/>
    <col min="512" max="512" width="35.77734375" style="411" customWidth="1"/>
    <col min="513" max="513" width="22.21875" style="411" customWidth="1"/>
    <col min="514" max="514" width="17.77734375" style="411" customWidth="1"/>
    <col min="515" max="515" width="19" style="411" customWidth="1"/>
    <col min="516" max="516" width="20.77734375" style="411" customWidth="1"/>
    <col min="517" max="517" width="16.77734375" style="411" customWidth="1"/>
    <col min="518" max="518" width="18.77734375" style="411" customWidth="1"/>
    <col min="519" max="526" width="18.5546875" style="411"/>
    <col min="527" max="527" width="4" style="411" customWidth="1"/>
    <col min="528" max="528" width="5.5546875" style="411" customWidth="1"/>
    <col min="529" max="529" width="30.21875" style="411" customWidth="1"/>
    <col min="530" max="530" width="4.5546875" style="411" bestFit="1" customWidth="1"/>
    <col min="531" max="531" width="41" style="411" customWidth="1"/>
    <col min="532" max="533" width="14.5546875" style="411" customWidth="1"/>
    <col min="534" max="534" width="16.5546875" style="411" customWidth="1"/>
    <col min="535" max="537" width="14.5546875" style="411" customWidth="1"/>
    <col min="538" max="539" width="12.5546875" style="411" customWidth="1"/>
    <col min="540" max="540" width="16.5546875" style="411" customWidth="1"/>
    <col min="541" max="542" width="20.5546875" style="411" customWidth="1"/>
    <col min="543" max="543" width="11" style="411" bestFit="1" customWidth="1"/>
    <col min="544" max="544" width="17.21875" style="411" customWidth="1"/>
    <col min="545" max="545" width="11" style="411" bestFit="1" customWidth="1"/>
    <col min="546" max="546" width="8.77734375" style="411" customWidth="1"/>
    <col min="547" max="550" width="10.21875" style="411" bestFit="1" customWidth="1"/>
    <col min="551" max="552" width="11.21875" style="411" bestFit="1" customWidth="1"/>
    <col min="553" max="763" width="8.77734375" style="411" customWidth="1"/>
    <col min="764" max="764" width="2.5546875" style="411" customWidth="1"/>
    <col min="765" max="765" width="5.5546875" style="411" customWidth="1"/>
    <col min="766" max="766" width="23.77734375" style="411" customWidth="1"/>
    <col min="767" max="767" width="3.77734375" style="411" customWidth="1"/>
    <col min="768" max="768" width="35.77734375" style="411" customWidth="1"/>
    <col min="769" max="769" width="22.21875" style="411" customWidth="1"/>
    <col min="770" max="770" width="17.77734375" style="411" customWidth="1"/>
    <col min="771" max="771" width="19" style="411" customWidth="1"/>
    <col min="772" max="772" width="20.77734375" style="411" customWidth="1"/>
    <col min="773" max="773" width="16.77734375" style="411" customWidth="1"/>
    <col min="774" max="774" width="18.77734375" style="411" customWidth="1"/>
    <col min="775" max="782" width="18.5546875" style="411"/>
    <col min="783" max="783" width="4" style="411" customWidth="1"/>
    <col min="784" max="784" width="5.5546875" style="411" customWidth="1"/>
    <col min="785" max="785" width="30.21875" style="411" customWidth="1"/>
    <col min="786" max="786" width="4.5546875" style="411" bestFit="1" customWidth="1"/>
    <col min="787" max="787" width="41" style="411" customWidth="1"/>
    <col min="788" max="789" width="14.5546875" style="411" customWidth="1"/>
    <col min="790" max="790" width="16.5546875" style="411" customWidth="1"/>
    <col min="791" max="793" width="14.5546875" style="411" customWidth="1"/>
    <col min="794" max="795" width="12.5546875" style="411" customWidth="1"/>
    <col min="796" max="796" width="16.5546875" style="411" customWidth="1"/>
    <col min="797" max="798" width="20.5546875" style="411" customWidth="1"/>
    <col min="799" max="799" width="11" style="411" bestFit="1" customWidth="1"/>
    <col min="800" max="800" width="17.21875" style="411" customWidth="1"/>
    <col min="801" max="801" width="11" style="411" bestFit="1" customWidth="1"/>
    <col min="802" max="802" width="8.77734375" style="411" customWidth="1"/>
    <col min="803" max="806" width="10.21875" style="411" bestFit="1" customWidth="1"/>
    <col min="807" max="808" width="11.21875" style="411" bestFit="1" customWidth="1"/>
    <col min="809" max="1019" width="8.77734375" style="411" customWidth="1"/>
    <col min="1020" max="1020" width="2.5546875" style="411" customWidth="1"/>
    <col min="1021" max="1021" width="5.5546875" style="411" customWidth="1"/>
    <col min="1022" max="1022" width="23.77734375" style="411" customWidth="1"/>
    <col min="1023" max="1023" width="3.77734375" style="411" customWidth="1"/>
    <col min="1024" max="1024" width="35.77734375" style="411" customWidth="1"/>
    <col min="1025" max="1025" width="22.21875" style="411" customWidth="1"/>
    <col min="1026" max="1026" width="17.77734375" style="411" customWidth="1"/>
    <col min="1027" max="1027" width="19" style="411" customWidth="1"/>
    <col min="1028" max="1028" width="20.77734375" style="411" customWidth="1"/>
    <col min="1029" max="1029" width="16.77734375" style="411" customWidth="1"/>
    <col min="1030" max="1030" width="18.77734375" style="411" customWidth="1"/>
    <col min="1031" max="1038" width="18.5546875" style="411"/>
    <col min="1039" max="1039" width="4" style="411" customWidth="1"/>
    <col min="1040" max="1040" width="5.5546875" style="411" customWidth="1"/>
    <col min="1041" max="1041" width="30.21875" style="411" customWidth="1"/>
    <col min="1042" max="1042" width="4.5546875" style="411" bestFit="1" customWidth="1"/>
    <col min="1043" max="1043" width="41" style="411" customWidth="1"/>
    <col min="1044" max="1045" width="14.5546875" style="411" customWidth="1"/>
    <col min="1046" max="1046" width="16.5546875" style="411" customWidth="1"/>
    <col min="1047" max="1049" width="14.5546875" style="411" customWidth="1"/>
    <col min="1050" max="1051" width="12.5546875" style="411" customWidth="1"/>
    <col min="1052" max="1052" width="16.5546875" style="411" customWidth="1"/>
    <col min="1053" max="1054" width="20.5546875" style="411" customWidth="1"/>
    <col min="1055" max="1055" width="11" style="411" bestFit="1" customWidth="1"/>
    <col min="1056" max="1056" width="17.21875" style="411" customWidth="1"/>
    <col min="1057" max="1057" width="11" style="411" bestFit="1" customWidth="1"/>
    <col min="1058" max="1058" width="8.77734375" style="411" customWidth="1"/>
    <col min="1059" max="1062" width="10.21875" style="411" bestFit="1" customWidth="1"/>
    <col min="1063" max="1064" width="11.21875" style="411" bestFit="1" customWidth="1"/>
    <col min="1065" max="1275" width="8.77734375" style="411" customWidth="1"/>
    <col min="1276" max="1276" width="2.5546875" style="411" customWidth="1"/>
    <col min="1277" max="1277" width="5.5546875" style="411" customWidth="1"/>
    <col min="1278" max="1278" width="23.77734375" style="411" customWidth="1"/>
    <col min="1279" max="1279" width="3.77734375" style="411" customWidth="1"/>
    <col min="1280" max="1280" width="35.77734375" style="411" customWidth="1"/>
    <col min="1281" max="1281" width="22.21875" style="411" customWidth="1"/>
    <col min="1282" max="1282" width="17.77734375" style="411" customWidth="1"/>
    <col min="1283" max="1283" width="19" style="411" customWidth="1"/>
    <col min="1284" max="1284" width="20.77734375" style="411" customWidth="1"/>
    <col min="1285" max="1285" width="16.77734375" style="411" customWidth="1"/>
    <col min="1286" max="1286" width="18.77734375" style="411" customWidth="1"/>
    <col min="1287" max="1294" width="18.5546875" style="411"/>
    <col min="1295" max="1295" width="4" style="411" customWidth="1"/>
    <col min="1296" max="1296" width="5.5546875" style="411" customWidth="1"/>
    <col min="1297" max="1297" width="30.21875" style="411" customWidth="1"/>
    <col min="1298" max="1298" width="4.5546875" style="411" bestFit="1" customWidth="1"/>
    <col min="1299" max="1299" width="41" style="411" customWidth="1"/>
    <col min="1300" max="1301" width="14.5546875" style="411" customWidth="1"/>
    <col min="1302" max="1302" width="16.5546875" style="411" customWidth="1"/>
    <col min="1303" max="1305" width="14.5546875" style="411" customWidth="1"/>
    <col min="1306" max="1307" width="12.5546875" style="411" customWidth="1"/>
    <col min="1308" max="1308" width="16.5546875" style="411" customWidth="1"/>
    <col min="1309" max="1310" width="20.5546875" style="411" customWidth="1"/>
    <col min="1311" max="1311" width="11" style="411" bestFit="1" customWidth="1"/>
    <col min="1312" max="1312" width="17.21875" style="411" customWidth="1"/>
    <col min="1313" max="1313" width="11" style="411" bestFit="1" customWidth="1"/>
    <col min="1314" max="1314" width="8.77734375" style="411" customWidth="1"/>
    <col min="1315" max="1318" width="10.21875" style="411" bestFit="1" customWidth="1"/>
    <col min="1319" max="1320" width="11.21875" style="411" bestFit="1" customWidth="1"/>
    <col min="1321" max="1531" width="8.77734375" style="411" customWidth="1"/>
    <col min="1532" max="1532" width="2.5546875" style="411" customWidth="1"/>
    <col min="1533" max="1533" width="5.5546875" style="411" customWidth="1"/>
    <col min="1534" max="1534" width="23.77734375" style="411" customWidth="1"/>
    <col min="1535" max="1535" width="3.77734375" style="411" customWidth="1"/>
    <col min="1536" max="1536" width="35.77734375" style="411" customWidth="1"/>
    <col min="1537" max="1537" width="22.21875" style="411" customWidth="1"/>
    <col min="1538" max="1538" width="17.77734375" style="411" customWidth="1"/>
    <col min="1539" max="1539" width="19" style="411" customWidth="1"/>
    <col min="1540" max="1540" width="20.77734375" style="411" customWidth="1"/>
    <col min="1541" max="1541" width="16.77734375" style="411" customWidth="1"/>
    <col min="1542" max="1542" width="18.77734375" style="411" customWidth="1"/>
    <col min="1543" max="1550" width="18.5546875" style="411"/>
    <col min="1551" max="1551" width="4" style="411" customWidth="1"/>
    <col min="1552" max="1552" width="5.5546875" style="411" customWidth="1"/>
    <col min="1553" max="1553" width="30.21875" style="411" customWidth="1"/>
    <col min="1554" max="1554" width="4.5546875" style="411" bestFit="1" customWidth="1"/>
    <col min="1555" max="1555" width="41" style="411" customWidth="1"/>
    <col min="1556" max="1557" width="14.5546875" style="411" customWidth="1"/>
    <col min="1558" max="1558" width="16.5546875" style="411" customWidth="1"/>
    <col min="1559" max="1561" width="14.5546875" style="411" customWidth="1"/>
    <col min="1562" max="1563" width="12.5546875" style="411" customWidth="1"/>
    <col min="1564" max="1564" width="16.5546875" style="411" customWidth="1"/>
    <col min="1565" max="1566" width="20.5546875" style="411" customWidth="1"/>
    <col min="1567" max="1567" width="11" style="411" bestFit="1" customWidth="1"/>
    <col min="1568" max="1568" width="17.21875" style="411" customWidth="1"/>
    <col min="1569" max="1569" width="11" style="411" bestFit="1" customWidth="1"/>
    <col min="1570" max="1570" width="8.77734375" style="411" customWidth="1"/>
    <col min="1571" max="1574" width="10.21875" style="411" bestFit="1" customWidth="1"/>
    <col min="1575" max="1576" width="11.21875" style="411" bestFit="1" customWidth="1"/>
    <col min="1577" max="1787" width="8.77734375" style="411" customWidth="1"/>
    <col min="1788" max="1788" width="2.5546875" style="411" customWidth="1"/>
    <col min="1789" max="1789" width="5.5546875" style="411" customWidth="1"/>
    <col min="1790" max="1790" width="23.77734375" style="411" customWidth="1"/>
    <col min="1791" max="1791" width="3.77734375" style="411" customWidth="1"/>
    <col min="1792" max="1792" width="35.77734375" style="411" customWidth="1"/>
    <col min="1793" max="1793" width="22.21875" style="411" customWidth="1"/>
    <col min="1794" max="1794" width="17.77734375" style="411" customWidth="1"/>
    <col min="1795" max="1795" width="19" style="411" customWidth="1"/>
    <col min="1796" max="1796" width="20.77734375" style="411" customWidth="1"/>
    <col min="1797" max="1797" width="16.77734375" style="411" customWidth="1"/>
    <col min="1798" max="1798" width="18.77734375" style="411" customWidth="1"/>
    <col min="1799" max="1806" width="18.5546875" style="411"/>
    <col min="1807" max="1807" width="4" style="411" customWidth="1"/>
    <col min="1808" max="1808" width="5.5546875" style="411" customWidth="1"/>
    <col min="1809" max="1809" width="30.21875" style="411" customWidth="1"/>
    <col min="1810" max="1810" width="4.5546875" style="411" bestFit="1" customWidth="1"/>
    <col min="1811" max="1811" width="41" style="411" customWidth="1"/>
    <col min="1812" max="1813" width="14.5546875" style="411" customWidth="1"/>
    <col min="1814" max="1814" width="16.5546875" style="411" customWidth="1"/>
    <col min="1815" max="1817" width="14.5546875" style="411" customWidth="1"/>
    <col min="1818" max="1819" width="12.5546875" style="411" customWidth="1"/>
    <col min="1820" max="1820" width="16.5546875" style="411" customWidth="1"/>
    <col min="1821" max="1822" width="20.5546875" style="411" customWidth="1"/>
    <col min="1823" max="1823" width="11" style="411" bestFit="1" customWidth="1"/>
    <col min="1824" max="1824" width="17.21875" style="411" customWidth="1"/>
    <col min="1825" max="1825" width="11" style="411" bestFit="1" customWidth="1"/>
    <col min="1826" max="1826" width="8.77734375" style="411" customWidth="1"/>
    <col min="1827" max="1830" width="10.21875" style="411" bestFit="1" customWidth="1"/>
    <col min="1831" max="1832" width="11.21875" style="411" bestFit="1" customWidth="1"/>
    <col min="1833" max="2043" width="8.77734375" style="411" customWidth="1"/>
    <col min="2044" max="2044" width="2.5546875" style="411" customWidth="1"/>
    <col min="2045" max="2045" width="5.5546875" style="411" customWidth="1"/>
    <col min="2046" max="2046" width="23.77734375" style="411" customWidth="1"/>
    <col min="2047" max="2047" width="3.77734375" style="411" customWidth="1"/>
    <col min="2048" max="2048" width="35.77734375" style="411" customWidth="1"/>
    <col min="2049" max="2049" width="22.21875" style="411" customWidth="1"/>
    <col min="2050" max="2050" width="17.77734375" style="411" customWidth="1"/>
    <col min="2051" max="2051" width="19" style="411" customWidth="1"/>
    <col min="2052" max="2052" width="20.77734375" style="411" customWidth="1"/>
    <col min="2053" max="2053" width="16.77734375" style="411" customWidth="1"/>
    <col min="2054" max="2054" width="18.77734375" style="411" customWidth="1"/>
    <col min="2055" max="2062" width="18.5546875" style="411"/>
    <col min="2063" max="2063" width="4" style="411" customWidth="1"/>
    <col min="2064" max="2064" width="5.5546875" style="411" customWidth="1"/>
    <col min="2065" max="2065" width="30.21875" style="411" customWidth="1"/>
    <col min="2066" max="2066" width="4.5546875" style="411" bestFit="1" customWidth="1"/>
    <col min="2067" max="2067" width="41" style="411" customWidth="1"/>
    <col min="2068" max="2069" width="14.5546875" style="411" customWidth="1"/>
    <col min="2070" max="2070" width="16.5546875" style="411" customWidth="1"/>
    <col min="2071" max="2073" width="14.5546875" style="411" customWidth="1"/>
    <col min="2074" max="2075" width="12.5546875" style="411" customWidth="1"/>
    <col min="2076" max="2076" width="16.5546875" style="411" customWidth="1"/>
    <col min="2077" max="2078" width="20.5546875" style="411" customWidth="1"/>
    <col min="2079" max="2079" width="11" style="411" bestFit="1" customWidth="1"/>
    <col min="2080" max="2080" width="17.21875" style="411" customWidth="1"/>
    <col min="2081" max="2081" width="11" style="411" bestFit="1" customWidth="1"/>
    <col min="2082" max="2082" width="8.77734375" style="411" customWidth="1"/>
    <col min="2083" max="2086" width="10.21875" style="411" bestFit="1" customWidth="1"/>
    <col min="2087" max="2088" width="11.21875" style="411" bestFit="1" customWidth="1"/>
    <col min="2089" max="2299" width="8.77734375" style="411" customWidth="1"/>
    <col min="2300" max="2300" width="2.5546875" style="411" customWidth="1"/>
    <col min="2301" max="2301" width="5.5546875" style="411" customWidth="1"/>
    <col min="2302" max="2302" width="23.77734375" style="411" customWidth="1"/>
    <col min="2303" max="2303" width="3.77734375" style="411" customWidth="1"/>
    <col min="2304" max="2304" width="35.77734375" style="411" customWidth="1"/>
    <col min="2305" max="2305" width="22.21875" style="411" customWidth="1"/>
    <col min="2306" max="2306" width="17.77734375" style="411" customWidth="1"/>
    <col min="2307" max="2307" width="19" style="411" customWidth="1"/>
    <col min="2308" max="2308" width="20.77734375" style="411" customWidth="1"/>
    <col min="2309" max="2309" width="16.77734375" style="411" customWidth="1"/>
    <col min="2310" max="2310" width="18.77734375" style="411" customWidth="1"/>
    <col min="2311" max="2318" width="18.5546875" style="411"/>
    <col min="2319" max="2319" width="4" style="411" customWidth="1"/>
    <col min="2320" max="2320" width="5.5546875" style="411" customWidth="1"/>
    <col min="2321" max="2321" width="30.21875" style="411" customWidth="1"/>
    <col min="2322" max="2322" width="4.5546875" style="411" bestFit="1" customWidth="1"/>
    <col min="2323" max="2323" width="41" style="411" customWidth="1"/>
    <col min="2324" max="2325" width="14.5546875" style="411" customWidth="1"/>
    <col min="2326" max="2326" width="16.5546875" style="411" customWidth="1"/>
    <col min="2327" max="2329" width="14.5546875" style="411" customWidth="1"/>
    <col min="2330" max="2331" width="12.5546875" style="411" customWidth="1"/>
    <col min="2332" max="2332" width="16.5546875" style="411" customWidth="1"/>
    <col min="2333" max="2334" width="20.5546875" style="411" customWidth="1"/>
    <col min="2335" max="2335" width="11" style="411" bestFit="1" customWidth="1"/>
    <col min="2336" max="2336" width="17.21875" style="411" customWidth="1"/>
    <col min="2337" max="2337" width="11" style="411" bestFit="1" customWidth="1"/>
    <col min="2338" max="2338" width="8.77734375" style="411" customWidth="1"/>
    <col min="2339" max="2342" width="10.21875" style="411" bestFit="1" customWidth="1"/>
    <col min="2343" max="2344" width="11.21875" style="411" bestFit="1" customWidth="1"/>
    <col min="2345" max="2555" width="8.77734375" style="411" customWidth="1"/>
    <col min="2556" max="2556" width="2.5546875" style="411" customWidth="1"/>
    <col min="2557" max="2557" width="5.5546875" style="411" customWidth="1"/>
    <col min="2558" max="2558" width="23.77734375" style="411" customWidth="1"/>
    <col min="2559" max="2559" width="3.77734375" style="411" customWidth="1"/>
    <col min="2560" max="2560" width="35.77734375" style="411" customWidth="1"/>
    <col min="2561" max="2561" width="22.21875" style="411" customWidth="1"/>
    <col min="2562" max="2562" width="17.77734375" style="411" customWidth="1"/>
    <col min="2563" max="2563" width="19" style="411" customWidth="1"/>
    <col min="2564" max="2564" width="20.77734375" style="411" customWidth="1"/>
    <col min="2565" max="2565" width="16.77734375" style="411" customWidth="1"/>
    <col min="2566" max="2566" width="18.77734375" style="411" customWidth="1"/>
    <col min="2567" max="2574" width="18.5546875" style="411"/>
    <col min="2575" max="2575" width="4" style="411" customWidth="1"/>
    <col min="2576" max="2576" width="5.5546875" style="411" customWidth="1"/>
    <col min="2577" max="2577" width="30.21875" style="411" customWidth="1"/>
    <col min="2578" max="2578" width="4.5546875" style="411" bestFit="1" customWidth="1"/>
    <col min="2579" max="2579" width="41" style="411" customWidth="1"/>
    <col min="2580" max="2581" width="14.5546875" style="411" customWidth="1"/>
    <col min="2582" max="2582" width="16.5546875" style="411" customWidth="1"/>
    <col min="2583" max="2585" width="14.5546875" style="411" customWidth="1"/>
    <col min="2586" max="2587" width="12.5546875" style="411" customWidth="1"/>
    <col min="2588" max="2588" width="16.5546875" style="411" customWidth="1"/>
    <col min="2589" max="2590" width="20.5546875" style="411" customWidth="1"/>
    <col min="2591" max="2591" width="11" style="411" bestFit="1" customWidth="1"/>
    <col min="2592" max="2592" width="17.21875" style="411" customWidth="1"/>
    <col min="2593" max="2593" width="11" style="411" bestFit="1" customWidth="1"/>
    <col min="2594" max="2594" width="8.77734375" style="411" customWidth="1"/>
    <col min="2595" max="2598" width="10.21875" style="411" bestFit="1" customWidth="1"/>
    <col min="2599" max="2600" width="11.21875" style="411" bestFit="1" customWidth="1"/>
    <col min="2601" max="2811" width="8.77734375" style="411" customWidth="1"/>
    <col min="2812" max="2812" width="2.5546875" style="411" customWidth="1"/>
    <col min="2813" max="2813" width="5.5546875" style="411" customWidth="1"/>
    <col min="2814" max="2814" width="23.77734375" style="411" customWidth="1"/>
    <col min="2815" max="2815" width="3.77734375" style="411" customWidth="1"/>
    <col min="2816" max="2816" width="35.77734375" style="411" customWidth="1"/>
    <col min="2817" max="2817" width="22.21875" style="411" customWidth="1"/>
    <col min="2818" max="2818" width="17.77734375" style="411" customWidth="1"/>
    <col min="2819" max="2819" width="19" style="411" customWidth="1"/>
    <col min="2820" max="2820" width="20.77734375" style="411" customWidth="1"/>
    <col min="2821" max="2821" width="16.77734375" style="411" customWidth="1"/>
    <col min="2822" max="2822" width="18.77734375" style="411" customWidth="1"/>
    <col min="2823" max="2830" width="18.5546875" style="411"/>
    <col min="2831" max="2831" width="4" style="411" customWidth="1"/>
    <col min="2832" max="2832" width="5.5546875" style="411" customWidth="1"/>
    <col min="2833" max="2833" width="30.21875" style="411" customWidth="1"/>
    <col min="2834" max="2834" width="4.5546875" style="411" bestFit="1" customWidth="1"/>
    <col min="2835" max="2835" width="41" style="411" customWidth="1"/>
    <col min="2836" max="2837" width="14.5546875" style="411" customWidth="1"/>
    <col min="2838" max="2838" width="16.5546875" style="411" customWidth="1"/>
    <col min="2839" max="2841" width="14.5546875" style="411" customWidth="1"/>
    <col min="2842" max="2843" width="12.5546875" style="411" customWidth="1"/>
    <col min="2844" max="2844" width="16.5546875" style="411" customWidth="1"/>
    <col min="2845" max="2846" width="20.5546875" style="411" customWidth="1"/>
    <col min="2847" max="2847" width="11" style="411" bestFit="1" customWidth="1"/>
    <col min="2848" max="2848" width="17.21875" style="411" customWidth="1"/>
    <col min="2849" max="2849" width="11" style="411" bestFit="1" customWidth="1"/>
    <col min="2850" max="2850" width="8.77734375" style="411" customWidth="1"/>
    <col min="2851" max="2854" width="10.21875" style="411" bestFit="1" customWidth="1"/>
    <col min="2855" max="2856" width="11.21875" style="411" bestFit="1" customWidth="1"/>
    <col min="2857" max="3067" width="8.77734375" style="411" customWidth="1"/>
    <col min="3068" max="3068" width="2.5546875" style="411" customWidth="1"/>
    <col min="3069" max="3069" width="5.5546875" style="411" customWidth="1"/>
    <col min="3070" max="3070" width="23.77734375" style="411" customWidth="1"/>
    <col min="3071" max="3071" width="3.77734375" style="411" customWidth="1"/>
    <col min="3072" max="3072" width="35.77734375" style="411" customWidth="1"/>
    <col min="3073" max="3073" width="22.21875" style="411" customWidth="1"/>
    <col min="3074" max="3074" width="17.77734375" style="411" customWidth="1"/>
    <col min="3075" max="3075" width="19" style="411" customWidth="1"/>
    <col min="3076" max="3076" width="20.77734375" style="411" customWidth="1"/>
    <col min="3077" max="3077" width="16.77734375" style="411" customWidth="1"/>
    <col min="3078" max="3078" width="18.77734375" style="411" customWidth="1"/>
    <col min="3079" max="3086" width="18.5546875" style="411"/>
    <col min="3087" max="3087" width="4" style="411" customWidth="1"/>
    <col min="3088" max="3088" width="5.5546875" style="411" customWidth="1"/>
    <col min="3089" max="3089" width="30.21875" style="411" customWidth="1"/>
    <col min="3090" max="3090" width="4.5546875" style="411" bestFit="1" customWidth="1"/>
    <col min="3091" max="3091" width="41" style="411" customWidth="1"/>
    <col min="3092" max="3093" width="14.5546875" style="411" customWidth="1"/>
    <col min="3094" max="3094" width="16.5546875" style="411" customWidth="1"/>
    <col min="3095" max="3097" width="14.5546875" style="411" customWidth="1"/>
    <col min="3098" max="3099" width="12.5546875" style="411" customWidth="1"/>
    <col min="3100" max="3100" width="16.5546875" style="411" customWidth="1"/>
    <col min="3101" max="3102" width="20.5546875" style="411" customWidth="1"/>
    <col min="3103" max="3103" width="11" style="411" bestFit="1" customWidth="1"/>
    <col min="3104" max="3104" width="17.21875" style="411" customWidth="1"/>
    <col min="3105" max="3105" width="11" style="411" bestFit="1" customWidth="1"/>
    <col min="3106" max="3106" width="8.77734375" style="411" customWidth="1"/>
    <col min="3107" max="3110" width="10.21875" style="411" bestFit="1" customWidth="1"/>
    <col min="3111" max="3112" width="11.21875" style="411" bestFit="1" customWidth="1"/>
    <col min="3113" max="3323" width="8.77734375" style="411" customWidth="1"/>
    <col min="3324" max="3324" width="2.5546875" style="411" customWidth="1"/>
    <col min="3325" max="3325" width="5.5546875" style="411" customWidth="1"/>
    <col min="3326" max="3326" width="23.77734375" style="411" customWidth="1"/>
    <col min="3327" max="3327" width="3.77734375" style="411" customWidth="1"/>
    <col min="3328" max="3328" width="35.77734375" style="411" customWidth="1"/>
    <col min="3329" max="3329" width="22.21875" style="411" customWidth="1"/>
    <col min="3330" max="3330" width="17.77734375" style="411" customWidth="1"/>
    <col min="3331" max="3331" width="19" style="411" customWidth="1"/>
    <col min="3332" max="3332" width="20.77734375" style="411" customWidth="1"/>
    <col min="3333" max="3333" width="16.77734375" style="411" customWidth="1"/>
    <col min="3334" max="3334" width="18.77734375" style="411" customWidth="1"/>
    <col min="3335" max="3342" width="18.5546875" style="411"/>
    <col min="3343" max="3343" width="4" style="411" customWidth="1"/>
    <col min="3344" max="3344" width="5.5546875" style="411" customWidth="1"/>
    <col min="3345" max="3345" width="30.21875" style="411" customWidth="1"/>
    <col min="3346" max="3346" width="4.5546875" style="411" bestFit="1" customWidth="1"/>
    <col min="3347" max="3347" width="41" style="411" customWidth="1"/>
    <col min="3348" max="3349" width="14.5546875" style="411" customWidth="1"/>
    <col min="3350" max="3350" width="16.5546875" style="411" customWidth="1"/>
    <col min="3351" max="3353" width="14.5546875" style="411" customWidth="1"/>
    <col min="3354" max="3355" width="12.5546875" style="411" customWidth="1"/>
    <col min="3356" max="3356" width="16.5546875" style="411" customWidth="1"/>
    <col min="3357" max="3358" width="20.5546875" style="411" customWidth="1"/>
    <col min="3359" max="3359" width="11" style="411" bestFit="1" customWidth="1"/>
    <col min="3360" max="3360" width="17.21875" style="411" customWidth="1"/>
    <col min="3361" max="3361" width="11" style="411" bestFit="1" customWidth="1"/>
    <col min="3362" max="3362" width="8.77734375" style="411" customWidth="1"/>
    <col min="3363" max="3366" width="10.21875" style="411" bestFit="1" customWidth="1"/>
    <col min="3367" max="3368" width="11.21875" style="411" bestFit="1" customWidth="1"/>
    <col min="3369" max="3579" width="8.77734375" style="411" customWidth="1"/>
    <col min="3580" max="3580" width="2.5546875" style="411" customWidth="1"/>
    <col min="3581" max="3581" width="5.5546875" style="411" customWidth="1"/>
    <col min="3582" max="3582" width="23.77734375" style="411" customWidth="1"/>
    <col min="3583" max="3583" width="3.77734375" style="411" customWidth="1"/>
    <col min="3584" max="3584" width="35.77734375" style="411" customWidth="1"/>
    <col min="3585" max="3585" width="22.21875" style="411" customWidth="1"/>
    <col min="3586" max="3586" width="17.77734375" style="411" customWidth="1"/>
    <col min="3587" max="3587" width="19" style="411" customWidth="1"/>
    <col min="3588" max="3588" width="20.77734375" style="411" customWidth="1"/>
    <col min="3589" max="3589" width="16.77734375" style="411" customWidth="1"/>
    <col min="3590" max="3590" width="18.77734375" style="411" customWidth="1"/>
    <col min="3591" max="3598" width="18.5546875" style="411"/>
    <col min="3599" max="3599" width="4" style="411" customWidth="1"/>
    <col min="3600" max="3600" width="5.5546875" style="411" customWidth="1"/>
    <col min="3601" max="3601" width="30.21875" style="411" customWidth="1"/>
    <col min="3602" max="3602" width="4.5546875" style="411" bestFit="1" customWidth="1"/>
    <col min="3603" max="3603" width="41" style="411" customWidth="1"/>
    <col min="3604" max="3605" width="14.5546875" style="411" customWidth="1"/>
    <col min="3606" max="3606" width="16.5546875" style="411" customWidth="1"/>
    <col min="3607" max="3609" width="14.5546875" style="411" customWidth="1"/>
    <col min="3610" max="3611" width="12.5546875" style="411" customWidth="1"/>
    <col min="3612" max="3612" width="16.5546875" style="411" customWidth="1"/>
    <col min="3613" max="3614" width="20.5546875" style="411" customWidth="1"/>
    <col min="3615" max="3615" width="11" style="411" bestFit="1" customWidth="1"/>
    <col min="3616" max="3616" width="17.21875" style="411" customWidth="1"/>
    <col min="3617" max="3617" width="11" style="411" bestFit="1" customWidth="1"/>
    <col min="3618" max="3618" width="8.77734375" style="411" customWidth="1"/>
    <col min="3619" max="3622" width="10.21875" style="411" bestFit="1" customWidth="1"/>
    <col min="3623" max="3624" width="11.21875" style="411" bestFit="1" customWidth="1"/>
    <col min="3625" max="3835" width="8.77734375" style="411" customWidth="1"/>
    <col min="3836" max="3836" width="2.5546875" style="411" customWidth="1"/>
    <col min="3837" max="3837" width="5.5546875" style="411" customWidth="1"/>
    <col min="3838" max="3838" width="23.77734375" style="411" customWidth="1"/>
    <col min="3839" max="3839" width="3.77734375" style="411" customWidth="1"/>
    <col min="3840" max="3840" width="35.77734375" style="411" customWidth="1"/>
    <col min="3841" max="3841" width="22.21875" style="411" customWidth="1"/>
    <col min="3842" max="3842" width="17.77734375" style="411" customWidth="1"/>
    <col min="3843" max="3843" width="19" style="411" customWidth="1"/>
    <col min="3844" max="3844" width="20.77734375" style="411" customWidth="1"/>
    <col min="3845" max="3845" width="16.77734375" style="411" customWidth="1"/>
    <col min="3846" max="3846" width="18.77734375" style="411" customWidth="1"/>
    <col min="3847" max="3854" width="18.5546875" style="411"/>
    <col min="3855" max="3855" width="4" style="411" customWidth="1"/>
    <col min="3856" max="3856" width="5.5546875" style="411" customWidth="1"/>
    <col min="3857" max="3857" width="30.21875" style="411" customWidth="1"/>
    <col min="3858" max="3858" width="4.5546875" style="411" bestFit="1" customWidth="1"/>
    <col min="3859" max="3859" width="41" style="411" customWidth="1"/>
    <col min="3860" max="3861" width="14.5546875" style="411" customWidth="1"/>
    <col min="3862" max="3862" width="16.5546875" style="411" customWidth="1"/>
    <col min="3863" max="3865" width="14.5546875" style="411" customWidth="1"/>
    <col min="3866" max="3867" width="12.5546875" style="411" customWidth="1"/>
    <col min="3868" max="3868" width="16.5546875" style="411" customWidth="1"/>
    <col min="3869" max="3870" width="20.5546875" style="411" customWidth="1"/>
    <col min="3871" max="3871" width="11" style="411" bestFit="1" customWidth="1"/>
    <col min="3872" max="3872" width="17.21875" style="411" customWidth="1"/>
    <col min="3873" max="3873" width="11" style="411" bestFit="1" customWidth="1"/>
    <col min="3874" max="3874" width="8.77734375" style="411" customWidth="1"/>
    <col min="3875" max="3878" width="10.21875" style="411" bestFit="1" customWidth="1"/>
    <col min="3879" max="3880" width="11.21875" style="411" bestFit="1" customWidth="1"/>
    <col min="3881" max="4091" width="8.77734375" style="411" customWidth="1"/>
    <col min="4092" max="4092" width="2.5546875" style="411" customWidth="1"/>
    <col min="4093" max="4093" width="5.5546875" style="411" customWidth="1"/>
    <col min="4094" max="4094" width="23.77734375" style="411" customWidth="1"/>
    <col min="4095" max="4095" width="3.77734375" style="411" customWidth="1"/>
    <col min="4096" max="4096" width="35.77734375" style="411" customWidth="1"/>
    <col min="4097" max="4097" width="22.21875" style="411" customWidth="1"/>
    <col min="4098" max="4098" width="17.77734375" style="411" customWidth="1"/>
    <col min="4099" max="4099" width="19" style="411" customWidth="1"/>
    <col min="4100" max="4100" width="20.77734375" style="411" customWidth="1"/>
    <col min="4101" max="4101" width="16.77734375" style="411" customWidth="1"/>
    <col min="4102" max="4102" width="18.77734375" style="411" customWidth="1"/>
    <col min="4103" max="4110" width="18.5546875" style="411"/>
    <col min="4111" max="4111" width="4" style="411" customWidth="1"/>
    <col min="4112" max="4112" width="5.5546875" style="411" customWidth="1"/>
    <col min="4113" max="4113" width="30.21875" style="411" customWidth="1"/>
    <col min="4114" max="4114" width="4.5546875" style="411" bestFit="1" customWidth="1"/>
    <col min="4115" max="4115" width="41" style="411" customWidth="1"/>
    <col min="4116" max="4117" width="14.5546875" style="411" customWidth="1"/>
    <col min="4118" max="4118" width="16.5546875" style="411" customWidth="1"/>
    <col min="4119" max="4121" width="14.5546875" style="411" customWidth="1"/>
    <col min="4122" max="4123" width="12.5546875" style="411" customWidth="1"/>
    <col min="4124" max="4124" width="16.5546875" style="411" customWidth="1"/>
    <col min="4125" max="4126" width="20.5546875" style="411" customWidth="1"/>
    <col min="4127" max="4127" width="11" style="411" bestFit="1" customWidth="1"/>
    <col min="4128" max="4128" width="17.21875" style="411" customWidth="1"/>
    <col min="4129" max="4129" width="11" style="411" bestFit="1" customWidth="1"/>
    <col min="4130" max="4130" width="8.77734375" style="411" customWidth="1"/>
    <col min="4131" max="4134" width="10.21875" style="411" bestFit="1" customWidth="1"/>
    <col min="4135" max="4136" width="11.21875" style="411" bestFit="1" customWidth="1"/>
    <col min="4137" max="4347" width="8.77734375" style="411" customWidth="1"/>
    <col min="4348" max="4348" width="2.5546875" style="411" customWidth="1"/>
    <col min="4349" max="4349" width="5.5546875" style="411" customWidth="1"/>
    <col min="4350" max="4350" width="23.77734375" style="411" customWidth="1"/>
    <col min="4351" max="4351" width="3.77734375" style="411" customWidth="1"/>
    <col min="4352" max="4352" width="35.77734375" style="411" customWidth="1"/>
    <col min="4353" max="4353" width="22.21875" style="411" customWidth="1"/>
    <col min="4354" max="4354" width="17.77734375" style="411" customWidth="1"/>
    <col min="4355" max="4355" width="19" style="411" customWidth="1"/>
    <col min="4356" max="4356" width="20.77734375" style="411" customWidth="1"/>
    <col min="4357" max="4357" width="16.77734375" style="411" customWidth="1"/>
    <col min="4358" max="4358" width="18.77734375" style="411" customWidth="1"/>
    <col min="4359" max="4366" width="18.5546875" style="411"/>
    <col min="4367" max="4367" width="4" style="411" customWidth="1"/>
    <col min="4368" max="4368" width="5.5546875" style="411" customWidth="1"/>
    <col min="4369" max="4369" width="30.21875" style="411" customWidth="1"/>
    <col min="4370" max="4370" width="4.5546875" style="411" bestFit="1" customWidth="1"/>
    <col min="4371" max="4371" width="41" style="411" customWidth="1"/>
    <col min="4372" max="4373" width="14.5546875" style="411" customWidth="1"/>
    <col min="4374" max="4374" width="16.5546875" style="411" customWidth="1"/>
    <col min="4375" max="4377" width="14.5546875" style="411" customWidth="1"/>
    <col min="4378" max="4379" width="12.5546875" style="411" customWidth="1"/>
    <col min="4380" max="4380" width="16.5546875" style="411" customWidth="1"/>
    <col min="4381" max="4382" width="20.5546875" style="411" customWidth="1"/>
    <col min="4383" max="4383" width="11" style="411" bestFit="1" customWidth="1"/>
    <col min="4384" max="4384" width="17.21875" style="411" customWidth="1"/>
    <col min="4385" max="4385" width="11" style="411" bestFit="1" customWidth="1"/>
    <col min="4386" max="4386" width="8.77734375" style="411" customWidth="1"/>
    <col min="4387" max="4390" width="10.21875" style="411" bestFit="1" customWidth="1"/>
    <col min="4391" max="4392" width="11.21875" style="411" bestFit="1" customWidth="1"/>
    <col min="4393" max="4603" width="8.77734375" style="411" customWidth="1"/>
    <col min="4604" max="4604" width="2.5546875" style="411" customWidth="1"/>
    <col min="4605" max="4605" width="5.5546875" style="411" customWidth="1"/>
    <col min="4606" max="4606" width="23.77734375" style="411" customWidth="1"/>
    <col min="4607" max="4607" width="3.77734375" style="411" customWidth="1"/>
    <col min="4608" max="4608" width="35.77734375" style="411" customWidth="1"/>
    <col min="4609" max="4609" width="22.21875" style="411" customWidth="1"/>
    <col min="4610" max="4610" width="17.77734375" style="411" customWidth="1"/>
    <col min="4611" max="4611" width="19" style="411" customWidth="1"/>
    <col min="4612" max="4612" width="20.77734375" style="411" customWidth="1"/>
    <col min="4613" max="4613" width="16.77734375" style="411" customWidth="1"/>
    <col min="4614" max="4614" width="18.77734375" style="411" customWidth="1"/>
    <col min="4615" max="4622" width="18.5546875" style="411"/>
    <col min="4623" max="4623" width="4" style="411" customWidth="1"/>
    <col min="4624" max="4624" width="5.5546875" style="411" customWidth="1"/>
    <col min="4625" max="4625" width="30.21875" style="411" customWidth="1"/>
    <col min="4626" max="4626" width="4.5546875" style="411" bestFit="1" customWidth="1"/>
    <col min="4627" max="4627" width="41" style="411" customWidth="1"/>
    <col min="4628" max="4629" width="14.5546875" style="411" customWidth="1"/>
    <col min="4630" max="4630" width="16.5546875" style="411" customWidth="1"/>
    <col min="4631" max="4633" width="14.5546875" style="411" customWidth="1"/>
    <col min="4634" max="4635" width="12.5546875" style="411" customWidth="1"/>
    <col min="4636" max="4636" width="16.5546875" style="411" customWidth="1"/>
    <col min="4637" max="4638" width="20.5546875" style="411" customWidth="1"/>
    <col min="4639" max="4639" width="11" style="411" bestFit="1" customWidth="1"/>
    <col min="4640" max="4640" width="17.21875" style="411" customWidth="1"/>
    <col min="4641" max="4641" width="11" style="411" bestFit="1" customWidth="1"/>
    <col min="4642" max="4642" width="8.77734375" style="411" customWidth="1"/>
    <col min="4643" max="4646" width="10.21875" style="411" bestFit="1" customWidth="1"/>
    <col min="4647" max="4648" width="11.21875" style="411" bestFit="1" customWidth="1"/>
    <col min="4649" max="4859" width="8.77734375" style="411" customWidth="1"/>
    <col min="4860" max="4860" width="2.5546875" style="411" customWidth="1"/>
    <col min="4861" max="4861" width="5.5546875" style="411" customWidth="1"/>
    <col min="4862" max="4862" width="23.77734375" style="411" customWidth="1"/>
    <col min="4863" max="4863" width="3.77734375" style="411" customWidth="1"/>
    <col min="4864" max="4864" width="35.77734375" style="411" customWidth="1"/>
    <col min="4865" max="4865" width="22.21875" style="411" customWidth="1"/>
    <col min="4866" max="4866" width="17.77734375" style="411" customWidth="1"/>
    <col min="4867" max="4867" width="19" style="411" customWidth="1"/>
    <col min="4868" max="4868" width="20.77734375" style="411" customWidth="1"/>
    <col min="4869" max="4869" width="16.77734375" style="411" customWidth="1"/>
    <col min="4870" max="4870" width="18.77734375" style="411" customWidth="1"/>
    <col min="4871" max="4878" width="18.5546875" style="411"/>
    <col min="4879" max="4879" width="4" style="411" customWidth="1"/>
    <col min="4880" max="4880" width="5.5546875" style="411" customWidth="1"/>
    <col min="4881" max="4881" width="30.21875" style="411" customWidth="1"/>
    <col min="4882" max="4882" width="4.5546875" style="411" bestFit="1" customWidth="1"/>
    <col min="4883" max="4883" width="41" style="411" customWidth="1"/>
    <col min="4884" max="4885" width="14.5546875" style="411" customWidth="1"/>
    <col min="4886" max="4886" width="16.5546875" style="411" customWidth="1"/>
    <col min="4887" max="4889" width="14.5546875" style="411" customWidth="1"/>
    <col min="4890" max="4891" width="12.5546875" style="411" customWidth="1"/>
    <col min="4892" max="4892" width="16.5546875" style="411" customWidth="1"/>
    <col min="4893" max="4894" width="20.5546875" style="411" customWidth="1"/>
    <col min="4895" max="4895" width="11" style="411" bestFit="1" customWidth="1"/>
    <col min="4896" max="4896" width="17.21875" style="411" customWidth="1"/>
    <col min="4897" max="4897" width="11" style="411" bestFit="1" customWidth="1"/>
    <col min="4898" max="4898" width="8.77734375" style="411" customWidth="1"/>
    <col min="4899" max="4902" width="10.21875" style="411" bestFit="1" customWidth="1"/>
    <col min="4903" max="4904" width="11.21875" style="411" bestFit="1" customWidth="1"/>
    <col min="4905" max="5115" width="8.77734375" style="411" customWidth="1"/>
    <col min="5116" max="5116" width="2.5546875" style="411" customWidth="1"/>
    <col min="5117" max="5117" width="5.5546875" style="411" customWidth="1"/>
    <col min="5118" max="5118" width="23.77734375" style="411" customWidth="1"/>
    <col min="5119" max="5119" width="3.77734375" style="411" customWidth="1"/>
    <col min="5120" max="5120" width="35.77734375" style="411" customWidth="1"/>
    <col min="5121" max="5121" width="22.21875" style="411" customWidth="1"/>
    <col min="5122" max="5122" width="17.77734375" style="411" customWidth="1"/>
    <col min="5123" max="5123" width="19" style="411" customWidth="1"/>
    <col min="5124" max="5124" width="20.77734375" style="411" customWidth="1"/>
    <col min="5125" max="5125" width="16.77734375" style="411" customWidth="1"/>
    <col min="5126" max="5126" width="18.77734375" style="411" customWidth="1"/>
    <col min="5127" max="5134" width="18.5546875" style="411"/>
    <col min="5135" max="5135" width="4" style="411" customWidth="1"/>
    <col min="5136" max="5136" width="5.5546875" style="411" customWidth="1"/>
    <col min="5137" max="5137" width="30.21875" style="411" customWidth="1"/>
    <col min="5138" max="5138" width="4.5546875" style="411" bestFit="1" customWidth="1"/>
    <col min="5139" max="5139" width="41" style="411" customWidth="1"/>
    <col min="5140" max="5141" width="14.5546875" style="411" customWidth="1"/>
    <col min="5142" max="5142" width="16.5546875" style="411" customWidth="1"/>
    <col min="5143" max="5145" width="14.5546875" style="411" customWidth="1"/>
    <col min="5146" max="5147" width="12.5546875" style="411" customWidth="1"/>
    <col min="5148" max="5148" width="16.5546875" style="411" customWidth="1"/>
    <col min="5149" max="5150" width="20.5546875" style="411" customWidth="1"/>
    <col min="5151" max="5151" width="11" style="411" bestFit="1" customWidth="1"/>
    <col min="5152" max="5152" width="17.21875" style="411" customWidth="1"/>
    <col min="5153" max="5153" width="11" style="411" bestFit="1" customWidth="1"/>
    <col min="5154" max="5154" width="8.77734375" style="411" customWidth="1"/>
    <col min="5155" max="5158" width="10.21875" style="411" bestFit="1" customWidth="1"/>
    <col min="5159" max="5160" width="11.21875" style="411" bestFit="1" customWidth="1"/>
    <col min="5161" max="5371" width="8.77734375" style="411" customWidth="1"/>
    <col min="5372" max="5372" width="2.5546875" style="411" customWidth="1"/>
    <col min="5373" max="5373" width="5.5546875" style="411" customWidth="1"/>
    <col min="5374" max="5374" width="23.77734375" style="411" customWidth="1"/>
    <col min="5375" max="5375" width="3.77734375" style="411" customWidth="1"/>
    <col min="5376" max="5376" width="35.77734375" style="411" customWidth="1"/>
    <col min="5377" max="5377" width="22.21875" style="411" customWidth="1"/>
    <col min="5378" max="5378" width="17.77734375" style="411" customWidth="1"/>
    <col min="5379" max="5379" width="19" style="411" customWidth="1"/>
    <col min="5380" max="5380" width="20.77734375" style="411" customWidth="1"/>
    <col min="5381" max="5381" width="16.77734375" style="411" customWidth="1"/>
    <col min="5382" max="5382" width="18.77734375" style="411" customWidth="1"/>
    <col min="5383" max="5390" width="18.5546875" style="411"/>
    <col min="5391" max="5391" width="4" style="411" customWidth="1"/>
    <col min="5392" max="5392" width="5.5546875" style="411" customWidth="1"/>
    <col min="5393" max="5393" width="30.21875" style="411" customWidth="1"/>
    <col min="5394" max="5394" width="4.5546875" style="411" bestFit="1" customWidth="1"/>
    <col min="5395" max="5395" width="41" style="411" customWidth="1"/>
    <col min="5396" max="5397" width="14.5546875" style="411" customWidth="1"/>
    <col min="5398" max="5398" width="16.5546875" style="411" customWidth="1"/>
    <col min="5399" max="5401" width="14.5546875" style="411" customWidth="1"/>
    <col min="5402" max="5403" width="12.5546875" style="411" customWidth="1"/>
    <col min="5404" max="5404" width="16.5546875" style="411" customWidth="1"/>
    <col min="5405" max="5406" width="20.5546875" style="411" customWidth="1"/>
    <col min="5407" max="5407" width="11" style="411" bestFit="1" customWidth="1"/>
    <col min="5408" max="5408" width="17.21875" style="411" customWidth="1"/>
    <col min="5409" max="5409" width="11" style="411" bestFit="1" customWidth="1"/>
    <col min="5410" max="5410" width="8.77734375" style="411" customWidth="1"/>
    <col min="5411" max="5414" width="10.21875" style="411" bestFit="1" customWidth="1"/>
    <col min="5415" max="5416" width="11.21875" style="411" bestFit="1" customWidth="1"/>
    <col min="5417" max="5627" width="8.77734375" style="411" customWidth="1"/>
    <col min="5628" max="5628" width="2.5546875" style="411" customWidth="1"/>
    <col min="5629" max="5629" width="5.5546875" style="411" customWidth="1"/>
    <col min="5630" max="5630" width="23.77734375" style="411" customWidth="1"/>
    <col min="5631" max="5631" width="3.77734375" style="411" customWidth="1"/>
    <col min="5632" max="5632" width="35.77734375" style="411" customWidth="1"/>
    <col min="5633" max="5633" width="22.21875" style="411" customWidth="1"/>
    <col min="5634" max="5634" width="17.77734375" style="411" customWidth="1"/>
    <col min="5635" max="5635" width="19" style="411" customWidth="1"/>
    <col min="5636" max="5636" width="20.77734375" style="411" customWidth="1"/>
    <col min="5637" max="5637" width="16.77734375" style="411" customWidth="1"/>
    <col min="5638" max="5638" width="18.77734375" style="411" customWidth="1"/>
    <col min="5639" max="5646" width="18.5546875" style="411"/>
    <col min="5647" max="5647" width="4" style="411" customWidth="1"/>
    <col min="5648" max="5648" width="5.5546875" style="411" customWidth="1"/>
    <col min="5649" max="5649" width="30.21875" style="411" customWidth="1"/>
    <col min="5650" max="5650" width="4.5546875" style="411" bestFit="1" customWidth="1"/>
    <col min="5651" max="5651" width="41" style="411" customWidth="1"/>
    <col min="5652" max="5653" width="14.5546875" style="411" customWidth="1"/>
    <col min="5654" max="5654" width="16.5546875" style="411" customWidth="1"/>
    <col min="5655" max="5657" width="14.5546875" style="411" customWidth="1"/>
    <col min="5658" max="5659" width="12.5546875" style="411" customWidth="1"/>
    <col min="5660" max="5660" width="16.5546875" style="411" customWidth="1"/>
    <col min="5661" max="5662" width="20.5546875" style="411" customWidth="1"/>
    <col min="5663" max="5663" width="11" style="411" bestFit="1" customWidth="1"/>
    <col min="5664" max="5664" width="17.21875" style="411" customWidth="1"/>
    <col min="5665" max="5665" width="11" style="411" bestFit="1" customWidth="1"/>
    <col min="5666" max="5666" width="8.77734375" style="411" customWidth="1"/>
    <col min="5667" max="5670" width="10.21875" style="411" bestFit="1" customWidth="1"/>
    <col min="5671" max="5672" width="11.21875" style="411" bestFit="1" customWidth="1"/>
    <col min="5673" max="5883" width="8.77734375" style="411" customWidth="1"/>
    <col min="5884" max="5884" width="2.5546875" style="411" customWidth="1"/>
    <col min="5885" max="5885" width="5.5546875" style="411" customWidth="1"/>
    <col min="5886" max="5886" width="23.77734375" style="411" customWidth="1"/>
    <col min="5887" max="5887" width="3.77734375" style="411" customWidth="1"/>
    <col min="5888" max="5888" width="35.77734375" style="411" customWidth="1"/>
    <col min="5889" max="5889" width="22.21875" style="411" customWidth="1"/>
    <col min="5890" max="5890" width="17.77734375" style="411" customWidth="1"/>
    <col min="5891" max="5891" width="19" style="411" customWidth="1"/>
    <col min="5892" max="5892" width="20.77734375" style="411" customWidth="1"/>
    <col min="5893" max="5893" width="16.77734375" style="411" customWidth="1"/>
    <col min="5894" max="5894" width="18.77734375" style="411" customWidth="1"/>
    <col min="5895" max="5902" width="18.5546875" style="411"/>
    <col min="5903" max="5903" width="4" style="411" customWidth="1"/>
    <col min="5904" max="5904" width="5.5546875" style="411" customWidth="1"/>
    <col min="5905" max="5905" width="30.21875" style="411" customWidth="1"/>
    <col min="5906" max="5906" width="4.5546875" style="411" bestFit="1" customWidth="1"/>
    <col min="5907" max="5907" width="41" style="411" customWidth="1"/>
    <col min="5908" max="5909" width="14.5546875" style="411" customWidth="1"/>
    <col min="5910" max="5910" width="16.5546875" style="411" customWidth="1"/>
    <col min="5911" max="5913" width="14.5546875" style="411" customWidth="1"/>
    <col min="5914" max="5915" width="12.5546875" style="411" customWidth="1"/>
    <col min="5916" max="5916" width="16.5546875" style="411" customWidth="1"/>
    <col min="5917" max="5918" width="20.5546875" style="411" customWidth="1"/>
    <col min="5919" max="5919" width="11" style="411" bestFit="1" customWidth="1"/>
    <col min="5920" max="5920" width="17.21875" style="411" customWidth="1"/>
    <col min="5921" max="5921" width="11" style="411" bestFit="1" customWidth="1"/>
    <col min="5922" max="5922" width="8.77734375" style="411" customWidth="1"/>
    <col min="5923" max="5926" width="10.21875" style="411" bestFit="1" customWidth="1"/>
    <col min="5927" max="5928" width="11.21875" style="411" bestFit="1" customWidth="1"/>
    <col min="5929" max="6139" width="8.77734375" style="411" customWidth="1"/>
    <col min="6140" max="6140" width="2.5546875" style="411" customWidth="1"/>
    <col min="6141" max="6141" width="5.5546875" style="411" customWidth="1"/>
    <col min="6142" max="6142" width="23.77734375" style="411" customWidth="1"/>
    <col min="6143" max="6143" width="3.77734375" style="411" customWidth="1"/>
    <col min="6144" max="6144" width="35.77734375" style="411" customWidth="1"/>
    <col min="6145" max="6145" width="22.21875" style="411" customWidth="1"/>
    <col min="6146" max="6146" width="17.77734375" style="411" customWidth="1"/>
    <col min="6147" max="6147" width="19" style="411" customWidth="1"/>
    <col min="6148" max="6148" width="20.77734375" style="411" customWidth="1"/>
    <col min="6149" max="6149" width="16.77734375" style="411" customWidth="1"/>
    <col min="6150" max="6150" width="18.77734375" style="411" customWidth="1"/>
    <col min="6151" max="6158" width="18.5546875" style="411"/>
    <col min="6159" max="6159" width="4" style="411" customWidth="1"/>
    <col min="6160" max="6160" width="5.5546875" style="411" customWidth="1"/>
    <col min="6161" max="6161" width="30.21875" style="411" customWidth="1"/>
    <col min="6162" max="6162" width="4.5546875" style="411" bestFit="1" customWidth="1"/>
    <col min="6163" max="6163" width="41" style="411" customWidth="1"/>
    <col min="6164" max="6165" width="14.5546875" style="411" customWidth="1"/>
    <col min="6166" max="6166" width="16.5546875" style="411" customWidth="1"/>
    <col min="6167" max="6169" width="14.5546875" style="411" customWidth="1"/>
    <col min="6170" max="6171" width="12.5546875" style="411" customWidth="1"/>
    <col min="6172" max="6172" width="16.5546875" style="411" customWidth="1"/>
    <col min="6173" max="6174" width="20.5546875" style="411" customWidth="1"/>
    <col min="6175" max="6175" width="11" style="411" bestFit="1" customWidth="1"/>
    <col min="6176" max="6176" width="17.21875" style="411" customWidth="1"/>
    <col min="6177" max="6177" width="11" style="411" bestFit="1" customWidth="1"/>
    <col min="6178" max="6178" width="8.77734375" style="411" customWidth="1"/>
    <col min="6179" max="6182" width="10.21875" style="411" bestFit="1" customWidth="1"/>
    <col min="6183" max="6184" width="11.21875" style="411" bestFit="1" customWidth="1"/>
    <col min="6185" max="6395" width="8.77734375" style="411" customWidth="1"/>
    <col min="6396" max="6396" width="2.5546875" style="411" customWidth="1"/>
    <col min="6397" max="6397" width="5.5546875" style="411" customWidth="1"/>
    <col min="6398" max="6398" width="23.77734375" style="411" customWidth="1"/>
    <col min="6399" max="6399" width="3.77734375" style="411" customWidth="1"/>
    <col min="6400" max="6400" width="35.77734375" style="411" customWidth="1"/>
    <col min="6401" max="6401" width="22.21875" style="411" customWidth="1"/>
    <col min="6402" max="6402" width="17.77734375" style="411" customWidth="1"/>
    <col min="6403" max="6403" width="19" style="411" customWidth="1"/>
    <col min="6404" max="6404" width="20.77734375" style="411" customWidth="1"/>
    <col min="6405" max="6405" width="16.77734375" style="411" customWidth="1"/>
    <col min="6406" max="6406" width="18.77734375" style="411" customWidth="1"/>
    <col min="6407" max="6414" width="18.5546875" style="411"/>
    <col min="6415" max="6415" width="4" style="411" customWidth="1"/>
    <col min="6416" max="6416" width="5.5546875" style="411" customWidth="1"/>
    <col min="6417" max="6417" width="30.21875" style="411" customWidth="1"/>
    <col min="6418" max="6418" width="4.5546875" style="411" bestFit="1" customWidth="1"/>
    <col min="6419" max="6419" width="41" style="411" customWidth="1"/>
    <col min="6420" max="6421" width="14.5546875" style="411" customWidth="1"/>
    <col min="6422" max="6422" width="16.5546875" style="411" customWidth="1"/>
    <col min="6423" max="6425" width="14.5546875" style="411" customWidth="1"/>
    <col min="6426" max="6427" width="12.5546875" style="411" customWidth="1"/>
    <col min="6428" max="6428" width="16.5546875" style="411" customWidth="1"/>
    <col min="6429" max="6430" width="20.5546875" style="411" customWidth="1"/>
    <col min="6431" max="6431" width="11" style="411" bestFit="1" customWidth="1"/>
    <col min="6432" max="6432" width="17.21875" style="411" customWidth="1"/>
    <col min="6433" max="6433" width="11" style="411" bestFit="1" customWidth="1"/>
    <col min="6434" max="6434" width="8.77734375" style="411" customWidth="1"/>
    <col min="6435" max="6438" width="10.21875" style="411" bestFit="1" customWidth="1"/>
    <col min="6439" max="6440" width="11.21875" style="411" bestFit="1" customWidth="1"/>
    <col min="6441" max="6651" width="8.77734375" style="411" customWidth="1"/>
    <col min="6652" max="6652" width="2.5546875" style="411" customWidth="1"/>
    <col min="6653" max="6653" width="5.5546875" style="411" customWidth="1"/>
    <col min="6654" max="6654" width="23.77734375" style="411" customWidth="1"/>
    <col min="6655" max="6655" width="3.77734375" style="411" customWidth="1"/>
    <col min="6656" max="6656" width="35.77734375" style="411" customWidth="1"/>
    <col min="6657" max="6657" width="22.21875" style="411" customWidth="1"/>
    <col min="6658" max="6658" width="17.77734375" style="411" customWidth="1"/>
    <col min="6659" max="6659" width="19" style="411" customWidth="1"/>
    <col min="6660" max="6660" width="20.77734375" style="411" customWidth="1"/>
    <col min="6661" max="6661" width="16.77734375" style="411" customWidth="1"/>
    <col min="6662" max="6662" width="18.77734375" style="411" customWidth="1"/>
    <col min="6663" max="6670" width="18.5546875" style="411"/>
    <col min="6671" max="6671" width="4" style="411" customWidth="1"/>
    <col min="6672" max="6672" width="5.5546875" style="411" customWidth="1"/>
    <col min="6673" max="6673" width="30.21875" style="411" customWidth="1"/>
    <col min="6674" max="6674" width="4.5546875" style="411" bestFit="1" customWidth="1"/>
    <col min="6675" max="6675" width="41" style="411" customWidth="1"/>
    <col min="6676" max="6677" width="14.5546875" style="411" customWidth="1"/>
    <col min="6678" max="6678" width="16.5546875" style="411" customWidth="1"/>
    <col min="6679" max="6681" width="14.5546875" style="411" customWidth="1"/>
    <col min="6682" max="6683" width="12.5546875" style="411" customWidth="1"/>
    <col min="6684" max="6684" width="16.5546875" style="411" customWidth="1"/>
    <col min="6685" max="6686" width="20.5546875" style="411" customWidth="1"/>
    <col min="6687" max="6687" width="11" style="411" bestFit="1" customWidth="1"/>
    <col min="6688" max="6688" width="17.21875" style="411" customWidth="1"/>
    <col min="6689" max="6689" width="11" style="411" bestFit="1" customWidth="1"/>
    <col min="6690" max="6690" width="8.77734375" style="411" customWidth="1"/>
    <col min="6691" max="6694" width="10.21875" style="411" bestFit="1" customWidth="1"/>
    <col min="6695" max="6696" width="11.21875" style="411" bestFit="1" customWidth="1"/>
    <col min="6697" max="6907" width="8.77734375" style="411" customWidth="1"/>
    <col min="6908" max="6908" width="2.5546875" style="411" customWidth="1"/>
    <col min="6909" max="6909" width="5.5546875" style="411" customWidth="1"/>
    <col min="6910" max="6910" width="23.77734375" style="411" customWidth="1"/>
    <col min="6911" max="6911" width="3.77734375" style="411" customWidth="1"/>
    <col min="6912" max="6912" width="35.77734375" style="411" customWidth="1"/>
    <col min="6913" max="6913" width="22.21875" style="411" customWidth="1"/>
    <col min="6914" max="6914" width="17.77734375" style="411" customWidth="1"/>
    <col min="6915" max="6915" width="19" style="411" customWidth="1"/>
    <col min="6916" max="6916" width="20.77734375" style="411" customWidth="1"/>
    <col min="6917" max="6917" width="16.77734375" style="411" customWidth="1"/>
    <col min="6918" max="6918" width="18.77734375" style="411" customWidth="1"/>
    <col min="6919" max="6926" width="18.5546875" style="411"/>
    <col min="6927" max="6927" width="4" style="411" customWidth="1"/>
    <col min="6928" max="6928" width="5.5546875" style="411" customWidth="1"/>
    <col min="6929" max="6929" width="30.21875" style="411" customWidth="1"/>
    <col min="6930" max="6930" width="4.5546875" style="411" bestFit="1" customWidth="1"/>
    <col min="6931" max="6931" width="41" style="411" customWidth="1"/>
    <col min="6932" max="6933" width="14.5546875" style="411" customWidth="1"/>
    <col min="6934" max="6934" width="16.5546875" style="411" customWidth="1"/>
    <col min="6935" max="6937" width="14.5546875" style="411" customWidth="1"/>
    <col min="6938" max="6939" width="12.5546875" style="411" customWidth="1"/>
    <col min="6940" max="6940" width="16.5546875" style="411" customWidth="1"/>
    <col min="6941" max="6942" width="20.5546875" style="411" customWidth="1"/>
    <col min="6943" max="6943" width="11" style="411" bestFit="1" customWidth="1"/>
    <col min="6944" max="6944" width="17.21875" style="411" customWidth="1"/>
    <col min="6945" max="6945" width="11" style="411" bestFit="1" customWidth="1"/>
    <col min="6946" max="6946" width="8.77734375" style="411" customWidth="1"/>
    <col min="6947" max="6950" width="10.21875" style="411" bestFit="1" customWidth="1"/>
    <col min="6951" max="6952" width="11.21875" style="411" bestFit="1" customWidth="1"/>
    <col min="6953" max="7163" width="8.77734375" style="411" customWidth="1"/>
    <col min="7164" max="7164" width="2.5546875" style="411" customWidth="1"/>
    <col min="7165" max="7165" width="5.5546875" style="411" customWidth="1"/>
    <col min="7166" max="7166" width="23.77734375" style="411" customWidth="1"/>
    <col min="7167" max="7167" width="3.77734375" style="411" customWidth="1"/>
    <col min="7168" max="7168" width="35.77734375" style="411" customWidth="1"/>
    <col min="7169" max="7169" width="22.21875" style="411" customWidth="1"/>
    <col min="7170" max="7170" width="17.77734375" style="411" customWidth="1"/>
    <col min="7171" max="7171" width="19" style="411" customWidth="1"/>
    <col min="7172" max="7172" width="20.77734375" style="411" customWidth="1"/>
    <col min="7173" max="7173" width="16.77734375" style="411" customWidth="1"/>
    <col min="7174" max="7174" width="18.77734375" style="411" customWidth="1"/>
    <col min="7175" max="7182" width="18.5546875" style="411"/>
    <col min="7183" max="7183" width="4" style="411" customWidth="1"/>
    <col min="7184" max="7184" width="5.5546875" style="411" customWidth="1"/>
    <col min="7185" max="7185" width="30.21875" style="411" customWidth="1"/>
    <col min="7186" max="7186" width="4.5546875" style="411" bestFit="1" customWidth="1"/>
    <col min="7187" max="7187" width="41" style="411" customWidth="1"/>
    <col min="7188" max="7189" width="14.5546875" style="411" customWidth="1"/>
    <col min="7190" max="7190" width="16.5546875" style="411" customWidth="1"/>
    <col min="7191" max="7193" width="14.5546875" style="411" customWidth="1"/>
    <col min="7194" max="7195" width="12.5546875" style="411" customWidth="1"/>
    <col min="7196" max="7196" width="16.5546875" style="411" customWidth="1"/>
    <col min="7197" max="7198" width="20.5546875" style="411" customWidth="1"/>
    <col min="7199" max="7199" width="11" style="411" bestFit="1" customWidth="1"/>
    <col min="7200" max="7200" width="17.21875" style="411" customWidth="1"/>
    <col min="7201" max="7201" width="11" style="411" bestFit="1" customWidth="1"/>
    <col min="7202" max="7202" width="8.77734375" style="411" customWidth="1"/>
    <col min="7203" max="7206" width="10.21875" style="411" bestFit="1" customWidth="1"/>
    <col min="7207" max="7208" width="11.21875" style="411" bestFit="1" customWidth="1"/>
    <col min="7209" max="7419" width="8.77734375" style="411" customWidth="1"/>
    <col min="7420" max="7420" width="2.5546875" style="411" customWidth="1"/>
    <col min="7421" max="7421" width="5.5546875" style="411" customWidth="1"/>
    <col min="7422" max="7422" width="23.77734375" style="411" customWidth="1"/>
    <col min="7423" max="7423" width="3.77734375" style="411" customWidth="1"/>
    <col min="7424" max="7424" width="35.77734375" style="411" customWidth="1"/>
    <col min="7425" max="7425" width="22.21875" style="411" customWidth="1"/>
    <col min="7426" max="7426" width="17.77734375" style="411" customWidth="1"/>
    <col min="7427" max="7427" width="19" style="411" customWidth="1"/>
    <col min="7428" max="7428" width="20.77734375" style="411" customWidth="1"/>
    <col min="7429" max="7429" width="16.77734375" style="411" customWidth="1"/>
    <col min="7430" max="7430" width="18.77734375" style="411" customWidth="1"/>
    <col min="7431" max="7438" width="18.5546875" style="411"/>
    <col min="7439" max="7439" width="4" style="411" customWidth="1"/>
    <col min="7440" max="7440" width="5.5546875" style="411" customWidth="1"/>
    <col min="7441" max="7441" width="30.21875" style="411" customWidth="1"/>
    <col min="7442" max="7442" width="4.5546875" style="411" bestFit="1" customWidth="1"/>
    <col min="7443" max="7443" width="41" style="411" customWidth="1"/>
    <col min="7444" max="7445" width="14.5546875" style="411" customWidth="1"/>
    <col min="7446" max="7446" width="16.5546875" style="411" customWidth="1"/>
    <col min="7447" max="7449" width="14.5546875" style="411" customWidth="1"/>
    <col min="7450" max="7451" width="12.5546875" style="411" customWidth="1"/>
    <col min="7452" max="7452" width="16.5546875" style="411" customWidth="1"/>
    <col min="7453" max="7454" width="20.5546875" style="411" customWidth="1"/>
    <col min="7455" max="7455" width="11" style="411" bestFit="1" customWidth="1"/>
    <col min="7456" max="7456" width="17.21875" style="411" customWidth="1"/>
    <col min="7457" max="7457" width="11" style="411" bestFit="1" customWidth="1"/>
    <col min="7458" max="7458" width="8.77734375" style="411" customWidth="1"/>
    <col min="7459" max="7462" width="10.21875" style="411" bestFit="1" customWidth="1"/>
    <col min="7463" max="7464" width="11.21875" style="411" bestFit="1" customWidth="1"/>
    <col min="7465" max="7675" width="8.77734375" style="411" customWidth="1"/>
    <col min="7676" max="7676" width="2.5546875" style="411" customWidth="1"/>
    <col min="7677" max="7677" width="5.5546875" style="411" customWidth="1"/>
    <col min="7678" max="7678" width="23.77734375" style="411" customWidth="1"/>
    <col min="7679" max="7679" width="3.77734375" style="411" customWidth="1"/>
    <col min="7680" max="7680" width="35.77734375" style="411" customWidth="1"/>
    <col min="7681" max="7681" width="22.21875" style="411" customWidth="1"/>
    <col min="7682" max="7682" width="17.77734375" style="411" customWidth="1"/>
    <col min="7683" max="7683" width="19" style="411" customWidth="1"/>
    <col min="7684" max="7684" width="20.77734375" style="411" customWidth="1"/>
    <col min="7685" max="7685" width="16.77734375" style="411" customWidth="1"/>
    <col min="7686" max="7686" width="18.77734375" style="411" customWidth="1"/>
    <col min="7687" max="7694" width="18.5546875" style="411"/>
    <col min="7695" max="7695" width="4" style="411" customWidth="1"/>
    <col min="7696" max="7696" width="5.5546875" style="411" customWidth="1"/>
    <col min="7697" max="7697" width="30.21875" style="411" customWidth="1"/>
    <col min="7698" max="7698" width="4.5546875" style="411" bestFit="1" customWidth="1"/>
    <col min="7699" max="7699" width="41" style="411" customWidth="1"/>
    <col min="7700" max="7701" width="14.5546875" style="411" customWidth="1"/>
    <col min="7702" max="7702" width="16.5546875" style="411" customWidth="1"/>
    <col min="7703" max="7705" width="14.5546875" style="411" customWidth="1"/>
    <col min="7706" max="7707" width="12.5546875" style="411" customWidth="1"/>
    <col min="7708" max="7708" width="16.5546875" style="411" customWidth="1"/>
    <col min="7709" max="7710" width="20.5546875" style="411" customWidth="1"/>
    <col min="7711" max="7711" width="11" style="411" bestFit="1" customWidth="1"/>
    <col min="7712" max="7712" width="17.21875" style="411" customWidth="1"/>
    <col min="7713" max="7713" width="11" style="411" bestFit="1" customWidth="1"/>
    <col min="7714" max="7714" width="8.77734375" style="411" customWidth="1"/>
    <col min="7715" max="7718" width="10.21875" style="411" bestFit="1" customWidth="1"/>
    <col min="7719" max="7720" width="11.21875" style="411" bestFit="1" customWidth="1"/>
    <col min="7721" max="7931" width="8.77734375" style="411" customWidth="1"/>
    <col min="7932" max="7932" width="2.5546875" style="411" customWidth="1"/>
    <col min="7933" max="7933" width="5.5546875" style="411" customWidth="1"/>
    <col min="7934" max="7934" width="23.77734375" style="411" customWidth="1"/>
    <col min="7935" max="7935" width="3.77734375" style="411" customWidth="1"/>
    <col min="7936" max="7936" width="35.77734375" style="411" customWidth="1"/>
    <col min="7937" max="7937" width="22.21875" style="411" customWidth="1"/>
    <col min="7938" max="7938" width="17.77734375" style="411" customWidth="1"/>
    <col min="7939" max="7939" width="19" style="411" customWidth="1"/>
    <col min="7940" max="7940" width="20.77734375" style="411" customWidth="1"/>
    <col min="7941" max="7941" width="16.77734375" style="411" customWidth="1"/>
    <col min="7942" max="7942" width="18.77734375" style="411" customWidth="1"/>
    <col min="7943" max="7950" width="18.5546875" style="411"/>
    <col min="7951" max="7951" width="4" style="411" customWidth="1"/>
    <col min="7952" max="7952" width="5.5546875" style="411" customWidth="1"/>
    <col min="7953" max="7953" width="30.21875" style="411" customWidth="1"/>
    <col min="7954" max="7954" width="4.5546875" style="411" bestFit="1" customWidth="1"/>
    <col min="7955" max="7955" width="41" style="411" customWidth="1"/>
    <col min="7956" max="7957" width="14.5546875" style="411" customWidth="1"/>
    <col min="7958" max="7958" width="16.5546875" style="411" customWidth="1"/>
    <col min="7959" max="7961" width="14.5546875" style="411" customWidth="1"/>
    <col min="7962" max="7963" width="12.5546875" style="411" customWidth="1"/>
    <col min="7964" max="7964" width="16.5546875" style="411" customWidth="1"/>
    <col min="7965" max="7966" width="20.5546875" style="411" customWidth="1"/>
    <col min="7967" max="7967" width="11" style="411" bestFit="1" customWidth="1"/>
    <col min="7968" max="7968" width="17.21875" style="411" customWidth="1"/>
    <col min="7969" max="7969" width="11" style="411" bestFit="1" customWidth="1"/>
    <col min="7970" max="7970" width="8.77734375" style="411" customWidth="1"/>
    <col min="7971" max="7974" width="10.21875" style="411" bestFit="1" customWidth="1"/>
    <col min="7975" max="7976" width="11.21875" style="411" bestFit="1" customWidth="1"/>
    <col min="7977" max="8187" width="8.77734375" style="411" customWidth="1"/>
    <col min="8188" max="8188" width="2.5546875" style="411" customWidth="1"/>
    <col min="8189" max="8189" width="5.5546875" style="411" customWidth="1"/>
    <col min="8190" max="8190" width="23.77734375" style="411" customWidth="1"/>
    <col min="8191" max="8191" width="3.77734375" style="411" customWidth="1"/>
    <col min="8192" max="8192" width="35.77734375" style="411" customWidth="1"/>
    <col min="8193" max="8193" width="22.21875" style="411" customWidth="1"/>
    <col min="8194" max="8194" width="17.77734375" style="411" customWidth="1"/>
    <col min="8195" max="8195" width="19" style="411" customWidth="1"/>
    <col min="8196" max="8196" width="20.77734375" style="411" customWidth="1"/>
    <col min="8197" max="8197" width="16.77734375" style="411" customWidth="1"/>
    <col min="8198" max="8198" width="18.77734375" style="411" customWidth="1"/>
    <col min="8199" max="8206" width="18.5546875" style="411"/>
    <col min="8207" max="8207" width="4" style="411" customWidth="1"/>
    <col min="8208" max="8208" width="5.5546875" style="411" customWidth="1"/>
    <col min="8209" max="8209" width="30.21875" style="411" customWidth="1"/>
    <col min="8210" max="8210" width="4.5546875" style="411" bestFit="1" customWidth="1"/>
    <col min="8211" max="8211" width="41" style="411" customWidth="1"/>
    <col min="8212" max="8213" width="14.5546875" style="411" customWidth="1"/>
    <col min="8214" max="8214" width="16.5546875" style="411" customWidth="1"/>
    <col min="8215" max="8217" width="14.5546875" style="411" customWidth="1"/>
    <col min="8218" max="8219" width="12.5546875" style="411" customWidth="1"/>
    <col min="8220" max="8220" width="16.5546875" style="411" customWidth="1"/>
    <col min="8221" max="8222" width="20.5546875" style="411" customWidth="1"/>
    <col min="8223" max="8223" width="11" style="411" bestFit="1" customWidth="1"/>
    <col min="8224" max="8224" width="17.21875" style="411" customWidth="1"/>
    <col min="8225" max="8225" width="11" style="411" bestFit="1" customWidth="1"/>
    <col min="8226" max="8226" width="8.77734375" style="411" customWidth="1"/>
    <col min="8227" max="8230" width="10.21875" style="411" bestFit="1" customWidth="1"/>
    <col min="8231" max="8232" width="11.21875" style="411" bestFit="1" customWidth="1"/>
    <col min="8233" max="8443" width="8.77734375" style="411" customWidth="1"/>
    <col min="8444" max="8444" width="2.5546875" style="411" customWidth="1"/>
    <col min="8445" max="8445" width="5.5546875" style="411" customWidth="1"/>
    <col min="8446" max="8446" width="23.77734375" style="411" customWidth="1"/>
    <col min="8447" max="8447" width="3.77734375" style="411" customWidth="1"/>
    <col min="8448" max="8448" width="35.77734375" style="411" customWidth="1"/>
    <col min="8449" max="8449" width="22.21875" style="411" customWidth="1"/>
    <col min="8450" max="8450" width="17.77734375" style="411" customWidth="1"/>
    <col min="8451" max="8451" width="19" style="411" customWidth="1"/>
    <col min="8452" max="8452" width="20.77734375" style="411" customWidth="1"/>
    <col min="8453" max="8453" width="16.77734375" style="411" customWidth="1"/>
    <col min="8454" max="8454" width="18.77734375" style="411" customWidth="1"/>
    <col min="8455" max="8462" width="18.5546875" style="411"/>
    <col min="8463" max="8463" width="4" style="411" customWidth="1"/>
    <col min="8464" max="8464" width="5.5546875" style="411" customWidth="1"/>
    <col min="8465" max="8465" width="30.21875" style="411" customWidth="1"/>
    <col min="8466" max="8466" width="4.5546875" style="411" bestFit="1" customWidth="1"/>
    <col min="8467" max="8467" width="41" style="411" customWidth="1"/>
    <col min="8468" max="8469" width="14.5546875" style="411" customWidth="1"/>
    <col min="8470" max="8470" width="16.5546875" style="411" customWidth="1"/>
    <col min="8471" max="8473" width="14.5546875" style="411" customWidth="1"/>
    <col min="8474" max="8475" width="12.5546875" style="411" customWidth="1"/>
    <col min="8476" max="8476" width="16.5546875" style="411" customWidth="1"/>
    <col min="8477" max="8478" width="20.5546875" style="411" customWidth="1"/>
    <col min="8479" max="8479" width="11" style="411" bestFit="1" customWidth="1"/>
    <col min="8480" max="8480" width="17.21875" style="411" customWidth="1"/>
    <col min="8481" max="8481" width="11" style="411" bestFit="1" customWidth="1"/>
    <col min="8482" max="8482" width="8.77734375" style="411" customWidth="1"/>
    <col min="8483" max="8486" width="10.21875" style="411" bestFit="1" customWidth="1"/>
    <col min="8487" max="8488" width="11.21875" style="411" bestFit="1" customWidth="1"/>
    <col min="8489" max="8699" width="8.77734375" style="411" customWidth="1"/>
    <col min="8700" max="8700" width="2.5546875" style="411" customWidth="1"/>
    <col min="8701" max="8701" width="5.5546875" style="411" customWidth="1"/>
    <col min="8702" max="8702" width="23.77734375" style="411" customWidth="1"/>
    <col min="8703" max="8703" width="3.77734375" style="411" customWidth="1"/>
    <col min="8704" max="8704" width="35.77734375" style="411" customWidth="1"/>
    <col min="8705" max="8705" width="22.21875" style="411" customWidth="1"/>
    <col min="8706" max="8706" width="17.77734375" style="411" customWidth="1"/>
    <col min="8707" max="8707" width="19" style="411" customWidth="1"/>
    <col min="8708" max="8708" width="20.77734375" style="411" customWidth="1"/>
    <col min="8709" max="8709" width="16.77734375" style="411" customWidth="1"/>
    <col min="8710" max="8710" width="18.77734375" style="411" customWidth="1"/>
    <col min="8711" max="8718" width="18.5546875" style="411"/>
    <col min="8719" max="8719" width="4" style="411" customWidth="1"/>
    <col min="8720" max="8720" width="5.5546875" style="411" customWidth="1"/>
    <col min="8721" max="8721" width="30.21875" style="411" customWidth="1"/>
    <col min="8722" max="8722" width="4.5546875" style="411" bestFit="1" customWidth="1"/>
    <col min="8723" max="8723" width="41" style="411" customWidth="1"/>
    <col min="8724" max="8725" width="14.5546875" style="411" customWidth="1"/>
    <col min="8726" max="8726" width="16.5546875" style="411" customWidth="1"/>
    <col min="8727" max="8729" width="14.5546875" style="411" customWidth="1"/>
    <col min="8730" max="8731" width="12.5546875" style="411" customWidth="1"/>
    <col min="8732" max="8732" width="16.5546875" style="411" customWidth="1"/>
    <col min="8733" max="8734" width="20.5546875" style="411" customWidth="1"/>
    <col min="8735" max="8735" width="11" style="411" bestFit="1" customWidth="1"/>
    <col min="8736" max="8736" width="17.21875" style="411" customWidth="1"/>
    <col min="8737" max="8737" width="11" style="411" bestFit="1" customWidth="1"/>
    <col min="8738" max="8738" width="8.77734375" style="411" customWidth="1"/>
    <col min="8739" max="8742" width="10.21875" style="411" bestFit="1" customWidth="1"/>
    <col min="8743" max="8744" width="11.21875" style="411" bestFit="1" customWidth="1"/>
    <col min="8745" max="8955" width="8.77734375" style="411" customWidth="1"/>
    <col min="8956" max="8956" width="2.5546875" style="411" customWidth="1"/>
    <col min="8957" max="8957" width="5.5546875" style="411" customWidth="1"/>
    <col min="8958" max="8958" width="23.77734375" style="411" customWidth="1"/>
    <col min="8959" max="8959" width="3.77734375" style="411" customWidth="1"/>
    <col min="8960" max="8960" width="35.77734375" style="411" customWidth="1"/>
    <col min="8961" max="8961" width="22.21875" style="411" customWidth="1"/>
    <col min="8962" max="8962" width="17.77734375" style="411" customWidth="1"/>
    <col min="8963" max="8963" width="19" style="411" customWidth="1"/>
    <col min="8964" max="8964" width="20.77734375" style="411" customWidth="1"/>
    <col min="8965" max="8965" width="16.77734375" style="411" customWidth="1"/>
    <col min="8966" max="8966" width="18.77734375" style="411" customWidth="1"/>
    <col min="8967" max="8974" width="18.5546875" style="411"/>
    <col min="8975" max="8975" width="4" style="411" customWidth="1"/>
    <col min="8976" max="8976" width="5.5546875" style="411" customWidth="1"/>
    <col min="8977" max="8977" width="30.21875" style="411" customWidth="1"/>
    <col min="8978" max="8978" width="4.5546875" style="411" bestFit="1" customWidth="1"/>
    <col min="8979" max="8979" width="41" style="411" customWidth="1"/>
    <col min="8980" max="8981" width="14.5546875" style="411" customWidth="1"/>
    <col min="8982" max="8982" width="16.5546875" style="411" customWidth="1"/>
    <col min="8983" max="8985" width="14.5546875" style="411" customWidth="1"/>
    <col min="8986" max="8987" width="12.5546875" style="411" customWidth="1"/>
    <col min="8988" max="8988" width="16.5546875" style="411" customWidth="1"/>
    <col min="8989" max="8990" width="20.5546875" style="411" customWidth="1"/>
    <col min="8991" max="8991" width="11" style="411" bestFit="1" customWidth="1"/>
    <col min="8992" max="8992" width="17.21875" style="411" customWidth="1"/>
    <col min="8993" max="8993" width="11" style="411" bestFit="1" customWidth="1"/>
    <col min="8994" max="8994" width="8.77734375" style="411" customWidth="1"/>
    <col min="8995" max="8998" width="10.21875" style="411" bestFit="1" customWidth="1"/>
    <col min="8999" max="9000" width="11.21875" style="411" bestFit="1" customWidth="1"/>
    <col min="9001" max="9211" width="8.77734375" style="411" customWidth="1"/>
    <col min="9212" max="9212" width="2.5546875" style="411" customWidth="1"/>
    <col min="9213" max="9213" width="5.5546875" style="411" customWidth="1"/>
    <col min="9214" max="9214" width="23.77734375" style="411" customWidth="1"/>
    <col min="9215" max="9215" width="3.77734375" style="411" customWidth="1"/>
    <col min="9216" max="9216" width="35.77734375" style="411" customWidth="1"/>
    <col min="9217" max="9217" width="22.21875" style="411" customWidth="1"/>
    <col min="9218" max="9218" width="17.77734375" style="411" customWidth="1"/>
    <col min="9219" max="9219" width="19" style="411" customWidth="1"/>
    <col min="9220" max="9220" width="20.77734375" style="411" customWidth="1"/>
    <col min="9221" max="9221" width="16.77734375" style="411" customWidth="1"/>
    <col min="9222" max="9222" width="18.77734375" style="411" customWidth="1"/>
    <col min="9223" max="9230" width="18.5546875" style="411"/>
    <col min="9231" max="9231" width="4" style="411" customWidth="1"/>
    <col min="9232" max="9232" width="5.5546875" style="411" customWidth="1"/>
    <col min="9233" max="9233" width="30.21875" style="411" customWidth="1"/>
    <col min="9234" max="9234" width="4.5546875" style="411" bestFit="1" customWidth="1"/>
    <col min="9235" max="9235" width="41" style="411" customWidth="1"/>
    <col min="9236" max="9237" width="14.5546875" style="411" customWidth="1"/>
    <col min="9238" max="9238" width="16.5546875" style="411" customWidth="1"/>
    <col min="9239" max="9241" width="14.5546875" style="411" customWidth="1"/>
    <col min="9242" max="9243" width="12.5546875" style="411" customWidth="1"/>
    <col min="9244" max="9244" width="16.5546875" style="411" customWidth="1"/>
    <col min="9245" max="9246" width="20.5546875" style="411" customWidth="1"/>
    <col min="9247" max="9247" width="11" style="411" bestFit="1" customWidth="1"/>
    <col min="9248" max="9248" width="17.21875" style="411" customWidth="1"/>
    <col min="9249" max="9249" width="11" style="411" bestFit="1" customWidth="1"/>
    <col min="9250" max="9250" width="8.77734375" style="411" customWidth="1"/>
    <col min="9251" max="9254" width="10.21875" style="411" bestFit="1" customWidth="1"/>
    <col min="9255" max="9256" width="11.21875" style="411" bestFit="1" customWidth="1"/>
    <col min="9257" max="9467" width="8.77734375" style="411" customWidth="1"/>
    <col min="9468" max="9468" width="2.5546875" style="411" customWidth="1"/>
    <col min="9469" max="9469" width="5.5546875" style="411" customWidth="1"/>
    <col min="9470" max="9470" width="23.77734375" style="411" customWidth="1"/>
    <col min="9471" max="9471" width="3.77734375" style="411" customWidth="1"/>
    <col min="9472" max="9472" width="35.77734375" style="411" customWidth="1"/>
    <col min="9473" max="9473" width="22.21875" style="411" customWidth="1"/>
    <col min="9474" max="9474" width="17.77734375" style="411" customWidth="1"/>
    <col min="9475" max="9475" width="19" style="411" customWidth="1"/>
    <col min="9476" max="9476" width="20.77734375" style="411" customWidth="1"/>
    <col min="9477" max="9477" width="16.77734375" style="411" customWidth="1"/>
    <col min="9478" max="9478" width="18.77734375" style="411" customWidth="1"/>
    <col min="9479" max="9486" width="18.5546875" style="411"/>
    <col min="9487" max="9487" width="4" style="411" customWidth="1"/>
    <col min="9488" max="9488" width="5.5546875" style="411" customWidth="1"/>
    <col min="9489" max="9489" width="30.21875" style="411" customWidth="1"/>
    <col min="9490" max="9490" width="4.5546875" style="411" bestFit="1" customWidth="1"/>
    <col min="9491" max="9491" width="41" style="411" customWidth="1"/>
    <col min="9492" max="9493" width="14.5546875" style="411" customWidth="1"/>
    <col min="9494" max="9494" width="16.5546875" style="411" customWidth="1"/>
    <col min="9495" max="9497" width="14.5546875" style="411" customWidth="1"/>
    <col min="9498" max="9499" width="12.5546875" style="411" customWidth="1"/>
    <col min="9500" max="9500" width="16.5546875" style="411" customWidth="1"/>
    <col min="9501" max="9502" width="20.5546875" style="411" customWidth="1"/>
    <col min="9503" max="9503" width="11" style="411" bestFit="1" customWidth="1"/>
    <col min="9504" max="9504" width="17.21875" style="411" customWidth="1"/>
    <col min="9505" max="9505" width="11" style="411" bestFit="1" customWidth="1"/>
    <col min="9506" max="9506" width="8.77734375" style="411" customWidth="1"/>
    <col min="9507" max="9510" width="10.21875" style="411" bestFit="1" customWidth="1"/>
    <col min="9511" max="9512" width="11.21875" style="411" bestFit="1" customWidth="1"/>
    <col min="9513" max="9723" width="8.77734375" style="411" customWidth="1"/>
    <col min="9724" max="9724" width="2.5546875" style="411" customWidth="1"/>
    <col min="9725" max="9725" width="5.5546875" style="411" customWidth="1"/>
    <col min="9726" max="9726" width="23.77734375" style="411" customWidth="1"/>
    <col min="9727" max="9727" width="3.77734375" style="411" customWidth="1"/>
    <col min="9728" max="9728" width="35.77734375" style="411" customWidth="1"/>
    <col min="9729" max="9729" width="22.21875" style="411" customWidth="1"/>
    <col min="9730" max="9730" width="17.77734375" style="411" customWidth="1"/>
    <col min="9731" max="9731" width="19" style="411" customWidth="1"/>
    <col min="9732" max="9732" width="20.77734375" style="411" customWidth="1"/>
    <col min="9733" max="9733" width="16.77734375" style="411" customWidth="1"/>
    <col min="9734" max="9734" width="18.77734375" style="411" customWidth="1"/>
    <col min="9735" max="9742" width="18.5546875" style="411"/>
    <col min="9743" max="9743" width="4" style="411" customWidth="1"/>
    <col min="9744" max="9744" width="5.5546875" style="411" customWidth="1"/>
    <col min="9745" max="9745" width="30.21875" style="411" customWidth="1"/>
    <col min="9746" max="9746" width="4.5546875" style="411" bestFit="1" customWidth="1"/>
    <col min="9747" max="9747" width="41" style="411" customWidth="1"/>
    <col min="9748" max="9749" width="14.5546875" style="411" customWidth="1"/>
    <col min="9750" max="9750" width="16.5546875" style="411" customWidth="1"/>
    <col min="9751" max="9753" width="14.5546875" style="411" customWidth="1"/>
    <col min="9754" max="9755" width="12.5546875" style="411" customWidth="1"/>
    <col min="9756" max="9756" width="16.5546875" style="411" customWidth="1"/>
    <col min="9757" max="9758" width="20.5546875" style="411" customWidth="1"/>
    <col min="9759" max="9759" width="11" style="411" bestFit="1" customWidth="1"/>
    <col min="9760" max="9760" width="17.21875" style="411" customWidth="1"/>
    <col min="9761" max="9761" width="11" style="411" bestFit="1" customWidth="1"/>
    <col min="9762" max="9762" width="8.77734375" style="411" customWidth="1"/>
    <col min="9763" max="9766" width="10.21875" style="411" bestFit="1" customWidth="1"/>
    <col min="9767" max="9768" width="11.21875" style="411" bestFit="1" customWidth="1"/>
    <col min="9769" max="9979" width="8.77734375" style="411" customWidth="1"/>
    <col min="9980" max="9980" width="2.5546875" style="411" customWidth="1"/>
    <col min="9981" max="9981" width="5.5546875" style="411" customWidth="1"/>
    <col min="9982" max="9982" width="23.77734375" style="411" customWidth="1"/>
    <col min="9983" max="9983" width="3.77734375" style="411" customWidth="1"/>
    <col min="9984" max="9984" width="35.77734375" style="411" customWidth="1"/>
    <col min="9985" max="9985" width="22.21875" style="411" customWidth="1"/>
    <col min="9986" max="9986" width="17.77734375" style="411" customWidth="1"/>
    <col min="9987" max="9987" width="19" style="411" customWidth="1"/>
    <col min="9988" max="9988" width="20.77734375" style="411" customWidth="1"/>
    <col min="9989" max="9989" width="16.77734375" style="411" customWidth="1"/>
    <col min="9990" max="9990" width="18.77734375" style="411" customWidth="1"/>
    <col min="9991" max="9998" width="18.5546875" style="411"/>
    <col min="9999" max="9999" width="4" style="411" customWidth="1"/>
    <col min="10000" max="10000" width="5.5546875" style="411" customWidth="1"/>
    <col min="10001" max="10001" width="30.21875" style="411" customWidth="1"/>
    <col min="10002" max="10002" width="4.5546875" style="411" bestFit="1" customWidth="1"/>
    <col min="10003" max="10003" width="41" style="411" customWidth="1"/>
    <col min="10004" max="10005" width="14.5546875" style="411" customWidth="1"/>
    <col min="10006" max="10006" width="16.5546875" style="411" customWidth="1"/>
    <col min="10007" max="10009" width="14.5546875" style="411" customWidth="1"/>
    <col min="10010" max="10011" width="12.5546875" style="411" customWidth="1"/>
    <col min="10012" max="10012" width="16.5546875" style="411" customWidth="1"/>
    <col min="10013" max="10014" width="20.5546875" style="411" customWidth="1"/>
    <col min="10015" max="10015" width="11" style="411" bestFit="1" customWidth="1"/>
    <col min="10016" max="10016" width="17.21875" style="411" customWidth="1"/>
    <col min="10017" max="10017" width="11" style="411" bestFit="1" customWidth="1"/>
    <col min="10018" max="10018" width="8.77734375" style="411" customWidth="1"/>
    <col min="10019" max="10022" width="10.21875" style="411" bestFit="1" customWidth="1"/>
    <col min="10023" max="10024" width="11.21875" style="411" bestFit="1" customWidth="1"/>
    <col min="10025" max="10235" width="8.77734375" style="411" customWidth="1"/>
    <col min="10236" max="10236" width="2.5546875" style="411" customWidth="1"/>
    <col min="10237" max="10237" width="5.5546875" style="411" customWidth="1"/>
    <col min="10238" max="10238" width="23.77734375" style="411" customWidth="1"/>
    <col min="10239" max="10239" width="3.77734375" style="411" customWidth="1"/>
    <col min="10240" max="10240" width="35.77734375" style="411" customWidth="1"/>
    <col min="10241" max="10241" width="22.21875" style="411" customWidth="1"/>
    <col min="10242" max="10242" width="17.77734375" style="411" customWidth="1"/>
    <col min="10243" max="10243" width="19" style="411" customWidth="1"/>
    <col min="10244" max="10244" width="20.77734375" style="411" customWidth="1"/>
    <col min="10245" max="10245" width="16.77734375" style="411" customWidth="1"/>
    <col min="10246" max="10246" width="18.77734375" style="411" customWidth="1"/>
    <col min="10247" max="10254" width="18.5546875" style="411"/>
    <col min="10255" max="10255" width="4" style="411" customWidth="1"/>
    <col min="10256" max="10256" width="5.5546875" style="411" customWidth="1"/>
    <col min="10257" max="10257" width="30.21875" style="411" customWidth="1"/>
    <col min="10258" max="10258" width="4.5546875" style="411" bestFit="1" customWidth="1"/>
    <col min="10259" max="10259" width="41" style="411" customWidth="1"/>
    <col min="10260" max="10261" width="14.5546875" style="411" customWidth="1"/>
    <col min="10262" max="10262" width="16.5546875" style="411" customWidth="1"/>
    <col min="10263" max="10265" width="14.5546875" style="411" customWidth="1"/>
    <col min="10266" max="10267" width="12.5546875" style="411" customWidth="1"/>
    <col min="10268" max="10268" width="16.5546875" style="411" customWidth="1"/>
    <col min="10269" max="10270" width="20.5546875" style="411" customWidth="1"/>
    <col min="10271" max="10271" width="11" style="411" bestFit="1" customWidth="1"/>
    <col min="10272" max="10272" width="17.21875" style="411" customWidth="1"/>
    <col min="10273" max="10273" width="11" style="411" bestFit="1" customWidth="1"/>
    <col min="10274" max="10274" width="8.77734375" style="411" customWidth="1"/>
    <col min="10275" max="10278" width="10.21875" style="411" bestFit="1" customWidth="1"/>
    <col min="10279" max="10280" width="11.21875" style="411" bestFit="1" customWidth="1"/>
    <col min="10281" max="10491" width="8.77734375" style="411" customWidth="1"/>
    <col min="10492" max="10492" width="2.5546875" style="411" customWidth="1"/>
    <col min="10493" max="10493" width="5.5546875" style="411" customWidth="1"/>
    <col min="10494" max="10494" width="23.77734375" style="411" customWidth="1"/>
    <col min="10495" max="10495" width="3.77734375" style="411" customWidth="1"/>
    <col min="10496" max="10496" width="35.77734375" style="411" customWidth="1"/>
    <col min="10497" max="10497" width="22.21875" style="411" customWidth="1"/>
    <col min="10498" max="10498" width="17.77734375" style="411" customWidth="1"/>
    <col min="10499" max="10499" width="19" style="411" customWidth="1"/>
    <col min="10500" max="10500" width="20.77734375" style="411" customWidth="1"/>
    <col min="10501" max="10501" width="16.77734375" style="411" customWidth="1"/>
    <col min="10502" max="10502" width="18.77734375" style="411" customWidth="1"/>
    <col min="10503" max="10510" width="18.5546875" style="411"/>
    <col min="10511" max="10511" width="4" style="411" customWidth="1"/>
    <col min="10512" max="10512" width="5.5546875" style="411" customWidth="1"/>
    <col min="10513" max="10513" width="30.21875" style="411" customWidth="1"/>
    <col min="10514" max="10514" width="4.5546875" style="411" bestFit="1" customWidth="1"/>
    <col min="10515" max="10515" width="41" style="411" customWidth="1"/>
    <col min="10516" max="10517" width="14.5546875" style="411" customWidth="1"/>
    <col min="10518" max="10518" width="16.5546875" style="411" customWidth="1"/>
    <col min="10519" max="10521" width="14.5546875" style="411" customWidth="1"/>
    <col min="10522" max="10523" width="12.5546875" style="411" customWidth="1"/>
    <col min="10524" max="10524" width="16.5546875" style="411" customWidth="1"/>
    <col min="10525" max="10526" width="20.5546875" style="411" customWidth="1"/>
    <col min="10527" max="10527" width="11" style="411" bestFit="1" customWidth="1"/>
    <col min="10528" max="10528" width="17.21875" style="411" customWidth="1"/>
    <col min="10529" max="10529" width="11" style="411" bestFit="1" customWidth="1"/>
    <col min="10530" max="10530" width="8.77734375" style="411" customWidth="1"/>
    <col min="10531" max="10534" width="10.21875" style="411" bestFit="1" customWidth="1"/>
    <col min="10535" max="10536" width="11.21875" style="411" bestFit="1" customWidth="1"/>
    <col min="10537" max="10747" width="8.77734375" style="411" customWidth="1"/>
    <col min="10748" max="10748" width="2.5546875" style="411" customWidth="1"/>
    <col min="10749" max="10749" width="5.5546875" style="411" customWidth="1"/>
    <col min="10750" max="10750" width="23.77734375" style="411" customWidth="1"/>
    <col min="10751" max="10751" width="3.77734375" style="411" customWidth="1"/>
    <col min="10752" max="10752" width="35.77734375" style="411" customWidth="1"/>
    <col min="10753" max="10753" width="22.21875" style="411" customWidth="1"/>
    <col min="10754" max="10754" width="17.77734375" style="411" customWidth="1"/>
    <col min="10755" max="10755" width="19" style="411" customWidth="1"/>
    <col min="10756" max="10756" width="20.77734375" style="411" customWidth="1"/>
    <col min="10757" max="10757" width="16.77734375" style="411" customWidth="1"/>
    <col min="10758" max="10758" width="18.77734375" style="411" customWidth="1"/>
    <col min="10759" max="10766" width="18.5546875" style="411"/>
    <col min="10767" max="10767" width="4" style="411" customWidth="1"/>
    <col min="10768" max="10768" width="5.5546875" style="411" customWidth="1"/>
    <col min="10769" max="10769" width="30.21875" style="411" customWidth="1"/>
    <col min="10770" max="10770" width="4.5546875" style="411" bestFit="1" customWidth="1"/>
    <col min="10771" max="10771" width="41" style="411" customWidth="1"/>
    <col min="10772" max="10773" width="14.5546875" style="411" customWidth="1"/>
    <col min="10774" max="10774" width="16.5546875" style="411" customWidth="1"/>
    <col min="10775" max="10777" width="14.5546875" style="411" customWidth="1"/>
    <col min="10778" max="10779" width="12.5546875" style="411" customWidth="1"/>
    <col min="10780" max="10780" width="16.5546875" style="411" customWidth="1"/>
    <col min="10781" max="10782" width="20.5546875" style="411" customWidth="1"/>
    <col min="10783" max="10783" width="11" style="411" bestFit="1" customWidth="1"/>
    <col min="10784" max="10784" width="17.21875" style="411" customWidth="1"/>
    <col min="10785" max="10785" width="11" style="411" bestFit="1" customWidth="1"/>
    <col min="10786" max="10786" width="8.77734375" style="411" customWidth="1"/>
    <col min="10787" max="10790" width="10.21875" style="411" bestFit="1" customWidth="1"/>
    <col min="10791" max="10792" width="11.21875" style="411" bestFit="1" customWidth="1"/>
    <col min="10793" max="11003" width="8.77734375" style="411" customWidth="1"/>
    <col min="11004" max="11004" width="2.5546875" style="411" customWidth="1"/>
    <col min="11005" max="11005" width="5.5546875" style="411" customWidth="1"/>
    <col min="11006" max="11006" width="23.77734375" style="411" customWidth="1"/>
    <col min="11007" max="11007" width="3.77734375" style="411" customWidth="1"/>
    <col min="11008" max="11008" width="35.77734375" style="411" customWidth="1"/>
    <col min="11009" max="11009" width="22.21875" style="411" customWidth="1"/>
    <col min="11010" max="11010" width="17.77734375" style="411" customWidth="1"/>
    <col min="11011" max="11011" width="19" style="411" customWidth="1"/>
    <col min="11012" max="11012" width="20.77734375" style="411" customWidth="1"/>
    <col min="11013" max="11013" width="16.77734375" style="411" customWidth="1"/>
    <col min="11014" max="11014" width="18.77734375" style="411" customWidth="1"/>
    <col min="11015" max="11022" width="18.5546875" style="411"/>
    <col min="11023" max="11023" width="4" style="411" customWidth="1"/>
    <col min="11024" max="11024" width="5.5546875" style="411" customWidth="1"/>
    <col min="11025" max="11025" width="30.21875" style="411" customWidth="1"/>
    <col min="11026" max="11026" width="4.5546875" style="411" bestFit="1" customWidth="1"/>
    <col min="11027" max="11027" width="41" style="411" customWidth="1"/>
    <col min="11028" max="11029" width="14.5546875" style="411" customWidth="1"/>
    <col min="11030" max="11030" width="16.5546875" style="411" customWidth="1"/>
    <col min="11031" max="11033" width="14.5546875" style="411" customWidth="1"/>
    <col min="11034" max="11035" width="12.5546875" style="411" customWidth="1"/>
    <col min="11036" max="11036" width="16.5546875" style="411" customWidth="1"/>
    <col min="11037" max="11038" width="20.5546875" style="411" customWidth="1"/>
    <col min="11039" max="11039" width="11" style="411" bestFit="1" customWidth="1"/>
    <col min="11040" max="11040" width="17.21875" style="411" customWidth="1"/>
    <col min="11041" max="11041" width="11" style="411" bestFit="1" customWidth="1"/>
    <col min="11042" max="11042" width="8.77734375" style="411" customWidth="1"/>
    <col min="11043" max="11046" width="10.21875" style="411" bestFit="1" customWidth="1"/>
    <col min="11047" max="11048" width="11.21875" style="411" bestFit="1" customWidth="1"/>
    <col min="11049" max="11259" width="8.77734375" style="411" customWidth="1"/>
    <col min="11260" max="11260" width="2.5546875" style="411" customWidth="1"/>
    <col min="11261" max="11261" width="5.5546875" style="411" customWidth="1"/>
    <col min="11262" max="11262" width="23.77734375" style="411" customWidth="1"/>
    <col min="11263" max="11263" width="3.77734375" style="411" customWidth="1"/>
    <col min="11264" max="11264" width="35.77734375" style="411" customWidth="1"/>
    <col min="11265" max="11265" width="22.21875" style="411" customWidth="1"/>
    <col min="11266" max="11266" width="17.77734375" style="411" customWidth="1"/>
    <col min="11267" max="11267" width="19" style="411" customWidth="1"/>
    <col min="11268" max="11268" width="20.77734375" style="411" customWidth="1"/>
    <col min="11269" max="11269" width="16.77734375" style="411" customWidth="1"/>
    <col min="11270" max="11270" width="18.77734375" style="411" customWidth="1"/>
    <col min="11271" max="11278" width="18.5546875" style="411"/>
    <col min="11279" max="11279" width="4" style="411" customWidth="1"/>
    <col min="11280" max="11280" width="5.5546875" style="411" customWidth="1"/>
    <col min="11281" max="11281" width="30.21875" style="411" customWidth="1"/>
    <col min="11282" max="11282" width="4.5546875" style="411" bestFit="1" customWidth="1"/>
    <col min="11283" max="11283" width="41" style="411" customWidth="1"/>
    <col min="11284" max="11285" width="14.5546875" style="411" customWidth="1"/>
    <col min="11286" max="11286" width="16.5546875" style="411" customWidth="1"/>
    <col min="11287" max="11289" width="14.5546875" style="411" customWidth="1"/>
    <col min="11290" max="11291" width="12.5546875" style="411" customWidth="1"/>
    <col min="11292" max="11292" width="16.5546875" style="411" customWidth="1"/>
    <col min="11293" max="11294" width="20.5546875" style="411" customWidth="1"/>
    <col min="11295" max="11295" width="11" style="411" bestFit="1" customWidth="1"/>
    <col min="11296" max="11296" width="17.21875" style="411" customWidth="1"/>
    <col min="11297" max="11297" width="11" style="411" bestFit="1" customWidth="1"/>
    <col min="11298" max="11298" width="8.77734375" style="411" customWidth="1"/>
    <col min="11299" max="11302" width="10.21875" style="411" bestFit="1" customWidth="1"/>
    <col min="11303" max="11304" width="11.21875" style="411" bestFit="1" customWidth="1"/>
    <col min="11305" max="11515" width="8.77734375" style="411" customWidth="1"/>
    <col min="11516" max="11516" width="2.5546875" style="411" customWidth="1"/>
    <col min="11517" max="11517" width="5.5546875" style="411" customWidth="1"/>
    <col min="11518" max="11518" width="23.77734375" style="411" customWidth="1"/>
    <col min="11519" max="11519" width="3.77734375" style="411" customWidth="1"/>
    <col min="11520" max="11520" width="35.77734375" style="411" customWidth="1"/>
    <col min="11521" max="11521" width="22.21875" style="411" customWidth="1"/>
    <col min="11522" max="11522" width="17.77734375" style="411" customWidth="1"/>
    <col min="11523" max="11523" width="19" style="411" customWidth="1"/>
    <col min="11524" max="11524" width="20.77734375" style="411" customWidth="1"/>
    <col min="11525" max="11525" width="16.77734375" style="411" customWidth="1"/>
    <col min="11526" max="11526" width="18.77734375" style="411" customWidth="1"/>
    <col min="11527" max="11534" width="18.5546875" style="411"/>
    <col min="11535" max="11535" width="4" style="411" customWidth="1"/>
    <col min="11536" max="11536" width="5.5546875" style="411" customWidth="1"/>
    <col min="11537" max="11537" width="30.21875" style="411" customWidth="1"/>
    <col min="11538" max="11538" width="4.5546875" style="411" bestFit="1" customWidth="1"/>
    <col min="11539" max="11539" width="41" style="411" customWidth="1"/>
    <col min="11540" max="11541" width="14.5546875" style="411" customWidth="1"/>
    <col min="11542" max="11542" width="16.5546875" style="411" customWidth="1"/>
    <col min="11543" max="11545" width="14.5546875" style="411" customWidth="1"/>
    <col min="11546" max="11547" width="12.5546875" style="411" customWidth="1"/>
    <col min="11548" max="11548" width="16.5546875" style="411" customWidth="1"/>
    <col min="11549" max="11550" width="20.5546875" style="411" customWidth="1"/>
    <col min="11551" max="11551" width="11" style="411" bestFit="1" customWidth="1"/>
    <col min="11552" max="11552" width="17.21875" style="411" customWidth="1"/>
    <col min="11553" max="11553" width="11" style="411" bestFit="1" customWidth="1"/>
    <col min="11554" max="11554" width="8.77734375" style="411" customWidth="1"/>
    <col min="11555" max="11558" width="10.21875" style="411" bestFit="1" customWidth="1"/>
    <col min="11559" max="11560" width="11.21875" style="411" bestFit="1" customWidth="1"/>
    <col min="11561" max="11771" width="8.77734375" style="411" customWidth="1"/>
    <col min="11772" max="11772" width="2.5546875" style="411" customWidth="1"/>
    <col min="11773" max="11773" width="5.5546875" style="411" customWidth="1"/>
    <col min="11774" max="11774" width="23.77734375" style="411" customWidth="1"/>
    <col min="11775" max="11775" width="3.77734375" style="411" customWidth="1"/>
    <col min="11776" max="11776" width="35.77734375" style="411" customWidth="1"/>
    <col min="11777" max="11777" width="22.21875" style="411" customWidth="1"/>
    <col min="11778" max="11778" width="17.77734375" style="411" customWidth="1"/>
    <col min="11779" max="11779" width="19" style="411" customWidth="1"/>
    <col min="11780" max="11780" width="20.77734375" style="411" customWidth="1"/>
    <col min="11781" max="11781" width="16.77734375" style="411" customWidth="1"/>
    <col min="11782" max="11782" width="18.77734375" style="411" customWidth="1"/>
    <col min="11783" max="11790" width="18.5546875" style="411"/>
    <col min="11791" max="11791" width="4" style="411" customWidth="1"/>
    <col min="11792" max="11792" width="5.5546875" style="411" customWidth="1"/>
    <col min="11793" max="11793" width="30.21875" style="411" customWidth="1"/>
    <col min="11794" max="11794" width="4.5546875" style="411" bestFit="1" customWidth="1"/>
    <col min="11795" max="11795" width="41" style="411" customWidth="1"/>
    <col min="11796" max="11797" width="14.5546875" style="411" customWidth="1"/>
    <col min="11798" max="11798" width="16.5546875" style="411" customWidth="1"/>
    <col min="11799" max="11801" width="14.5546875" style="411" customWidth="1"/>
    <col min="11802" max="11803" width="12.5546875" style="411" customWidth="1"/>
    <col min="11804" max="11804" width="16.5546875" style="411" customWidth="1"/>
    <col min="11805" max="11806" width="20.5546875" style="411" customWidth="1"/>
    <col min="11807" max="11807" width="11" style="411" bestFit="1" customWidth="1"/>
    <col min="11808" max="11808" width="17.21875" style="411" customWidth="1"/>
    <col min="11809" max="11809" width="11" style="411" bestFit="1" customWidth="1"/>
    <col min="11810" max="11810" width="8.77734375" style="411" customWidth="1"/>
    <col min="11811" max="11814" width="10.21875" style="411" bestFit="1" customWidth="1"/>
    <col min="11815" max="11816" width="11.21875" style="411" bestFit="1" customWidth="1"/>
    <col min="11817" max="12027" width="8.77734375" style="411" customWidth="1"/>
    <col min="12028" max="12028" width="2.5546875" style="411" customWidth="1"/>
    <col min="12029" max="12029" width="5.5546875" style="411" customWidth="1"/>
    <col min="12030" max="12030" width="23.77734375" style="411" customWidth="1"/>
    <col min="12031" max="12031" width="3.77734375" style="411" customWidth="1"/>
    <col min="12032" max="12032" width="35.77734375" style="411" customWidth="1"/>
    <col min="12033" max="12033" width="22.21875" style="411" customWidth="1"/>
    <col min="12034" max="12034" width="17.77734375" style="411" customWidth="1"/>
    <col min="12035" max="12035" width="19" style="411" customWidth="1"/>
    <col min="12036" max="12036" width="20.77734375" style="411" customWidth="1"/>
    <col min="12037" max="12037" width="16.77734375" style="411" customWidth="1"/>
    <col min="12038" max="12038" width="18.77734375" style="411" customWidth="1"/>
    <col min="12039" max="12046" width="18.5546875" style="411"/>
    <col min="12047" max="12047" width="4" style="411" customWidth="1"/>
    <col min="12048" max="12048" width="5.5546875" style="411" customWidth="1"/>
    <col min="12049" max="12049" width="30.21875" style="411" customWidth="1"/>
    <col min="12050" max="12050" width="4.5546875" style="411" bestFit="1" customWidth="1"/>
    <col min="12051" max="12051" width="41" style="411" customWidth="1"/>
    <col min="12052" max="12053" width="14.5546875" style="411" customWidth="1"/>
    <col min="12054" max="12054" width="16.5546875" style="411" customWidth="1"/>
    <col min="12055" max="12057" width="14.5546875" style="411" customWidth="1"/>
    <col min="12058" max="12059" width="12.5546875" style="411" customWidth="1"/>
    <col min="12060" max="12060" width="16.5546875" style="411" customWidth="1"/>
    <col min="12061" max="12062" width="20.5546875" style="411" customWidth="1"/>
    <col min="12063" max="12063" width="11" style="411" bestFit="1" customWidth="1"/>
    <col min="12064" max="12064" width="17.21875" style="411" customWidth="1"/>
    <col min="12065" max="12065" width="11" style="411" bestFit="1" customWidth="1"/>
    <col min="12066" max="12066" width="8.77734375" style="411" customWidth="1"/>
    <col min="12067" max="12070" width="10.21875" style="411" bestFit="1" customWidth="1"/>
    <col min="12071" max="12072" width="11.21875" style="411" bestFit="1" customWidth="1"/>
    <col min="12073" max="12283" width="8.77734375" style="411" customWidth="1"/>
    <col min="12284" max="12284" width="2.5546875" style="411" customWidth="1"/>
    <col min="12285" max="12285" width="5.5546875" style="411" customWidth="1"/>
    <col min="12286" max="12286" width="23.77734375" style="411" customWidth="1"/>
    <col min="12287" max="12287" width="3.77734375" style="411" customWidth="1"/>
    <col min="12288" max="12288" width="35.77734375" style="411" customWidth="1"/>
    <col min="12289" max="12289" width="22.21875" style="411" customWidth="1"/>
    <col min="12290" max="12290" width="17.77734375" style="411" customWidth="1"/>
    <col min="12291" max="12291" width="19" style="411" customWidth="1"/>
    <col min="12292" max="12292" width="20.77734375" style="411" customWidth="1"/>
    <col min="12293" max="12293" width="16.77734375" style="411" customWidth="1"/>
    <col min="12294" max="12294" width="18.77734375" style="411" customWidth="1"/>
    <col min="12295" max="12302" width="18.5546875" style="411"/>
    <col min="12303" max="12303" width="4" style="411" customWidth="1"/>
    <col min="12304" max="12304" width="5.5546875" style="411" customWidth="1"/>
    <col min="12305" max="12305" width="30.21875" style="411" customWidth="1"/>
    <col min="12306" max="12306" width="4.5546875" style="411" bestFit="1" customWidth="1"/>
    <col min="12307" max="12307" width="41" style="411" customWidth="1"/>
    <col min="12308" max="12309" width="14.5546875" style="411" customWidth="1"/>
    <col min="12310" max="12310" width="16.5546875" style="411" customWidth="1"/>
    <col min="12311" max="12313" width="14.5546875" style="411" customWidth="1"/>
    <col min="12314" max="12315" width="12.5546875" style="411" customWidth="1"/>
    <col min="12316" max="12316" width="16.5546875" style="411" customWidth="1"/>
    <col min="12317" max="12318" width="20.5546875" style="411" customWidth="1"/>
    <col min="12319" max="12319" width="11" style="411" bestFit="1" customWidth="1"/>
    <col min="12320" max="12320" width="17.21875" style="411" customWidth="1"/>
    <col min="12321" max="12321" width="11" style="411" bestFit="1" customWidth="1"/>
    <col min="12322" max="12322" width="8.77734375" style="411" customWidth="1"/>
    <col min="12323" max="12326" width="10.21875" style="411" bestFit="1" customWidth="1"/>
    <col min="12327" max="12328" width="11.21875" style="411" bestFit="1" customWidth="1"/>
    <col min="12329" max="12539" width="8.77734375" style="411" customWidth="1"/>
    <col min="12540" max="12540" width="2.5546875" style="411" customWidth="1"/>
    <col min="12541" max="12541" width="5.5546875" style="411" customWidth="1"/>
    <col min="12542" max="12542" width="23.77734375" style="411" customWidth="1"/>
    <col min="12543" max="12543" width="3.77734375" style="411" customWidth="1"/>
    <col min="12544" max="12544" width="35.77734375" style="411" customWidth="1"/>
    <col min="12545" max="12545" width="22.21875" style="411" customWidth="1"/>
    <col min="12546" max="12546" width="17.77734375" style="411" customWidth="1"/>
    <col min="12547" max="12547" width="19" style="411" customWidth="1"/>
    <col min="12548" max="12548" width="20.77734375" style="411" customWidth="1"/>
    <col min="12549" max="12549" width="16.77734375" style="411" customWidth="1"/>
    <col min="12550" max="12550" width="18.77734375" style="411" customWidth="1"/>
    <col min="12551" max="12558" width="18.5546875" style="411"/>
    <col min="12559" max="12559" width="4" style="411" customWidth="1"/>
    <col min="12560" max="12560" width="5.5546875" style="411" customWidth="1"/>
    <col min="12561" max="12561" width="30.21875" style="411" customWidth="1"/>
    <col min="12562" max="12562" width="4.5546875" style="411" bestFit="1" customWidth="1"/>
    <col min="12563" max="12563" width="41" style="411" customWidth="1"/>
    <col min="12564" max="12565" width="14.5546875" style="411" customWidth="1"/>
    <col min="12566" max="12566" width="16.5546875" style="411" customWidth="1"/>
    <col min="12567" max="12569" width="14.5546875" style="411" customWidth="1"/>
    <col min="12570" max="12571" width="12.5546875" style="411" customWidth="1"/>
    <col min="12572" max="12572" width="16.5546875" style="411" customWidth="1"/>
    <col min="12573" max="12574" width="20.5546875" style="411" customWidth="1"/>
    <col min="12575" max="12575" width="11" style="411" bestFit="1" customWidth="1"/>
    <col min="12576" max="12576" width="17.21875" style="411" customWidth="1"/>
    <col min="12577" max="12577" width="11" style="411" bestFit="1" customWidth="1"/>
    <col min="12578" max="12578" width="8.77734375" style="411" customWidth="1"/>
    <col min="12579" max="12582" width="10.21875" style="411" bestFit="1" customWidth="1"/>
    <col min="12583" max="12584" width="11.21875" style="411" bestFit="1" customWidth="1"/>
    <col min="12585" max="12795" width="8.77734375" style="411" customWidth="1"/>
    <col min="12796" max="12796" width="2.5546875" style="411" customWidth="1"/>
    <col min="12797" max="12797" width="5.5546875" style="411" customWidth="1"/>
    <col min="12798" max="12798" width="23.77734375" style="411" customWidth="1"/>
    <col min="12799" max="12799" width="3.77734375" style="411" customWidth="1"/>
    <col min="12800" max="12800" width="35.77734375" style="411" customWidth="1"/>
    <col min="12801" max="12801" width="22.21875" style="411" customWidth="1"/>
    <col min="12802" max="12802" width="17.77734375" style="411" customWidth="1"/>
    <col min="12803" max="12803" width="19" style="411" customWidth="1"/>
    <col min="12804" max="12804" width="20.77734375" style="411" customWidth="1"/>
    <col min="12805" max="12805" width="16.77734375" style="411" customWidth="1"/>
    <col min="12806" max="12806" width="18.77734375" style="411" customWidth="1"/>
    <col min="12807" max="12814" width="18.5546875" style="411"/>
    <col min="12815" max="12815" width="4" style="411" customWidth="1"/>
    <col min="12816" max="12816" width="5.5546875" style="411" customWidth="1"/>
    <col min="12817" max="12817" width="30.21875" style="411" customWidth="1"/>
    <col min="12818" max="12818" width="4.5546875" style="411" bestFit="1" customWidth="1"/>
    <col min="12819" max="12819" width="41" style="411" customWidth="1"/>
    <col min="12820" max="12821" width="14.5546875" style="411" customWidth="1"/>
    <col min="12822" max="12822" width="16.5546875" style="411" customWidth="1"/>
    <col min="12823" max="12825" width="14.5546875" style="411" customWidth="1"/>
    <col min="12826" max="12827" width="12.5546875" style="411" customWidth="1"/>
    <col min="12828" max="12828" width="16.5546875" style="411" customWidth="1"/>
    <col min="12829" max="12830" width="20.5546875" style="411" customWidth="1"/>
    <col min="12831" max="12831" width="11" style="411" bestFit="1" customWidth="1"/>
    <col min="12832" max="12832" width="17.21875" style="411" customWidth="1"/>
    <col min="12833" max="12833" width="11" style="411" bestFit="1" customWidth="1"/>
    <col min="12834" max="12834" width="8.77734375" style="411" customWidth="1"/>
    <col min="12835" max="12838" width="10.21875" style="411" bestFit="1" customWidth="1"/>
    <col min="12839" max="12840" width="11.21875" style="411" bestFit="1" customWidth="1"/>
    <col min="12841" max="13051" width="8.77734375" style="411" customWidth="1"/>
    <col min="13052" max="13052" width="2.5546875" style="411" customWidth="1"/>
    <col min="13053" max="13053" width="5.5546875" style="411" customWidth="1"/>
    <col min="13054" max="13054" width="23.77734375" style="411" customWidth="1"/>
    <col min="13055" max="13055" width="3.77734375" style="411" customWidth="1"/>
    <col min="13056" max="13056" width="35.77734375" style="411" customWidth="1"/>
    <col min="13057" max="13057" width="22.21875" style="411" customWidth="1"/>
    <col min="13058" max="13058" width="17.77734375" style="411" customWidth="1"/>
    <col min="13059" max="13059" width="19" style="411" customWidth="1"/>
    <col min="13060" max="13060" width="20.77734375" style="411" customWidth="1"/>
    <col min="13061" max="13061" width="16.77734375" style="411" customWidth="1"/>
    <col min="13062" max="13062" width="18.77734375" style="411" customWidth="1"/>
    <col min="13063" max="13070" width="18.5546875" style="411"/>
    <col min="13071" max="13071" width="4" style="411" customWidth="1"/>
    <col min="13072" max="13072" width="5.5546875" style="411" customWidth="1"/>
    <col min="13073" max="13073" width="30.21875" style="411" customWidth="1"/>
    <col min="13074" max="13074" width="4.5546875" style="411" bestFit="1" customWidth="1"/>
    <col min="13075" max="13075" width="41" style="411" customWidth="1"/>
    <col min="13076" max="13077" width="14.5546875" style="411" customWidth="1"/>
    <col min="13078" max="13078" width="16.5546875" style="411" customWidth="1"/>
    <col min="13079" max="13081" width="14.5546875" style="411" customWidth="1"/>
    <col min="13082" max="13083" width="12.5546875" style="411" customWidth="1"/>
    <col min="13084" max="13084" width="16.5546875" style="411" customWidth="1"/>
    <col min="13085" max="13086" width="20.5546875" style="411" customWidth="1"/>
    <col min="13087" max="13087" width="11" style="411" bestFit="1" customWidth="1"/>
    <col min="13088" max="13088" width="17.21875" style="411" customWidth="1"/>
    <col min="13089" max="13089" width="11" style="411" bestFit="1" customWidth="1"/>
    <col min="13090" max="13090" width="8.77734375" style="411" customWidth="1"/>
    <col min="13091" max="13094" width="10.21875" style="411" bestFit="1" customWidth="1"/>
    <col min="13095" max="13096" width="11.21875" style="411" bestFit="1" customWidth="1"/>
    <col min="13097" max="13307" width="8.77734375" style="411" customWidth="1"/>
    <col min="13308" max="13308" width="2.5546875" style="411" customWidth="1"/>
    <col min="13309" max="13309" width="5.5546875" style="411" customWidth="1"/>
    <col min="13310" max="13310" width="23.77734375" style="411" customWidth="1"/>
    <col min="13311" max="13311" width="3.77734375" style="411" customWidth="1"/>
    <col min="13312" max="13312" width="35.77734375" style="411" customWidth="1"/>
    <col min="13313" max="13313" width="22.21875" style="411" customWidth="1"/>
    <col min="13314" max="13314" width="17.77734375" style="411" customWidth="1"/>
    <col min="13315" max="13315" width="19" style="411" customWidth="1"/>
    <col min="13316" max="13316" width="20.77734375" style="411" customWidth="1"/>
    <col min="13317" max="13317" width="16.77734375" style="411" customWidth="1"/>
    <col min="13318" max="13318" width="18.77734375" style="411" customWidth="1"/>
    <col min="13319" max="13326" width="18.5546875" style="411"/>
    <col min="13327" max="13327" width="4" style="411" customWidth="1"/>
    <col min="13328" max="13328" width="5.5546875" style="411" customWidth="1"/>
    <col min="13329" max="13329" width="30.21875" style="411" customWidth="1"/>
    <col min="13330" max="13330" width="4.5546875" style="411" bestFit="1" customWidth="1"/>
    <col min="13331" max="13331" width="41" style="411" customWidth="1"/>
    <col min="13332" max="13333" width="14.5546875" style="411" customWidth="1"/>
    <col min="13334" max="13334" width="16.5546875" style="411" customWidth="1"/>
    <col min="13335" max="13337" width="14.5546875" style="411" customWidth="1"/>
    <col min="13338" max="13339" width="12.5546875" style="411" customWidth="1"/>
    <col min="13340" max="13340" width="16.5546875" style="411" customWidth="1"/>
    <col min="13341" max="13342" width="20.5546875" style="411" customWidth="1"/>
    <col min="13343" max="13343" width="11" style="411" bestFit="1" customWidth="1"/>
    <col min="13344" max="13344" width="17.21875" style="411" customWidth="1"/>
    <col min="13345" max="13345" width="11" style="411" bestFit="1" customWidth="1"/>
    <col min="13346" max="13346" width="8.77734375" style="411" customWidth="1"/>
    <col min="13347" max="13350" width="10.21875" style="411" bestFit="1" customWidth="1"/>
    <col min="13351" max="13352" width="11.21875" style="411" bestFit="1" customWidth="1"/>
    <col min="13353" max="13563" width="8.77734375" style="411" customWidth="1"/>
    <col min="13564" max="13564" width="2.5546875" style="411" customWidth="1"/>
    <col min="13565" max="13565" width="5.5546875" style="411" customWidth="1"/>
    <col min="13566" max="13566" width="23.77734375" style="411" customWidth="1"/>
    <col min="13567" max="13567" width="3.77734375" style="411" customWidth="1"/>
    <col min="13568" max="13568" width="35.77734375" style="411" customWidth="1"/>
    <col min="13569" max="13569" width="22.21875" style="411" customWidth="1"/>
    <col min="13570" max="13570" width="17.77734375" style="411" customWidth="1"/>
    <col min="13571" max="13571" width="19" style="411" customWidth="1"/>
    <col min="13572" max="13572" width="20.77734375" style="411" customWidth="1"/>
    <col min="13573" max="13573" width="16.77734375" style="411" customWidth="1"/>
    <col min="13574" max="13574" width="18.77734375" style="411" customWidth="1"/>
    <col min="13575" max="13582" width="18.5546875" style="411"/>
    <col min="13583" max="13583" width="4" style="411" customWidth="1"/>
    <col min="13584" max="13584" width="5.5546875" style="411" customWidth="1"/>
    <col min="13585" max="13585" width="30.21875" style="411" customWidth="1"/>
    <col min="13586" max="13586" width="4.5546875" style="411" bestFit="1" customWidth="1"/>
    <col min="13587" max="13587" width="41" style="411" customWidth="1"/>
    <col min="13588" max="13589" width="14.5546875" style="411" customWidth="1"/>
    <col min="13590" max="13590" width="16.5546875" style="411" customWidth="1"/>
    <col min="13591" max="13593" width="14.5546875" style="411" customWidth="1"/>
    <col min="13594" max="13595" width="12.5546875" style="411" customWidth="1"/>
    <col min="13596" max="13596" width="16.5546875" style="411" customWidth="1"/>
    <col min="13597" max="13598" width="20.5546875" style="411" customWidth="1"/>
    <col min="13599" max="13599" width="11" style="411" bestFit="1" customWidth="1"/>
    <col min="13600" max="13600" width="17.21875" style="411" customWidth="1"/>
    <col min="13601" max="13601" width="11" style="411" bestFit="1" customWidth="1"/>
    <col min="13602" max="13602" width="8.77734375" style="411" customWidth="1"/>
    <col min="13603" max="13606" width="10.21875" style="411" bestFit="1" customWidth="1"/>
    <col min="13607" max="13608" width="11.21875" style="411" bestFit="1" customWidth="1"/>
    <col min="13609" max="13819" width="8.77734375" style="411" customWidth="1"/>
    <col min="13820" max="13820" width="2.5546875" style="411" customWidth="1"/>
    <col min="13821" max="13821" width="5.5546875" style="411" customWidth="1"/>
    <col min="13822" max="13822" width="23.77734375" style="411" customWidth="1"/>
    <col min="13823" max="13823" width="3.77734375" style="411" customWidth="1"/>
    <col min="13824" max="13824" width="35.77734375" style="411" customWidth="1"/>
    <col min="13825" max="13825" width="22.21875" style="411" customWidth="1"/>
    <col min="13826" max="13826" width="17.77734375" style="411" customWidth="1"/>
    <col min="13827" max="13827" width="19" style="411" customWidth="1"/>
    <col min="13828" max="13828" width="20.77734375" style="411" customWidth="1"/>
    <col min="13829" max="13829" width="16.77734375" style="411" customWidth="1"/>
    <col min="13830" max="13830" width="18.77734375" style="411" customWidth="1"/>
    <col min="13831" max="13838" width="18.5546875" style="411"/>
    <col min="13839" max="13839" width="4" style="411" customWidth="1"/>
    <col min="13840" max="13840" width="5.5546875" style="411" customWidth="1"/>
    <col min="13841" max="13841" width="30.21875" style="411" customWidth="1"/>
    <col min="13842" max="13842" width="4.5546875" style="411" bestFit="1" customWidth="1"/>
    <col min="13843" max="13843" width="41" style="411" customWidth="1"/>
    <col min="13844" max="13845" width="14.5546875" style="411" customWidth="1"/>
    <col min="13846" max="13846" width="16.5546875" style="411" customWidth="1"/>
    <col min="13847" max="13849" width="14.5546875" style="411" customWidth="1"/>
    <col min="13850" max="13851" width="12.5546875" style="411" customWidth="1"/>
    <col min="13852" max="13852" width="16.5546875" style="411" customWidth="1"/>
    <col min="13853" max="13854" width="20.5546875" style="411" customWidth="1"/>
    <col min="13855" max="13855" width="11" style="411" bestFit="1" customWidth="1"/>
    <col min="13856" max="13856" width="17.21875" style="411" customWidth="1"/>
    <col min="13857" max="13857" width="11" style="411" bestFit="1" customWidth="1"/>
    <col min="13858" max="13858" width="8.77734375" style="411" customWidth="1"/>
    <col min="13859" max="13862" width="10.21875" style="411" bestFit="1" customWidth="1"/>
    <col min="13863" max="13864" width="11.21875" style="411" bestFit="1" customWidth="1"/>
    <col min="13865" max="14075" width="8.77734375" style="411" customWidth="1"/>
    <col min="14076" max="14076" width="2.5546875" style="411" customWidth="1"/>
    <col min="14077" max="14077" width="5.5546875" style="411" customWidth="1"/>
    <col min="14078" max="14078" width="23.77734375" style="411" customWidth="1"/>
    <col min="14079" max="14079" width="3.77734375" style="411" customWidth="1"/>
    <col min="14080" max="14080" width="35.77734375" style="411" customWidth="1"/>
    <col min="14081" max="14081" width="22.21875" style="411" customWidth="1"/>
    <col min="14082" max="14082" width="17.77734375" style="411" customWidth="1"/>
    <col min="14083" max="14083" width="19" style="411" customWidth="1"/>
    <col min="14084" max="14084" width="20.77734375" style="411" customWidth="1"/>
    <col min="14085" max="14085" width="16.77734375" style="411" customWidth="1"/>
    <col min="14086" max="14086" width="18.77734375" style="411" customWidth="1"/>
    <col min="14087" max="14094" width="18.5546875" style="411"/>
    <col min="14095" max="14095" width="4" style="411" customWidth="1"/>
    <col min="14096" max="14096" width="5.5546875" style="411" customWidth="1"/>
    <col min="14097" max="14097" width="30.21875" style="411" customWidth="1"/>
    <col min="14098" max="14098" width="4.5546875" style="411" bestFit="1" customWidth="1"/>
    <col min="14099" max="14099" width="41" style="411" customWidth="1"/>
    <col min="14100" max="14101" width="14.5546875" style="411" customWidth="1"/>
    <col min="14102" max="14102" width="16.5546875" style="411" customWidth="1"/>
    <col min="14103" max="14105" width="14.5546875" style="411" customWidth="1"/>
    <col min="14106" max="14107" width="12.5546875" style="411" customWidth="1"/>
    <col min="14108" max="14108" width="16.5546875" style="411" customWidth="1"/>
    <col min="14109" max="14110" width="20.5546875" style="411" customWidth="1"/>
    <col min="14111" max="14111" width="11" style="411" bestFit="1" customWidth="1"/>
    <col min="14112" max="14112" width="17.21875" style="411" customWidth="1"/>
    <col min="14113" max="14113" width="11" style="411" bestFit="1" customWidth="1"/>
    <col min="14114" max="14114" width="8.77734375" style="411" customWidth="1"/>
    <col min="14115" max="14118" width="10.21875" style="411" bestFit="1" customWidth="1"/>
    <col min="14119" max="14120" width="11.21875" style="411" bestFit="1" customWidth="1"/>
    <col min="14121" max="14331" width="8.77734375" style="411" customWidth="1"/>
    <col min="14332" max="14332" width="2.5546875" style="411" customWidth="1"/>
    <col min="14333" max="14333" width="5.5546875" style="411" customWidth="1"/>
    <col min="14334" max="14334" width="23.77734375" style="411" customWidth="1"/>
    <col min="14335" max="14335" width="3.77734375" style="411" customWidth="1"/>
    <col min="14336" max="14336" width="35.77734375" style="411" customWidth="1"/>
    <col min="14337" max="14337" width="22.21875" style="411" customWidth="1"/>
    <col min="14338" max="14338" width="17.77734375" style="411" customWidth="1"/>
    <col min="14339" max="14339" width="19" style="411" customWidth="1"/>
    <col min="14340" max="14340" width="20.77734375" style="411" customWidth="1"/>
    <col min="14341" max="14341" width="16.77734375" style="411" customWidth="1"/>
    <col min="14342" max="14342" width="18.77734375" style="411" customWidth="1"/>
    <col min="14343" max="14350" width="18.5546875" style="411"/>
    <col min="14351" max="14351" width="4" style="411" customWidth="1"/>
    <col min="14352" max="14352" width="5.5546875" style="411" customWidth="1"/>
    <col min="14353" max="14353" width="30.21875" style="411" customWidth="1"/>
    <col min="14354" max="14354" width="4.5546875" style="411" bestFit="1" customWidth="1"/>
    <col min="14355" max="14355" width="41" style="411" customWidth="1"/>
    <col min="14356" max="14357" width="14.5546875" style="411" customWidth="1"/>
    <col min="14358" max="14358" width="16.5546875" style="411" customWidth="1"/>
    <col min="14359" max="14361" width="14.5546875" style="411" customWidth="1"/>
    <col min="14362" max="14363" width="12.5546875" style="411" customWidth="1"/>
    <col min="14364" max="14364" width="16.5546875" style="411" customWidth="1"/>
    <col min="14365" max="14366" width="20.5546875" style="411" customWidth="1"/>
    <col min="14367" max="14367" width="11" style="411" bestFit="1" customWidth="1"/>
    <col min="14368" max="14368" width="17.21875" style="411" customWidth="1"/>
    <col min="14369" max="14369" width="11" style="411" bestFit="1" customWidth="1"/>
    <col min="14370" max="14370" width="8.77734375" style="411" customWidth="1"/>
    <col min="14371" max="14374" width="10.21875" style="411" bestFit="1" customWidth="1"/>
    <col min="14375" max="14376" width="11.21875" style="411" bestFit="1" customWidth="1"/>
    <col min="14377" max="14587" width="8.77734375" style="411" customWidth="1"/>
    <col min="14588" max="14588" width="2.5546875" style="411" customWidth="1"/>
    <col min="14589" max="14589" width="5.5546875" style="411" customWidth="1"/>
    <col min="14590" max="14590" width="23.77734375" style="411" customWidth="1"/>
    <col min="14591" max="14591" width="3.77734375" style="411" customWidth="1"/>
    <col min="14592" max="14592" width="35.77734375" style="411" customWidth="1"/>
    <col min="14593" max="14593" width="22.21875" style="411" customWidth="1"/>
    <col min="14594" max="14594" width="17.77734375" style="411" customWidth="1"/>
    <col min="14595" max="14595" width="19" style="411" customWidth="1"/>
    <col min="14596" max="14596" width="20.77734375" style="411" customWidth="1"/>
    <col min="14597" max="14597" width="16.77734375" style="411" customWidth="1"/>
    <col min="14598" max="14598" width="18.77734375" style="411" customWidth="1"/>
    <col min="14599" max="14606" width="18.5546875" style="411"/>
    <col min="14607" max="14607" width="4" style="411" customWidth="1"/>
    <col min="14608" max="14608" width="5.5546875" style="411" customWidth="1"/>
    <col min="14609" max="14609" width="30.21875" style="411" customWidth="1"/>
    <col min="14610" max="14610" width="4.5546875" style="411" bestFit="1" customWidth="1"/>
    <col min="14611" max="14611" width="41" style="411" customWidth="1"/>
    <col min="14612" max="14613" width="14.5546875" style="411" customWidth="1"/>
    <col min="14614" max="14614" width="16.5546875" style="411" customWidth="1"/>
    <col min="14615" max="14617" width="14.5546875" style="411" customWidth="1"/>
    <col min="14618" max="14619" width="12.5546875" style="411" customWidth="1"/>
    <col min="14620" max="14620" width="16.5546875" style="411" customWidth="1"/>
    <col min="14621" max="14622" width="20.5546875" style="411" customWidth="1"/>
    <col min="14623" max="14623" width="11" style="411" bestFit="1" customWidth="1"/>
    <col min="14624" max="14624" width="17.21875" style="411" customWidth="1"/>
    <col min="14625" max="14625" width="11" style="411" bestFit="1" customWidth="1"/>
    <col min="14626" max="14626" width="8.77734375" style="411" customWidth="1"/>
    <col min="14627" max="14630" width="10.21875" style="411" bestFit="1" customWidth="1"/>
    <col min="14631" max="14632" width="11.21875" style="411" bestFit="1" customWidth="1"/>
    <col min="14633" max="14843" width="8.77734375" style="411" customWidth="1"/>
    <col min="14844" max="14844" width="2.5546875" style="411" customWidth="1"/>
    <col min="14845" max="14845" width="5.5546875" style="411" customWidth="1"/>
    <col min="14846" max="14846" width="23.77734375" style="411" customWidth="1"/>
    <col min="14847" max="14847" width="3.77734375" style="411" customWidth="1"/>
    <col min="14848" max="14848" width="35.77734375" style="411" customWidth="1"/>
    <col min="14849" max="14849" width="22.21875" style="411" customWidth="1"/>
    <col min="14850" max="14850" width="17.77734375" style="411" customWidth="1"/>
    <col min="14851" max="14851" width="19" style="411" customWidth="1"/>
    <col min="14852" max="14852" width="20.77734375" style="411" customWidth="1"/>
    <col min="14853" max="14853" width="16.77734375" style="411" customWidth="1"/>
    <col min="14854" max="14854" width="18.77734375" style="411" customWidth="1"/>
    <col min="14855" max="14862" width="18.5546875" style="411"/>
    <col min="14863" max="14863" width="4" style="411" customWidth="1"/>
    <col min="14864" max="14864" width="5.5546875" style="411" customWidth="1"/>
    <col min="14865" max="14865" width="30.21875" style="411" customWidth="1"/>
    <col min="14866" max="14866" width="4.5546875" style="411" bestFit="1" customWidth="1"/>
    <col min="14867" max="14867" width="41" style="411" customWidth="1"/>
    <col min="14868" max="14869" width="14.5546875" style="411" customWidth="1"/>
    <col min="14870" max="14870" width="16.5546875" style="411" customWidth="1"/>
    <col min="14871" max="14873" width="14.5546875" style="411" customWidth="1"/>
    <col min="14874" max="14875" width="12.5546875" style="411" customWidth="1"/>
    <col min="14876" max="14876" width="16.5546875" style="411" customWidth="1"/>
    <col min="14877" max="14878" width="20.5546875" style="411" customWidth="1"/>
    <col min="14879" max="14879" width="11" style="411" bestFit="1" customWidth="1"/>
    <col min="14880" max="14880" width="17.21875" style="411" customWidth="1"/>
    <col min="14881" max="14881" width="11" style="411" bestFit="1" customWidth="1"/>
    <col min="14882" max="14882" width="8.77734375" style="411" customWidth="1"/>
    <col min="14883" max="14886" width="10.21875" style="411" bestFit="1" customWidth="1"/>
    <col min="14887" max="14888" width="11.21875" style="411" bestFit="1" customWidth="1"/>
    <col min="14889" max="15099" width="8.77734375" style="411" customWidth="1"/>
    <col min="15100" max="15100" width="2.5546875" style="411" customWidth="1"/>
    <col min="15101" max="15101" width="5.5546875" style="411" customWidth="1"/>
    <col min="15102" max="15102" width="23.77734375" style="411" customWidth="1"/>
    <col min="15103" max="15103" width="3.77734375" style="411" customWidth="1"/>
    <col min="15104" max="15104" width="35.77734375" style="411" customWidth="1"/>
    <col min="15105" max="15105" width="22.21875" style="411" customWidth="1"/>
    <col min="15106" max="15106" width="17.77734375" style="411" customWidth="1"/>
    <col min="15107" max="15107" width="19" style="411" customWidth="1"/>
    <col min="15108" max="15108" width="20.77734375" style="411" customWidth="1"/>
    <col min="15109" max="15109" width="16.77734375" style="411" customWidth="1"/>
    <col min="15110" max="15110" width="18.77734375" style="411" customWidth="1"/>
    <col min="15111" max="15118" width="18.5546875" style="411"/>
    <col min="15119" max="15119" width="4" style="411" customWidth="1"/>
    <col min="15120" max="15120" width="5.5546875" style="411" customWidth="1"/>
    <col min="15121" max="15121" width="30.21875" style="411" customWidth="1"/>
    <col min="15122" max="15122" width="4.5546875" style="411" bestFit="1" customWidth="1"/>
    <col min="15123" max="15123" width="41" style="411" customWidth="1"/>
    <col min="15124" max="15125" width="14.5546875" style="411" customWidth="1"/>
    <col min="15126" max="15126" width="16.5546875" style="411" customWidth="1"/>
    <col min="15127" max="15129" width="14.5546875" style="411" customWidth="1"/>
    <col min="15130" max="15131" width="12.5546875" style="411" customWidth="1"/>
    <col min="15132" max="15132" width="16.5546875" style="411" customWidth="1"/>
    <col min="15133" max="15134" width="20.5546875" style="411" customWidth="1"/>
    <col min="15135" max="15135" width="11" style="411" bestFit="1" customWidth="1"/>
    <col min="15136" max="15136" width="17.21875" style="411" customWidth="1"/>
    <col min="15137" max="15137" width="11" style="411" bestFit="1" customWidth="1"/>
    <col min="15138" max="15138" width="8.77734375" style="411" customWidth="1"/>
    <col min="15139" max="15142" width="10.21875" style="411" bestFit="1" customWidth="1"/>
    <col min="15143" max="15144" width="11.21875" style="411" bestFit="1" customWidth="1"/>
    <col min="15145" max="15355" width="8.77734375" style="411" customWidth="1"/>
    <col min="15356" max="15356" width="2.5546875" style="411" customWidth="1"/>
    <col min="15357" max="15357" width="5.5546875" style="411" customWidth="1"/>
    <col min="15358" max="15358" width="23.77734375" style="411" customWidth="1"/>
    <col min="15359" max="15359" width="3.77734375" style="411" customWidth="1"/>
    <col min="15360" max="15360" width="35.77734375" style="411" customWidth="1"/>
    <col min="15361" max="15361" width="22.21875" style="411" customWidth="1"/>
    <col min="15362" max="15362" width="17.77734375" style="411" customWidth="1"/>
    <col min="15363" max="15363" width="19" style="411" customWidth="1"/>
    <col min="15364" max="15364" width="20.77734375" style="411" customWidth="1"/>
    <col min="15365" max="15365" width="16.77734375" style="411" customWidth="1"/>
    <col min="15366" max="15366" width="18.77734375" style="411" customWidth="1"/>
    <col min="15367" max="15374" width="18.5546875" style="411"/>
    <col min="15375" max="15375" width="4" style="411" customWidth="1"/>
    <col min="15376" max="15376" width="5.5546875" style="411" customWidth="1"/>
    <col min="15377" max="15377" width="30.21875" style="411" customWidth="1"/>
    <col min="15378" max="15378" width="4.5546875" style="411" bestFit="1" customWidth="1"/>
    <col min="15379" max="15379" width="41" style="411" customWidth="1"/>
    <col min="15380" max="15381" width="14.5546875" style="411" customWidth="1"/>
    <col min="15382" max="15382" width="16.5546875" style="411" customWidth="1"/>
    <col min="15383" max="15385" width="14.5546875" style="411" customWidth="1"/>
    <col min="15386" max="15387" width="12.5546875" style="411" customWidth="1"/>
    <col min="15388" max="15388" width="16.5546875" style="411" customWidth="1"/>
    <col min="15389" max="15390" width="20.5546875" style="411" customWidth="1"/>
    <col min="15391" max="15391" width="11" style="411" bestFit="1" customWidth="1"/>
    <col min="15392" max="15392" width="17.21875" style="411" customWidth="1"/>
    <col min="15393" max="15393" width="11" style="411" bestFit="1" customWidth="1"/>
    <col min="15394" max="15394" width="8.77734375" style="411" customWidth="1"/>
    <col min="15395" max="15398" width="10.21875" style="411" bestFit="1" customWidth="1"/>
    <col min="15399" max="15400" width="11.21875" style="411" bestFit="1" customWidth="1"/>
    <col min="15401" max="15611" width="8.77734375" style="411" customWidth="1"/>
    <col min="15612" max="15612" width="2.5546875" style="411" customWidth="1"/>
    <col min="15613" max="15613" width="5.5546875" style="411" customWidth="1"/>
    <col min="15614" max="15614" width="23.77734375" style="411" customWidth="1"/>
    <col min="15615" max="15615" width="3.77734375" style="411" customWidth="1"/>
    <col min="15616" max="15616" width="35.77734375" style="411" customWidth="1"/>
    <col min="15617" max="15617" width="22.21875" style="411" customWidth="1"/>
    <col min="15618" max="15618" width="17.77734375" style="411" customWidth="1"/>
    <col min="15619" max="15619" width="19" style="411" customWidth="1"/>
    <col min="15620" max="15620" width="20.77734375" style="411" customWidth="1"/>
    <col min="15621" max="15621" width="16.77734375" style="411" customWidth="1"/>
    <col min="15622" max="15622" width="18.77734375" style="411" customWidth="1"/>
    <col min="15623" max="15630" width="18.5546875" style="411"/>
    <col min="15631" max="15631" width="4" style="411" customWidth="1"/>
    <col min="15632" max="15632" width="5.5546875" style="411" customWidth="1"/>
    <col min="15633" max="15633" width="30.21875" style="411" customWidth="1"/>
    <col min="15634" max="15634" width="4.5546875" style="411" bestFit="1" customWidth="1"/>
    <col min="15635" max="15635" width="41" style="411" customWidth="1"/>
    <col min="15636" max="15637" width="14.5546875" style="411" customWidth="1"/>
    <col min="15638" max="15638" width="16.5546875" style="411" customWidth="1"/>
    <col min="15639" max="15641" width="14.5546875" style="411" customWidth="1"/>
    <col min="15642" max="15643" width="12.5546875" style="411" customWidth="1"/>
    <col min="15644" max="15644" width="16.5546875" style="411" customWidth="1"/>
    <col min="15645" max="15646" width="20.5546875" style="411" customWidth="1"/>
    <col min="15647" max="15647" width="11" style="411" bestFit="1" customWidth="1"/>
    <col min="15648" max="15648" width="17.21875" style="411" customWidth="1"/>
    <col min="15649" max="15649" width="11" style="411" bestFit="1" customWidth="1"/>
    <col min="15650" max="15650" width="8.77734375" style="411" customWidth="1"/>
    <col min="15651" max="15654" width="10.21875" style="411" bestFit="1" customWidth="1"/>
    <col min="15655" max="15656" width="11.21875" style="411" bestFit="1" customWidth="1"/>
    <col min="15657" max="15867" width="8.77734375" style="411" customWidth="1"/>
    <col min="15868" max="15868" width="2.5546875" style="411" customWidth="1"/>
    <col min="15869" max="15869" width="5.5546875" style="411" customWidth="1"/>
    <col min="15870" max="15870" width="23.77734375" style="411" customWidth="1"/>
    <col min="15871" max="15871" width="3.77734375" style="411" customWidth="1"/>
    <col min="15872" max="15872" width="35.77734375" style="411" customWidth="1"/>
    <col min="15873" max="15873" width="22.21875" style="411" customWidth="1"/>
    <col min="15874" max="15874" width="17.77734375" style="411" customWidth="1"/>
    <col min="15875" max="15875" width="19" style="411" customWidth="1"/>
    <col min="15876" max="15876" width="20.77734375" style="411" customWidth="1"/>
    <col min="15877" max="15877" width="16.77734375" style="411" customWidth="1"/>
    <col min="15878" max="15878" width="18.77734375" style="411" customWidth="1"/>
    <col min="15879" max="15886" width="18.5546875" style="411"/>
    <col min="15887" max="15887" width="4" style="411" customWidth="1"/>
    <col min="15888" max="15888" width="5.5546875" style="411" customWidth="1"/>
    <col min="15889" max="15889" width="30.21875" style="411" customWidth="1"/>
    <col min="15890" max="15890" width="4.5546875" style="411" bestFit="1" customWidth="1"/>
    <col min="15891" max="15891" width="41" style="411" customWidth="1"/>
    <col min="15892" max="15893" width="14.5546875" style="411" customWidth="1"/>
    <col min="15894" max="15894" width="16.5546875" style="411" customWidth="1"/>
    <col min="15895" max="15897" width="14.5546875" style="411" customWidth="1"/>
    <col min="15898" max="15899" width="12.5546875" style="411" customWidth="1"/>
    <col min="15900" max="15900" width="16.5546875" style="411" customWidth="1"/>
    <col min="15901" max="15902" width="20.5546875" style="411" customWidth="1"/>
    <col min="15903" max="15903" width="11" style="411" bestFit="1" customWidth="1"/>
    <col min="15904" max="15904" width="17.21875" style="411" customWidth="1"/>
    <col min="15905" max="15905" width="11" style="411" bestFit="1" customWidth="1"/>
    <col min="15906" max="15906" width="8.77734375" style="411" customWidth="1"/>
    <col min="15907" max="15910" width="10.21875" style="411" bestFit="1" customWidth="1"/>
    <col min="15911" max="15912" width="11.21875" style="411" bestFit="1" customWidth="1"/>
    <col min="15913" max="16123" width="8.77734375" style="411" customWidth="1"/>
    <col min="16124" max="16124" width="2.5546875" style="411" customWidth="1"/>
    <col min="16125" max="16125" width="5.5546875" style="411" customWidth="1"/>
    <col min="16126" max="16126" width="23.77734375" style="411" customWidth="1"/>
    <col min="16127" max="16127" width="3.77734375" style="411" customWidth="1"/>
    <col min="16128" max="16128" width="35.77734375" style="411" customWidth="1"/>
    <col min="16129" max="16129" width="22.21875" style="411" customWidth="1"/>
    <col min="16130" max="16130" width="17.77734375" style="411" customWidth="1"/>
    <col min="16131" max="16131" width="19" style="411" customWidth="1"/>
    <col min="16132" max="16132" width="20.77734375" style="411" customWidth="1"/>
    <col min="16133" max="16133" width="16.77734375" style="411" customWidth="1"/>
    <col min="16134" max="16134" width="18.77734375" style="411" customWidth="1"/>
    <col min="16135" max="16142" width="18.5546875" style="411"/>
    <col min="16143" max="16143" width="4" style="411" customWidth="1"/>
    <col min="16144" max="16144" width="5.5546875" style="411" customWidth="1"/>
    <col min="16145" max="16145" width="30.21875" style="411" customWidth="1"/>
    <col min="16146" max="16146" width="4.5546875" style="411" bestFit="1" customWidth="1"/>
    <col min="16147" max="16147" width="41" style="411" customWidth="1"/>
    <col min="16148" max="16149" width="14.5546875" style="411" customWidth="1"/>
    <col min="16150" max="16150" width="16.5546875" style="411" customWidth="1"/>
    <col min="16151" max="16153" width="14.5546875" style="411" customWidth="1"/>
    <col min="16154" max="16155" width="12.5546875" style="411" customWidth="1"/>
    <col min="16156" max="16156" width="16.5546875" style="411" customWidth="1"/>
    <col min="16157" max="16158" width="20.5546875" style="411" customWidth="1"/>
    <col min="16159" max="16159" width="11" style="411" bestFit="1" customWidth="1"/>
    <col min="16160" max="16160" width="17.21875" style="411" customWidth="1"/>
    <col min="16161" max="16161" width="11" style="411" bestFit="1" customWidth="1"/>
    <col min="16162" max="16162" width="8.77734375" style="411" customWidth="1"/>
    <col min="16163" max="16166" width="10.21875" style="411" bestFit="1" customWidth="1"/>
    <col min="16167" max="16168" width="11.21875" style="411" bestFit="1" customWidth="1"/>
    <col min="16169" max="16379" width="8.77734375" style="411" customWidth="1"/>
    <col min="16380" max="16380" width="2.5546875" style="411" customWidth="1"/>
    <col min="16381" max="16381" width="5.5546875" style="411" customWidth="1"/>
    <col min="16382" max="16382" width="23.77734375" style="411" customWidth="1"/>
    <col min="16383" max="16384" width="3.77734375" style="411" customWidth="1"/>
  </cols>
  <sheetData>
    <row r="2" spans="1:33" s="401" customFormat="1" ht="18">
      <c r="B2" s="606" t="s">
        <v>896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402"/>
      <c r="P2" s="402"/>
      <c r="Q2" s="402"/>
      <c r="R2" s="402"/>
      <c r="S2" s="402"/>
      <c r="T2" s="402"/>
      <c r="U2" s="402"/>
      <c r="V2" s="402"/>
      <c r="W2" s="402"/>
      <c r="X2" s="402"/>
      <c r="Y2" s="402"/>
      <c r="Z2" s="402"/>
      <c r="AA2" s="402"/>
      <c r="AB2" s="402"/>
      <c r="AC2" s="402"/>
      <c r="AD2" s="402"/>
    </row>
    <row r="3" spans="1:33" s="401" customFormat="1" ht="23.25" customHeight="1">
      <c r="B3" s="606" t="s">
        <v>927</v>
      </c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402"/>
      <c r="P3" s="402"/>
      <c r="Q3" s="402"/>
      <c r="R3" s="402"/>
      <c r="S3" s="402"/>
      <c r="T3" s="402"/>
      <c r="U3" s="402"/>
      <c r="V3" s="402"/>
      <c r="W3" s="402"/>
      <c r="X3" s="402"/>
      <c r="Y3" s="402"/>
      <c r="Z3" s="402"/>
      <c r="AA3" s="402"/>
      <c r="AB3" s="402"/>
      <c r="AC3" s="402"/>
      <c r="AD3" s="402"/>
    </row>
    <row r="4" spans="1:33" s="401" customFormat="1" ht="23.25" customHeight="1" thickBot="1"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  <c r="M4" s="402"/>
      <c r="N4" s="402"/>
      <c r="O4" s="402"/>
      <c r="P4" s="402"/>
      <c r="Q4" s="402"/>
      <c r="R4" s="402"/>
      <c r="S4" s="402"/>
      <c r="T4" s="402"/>
      <c r="U4" s="402"/>
      <c r="V4" s="402"/>
      <c r="W4" s="402"/>
      <c r="X4" s="402"/>
      <c r="Y4" s="402"/>
      <c r="Z4" s="402"/>
      <c r="AA4" s="402"/>
      <c r="AB4" s="402"/>
      <c r="AC4" s="402"/>
      <c r="AD4" s="402"/>
    </row>
    <row r="5" spans="1:33" s="401" customFormat="1" ht="14.4" thickBot="1">
      <c r="D5" s="403"/>
      <c r="F5" s="545"/>
      <c r="G5" s="607" t="s">
        <v>963</v>
      </c>
      <c r="H5" s="608"/>
      <c r="I5" s="608"/>
      <c r="J5" s="608"/>
      <c r="K5" s="608"/>
      <c r="L5" s="608"/>
      <c r="M5" s="608"/>
      <c r="N5" s="609"/>
      <c r="O5" s="610" t="s">
        <v>971</v>
      </c>
      <c r="P5" s="611"/>
      <c r="Q5" s="611"/>
      <c r="R5" s="611"/>
      <c r="S5" s="611"/>
      <c r="T5" s="612"/>
    </row>
    <row r="6" spans="1:33" s="403" customFormat="1" ht="40.950000000000003" customHeight="1" thickBot="1">
      <c r="B6" s="464" t="s">
        <v>2</v>
      </c>
      <c r="C6" s="463" t="s">
        <v>338</v>
      </c>
      <c r="D6" s="613" t="s">
        <v>898</v>
      </c>
      <c r="E6" s="614"/>
      <c r="F6" s="463" t="s">
        <v>899</v>
      </c>
      <c r="G6" s="462" t="s">
        <v>916</v>
      </c>
      <c r="H6" s="462" t="s">
        <v>917</v>
      </c>
      <c r="I6" s="462" t="s">
        <v>918</v>
      </c>
      <c r="J6" s="462" t="s">
        <v>919</v>
      </c>
      <c r="K6" s="462" t="s">
        <v>920</v>
      </c>
      <c r="L6" s="462" t="s">
        <v>921</v>
      </c>
      <c r="M6" s="462" t="s">
        <v>922</v>
      </c>
      <c r="N6" s="462" t="s">
        <v>964</v>
      </c>
      <c r="O6" s="462" t="s">
        <v>969</v>
      </c>
      <c r="P6" s="462" t="s">
        <v>965</v>
      </c>
      <c r="Q6" s="462" t="s">
        <v>966</v>
      </c>
      <c r="R6" s="462" t="s">
        <v>967</v>
      </c>
      <c r="S6" s="462" t="s">
        <v>968</v>
      </c>
      <c r="T6" s="462" t="s">
        <v>970</v>
      </c>
      <c r="U6" s="462" t="s">
        <v>958</v>
      </c>
      <c r="V6" s="462" t="s">
        <v>926</v>
      </c>
      <c r="W6" s="462"/>
      <c r="X6" s="462"/>
      <c r="Y6" s="462"/>
      <c r="Z6" s="462"/>
      <c r="AA6" s="462"/>
      <c r="AB6" s="462"/>
      <c r="AC6" s="462"/>
      <c r="AD6" s="462"/>
      <c r="AE6" s="462" t="s">
        <v>923</v>
      </c>
    </row>
    <row r="7" spans="1:33">
      <c r="A7" s="404"/>
      <c r="B7" s="405"/>
      <c r="C7" s="406"/>
      <c r="D7" s="407"/>
      <c r="E7" s="408"/>
      <c r="F7" s="409"/>
      <c r="G7" s="409"/>
      <c r="H7" s="409"/>
      <c r="I7" s="409"/>
      <c r="J7" s="409"/>
      <c r="K7" s="409"/>
      <c r="L7" s="409"/>
      <c r="M7" s="409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</row>
    <row r="8" spans="1:33">
      <c r="A8" s="404"/>
      <c r="B8" s="412">
        <v>1</v>
      </c>
      <c r="C8" s="413" t="s">
        <v>901</v>
      </c>
      <c r="D8" s="414">
        <v>1</v>
      </c>
      <c r="E8" s="415" t="s">
        <v>902</v>
      </c>
      <c r="F8" s="416">
        <f>[2]REKAP!$F$11</f>
        <v>260845555.66666672</v>
      </c>
      <c r="G8" s="416">
        <v>15098220</v>
      </c>
      <c r="H8" s="416"/>
      <c r="I8" s="416">
        <v>14707500</v>
      </c>
      <c r="J8" s="416">
        <v>14618700</v>
      </c>
      <c r="K8" s="416">
        <v>9387225</v>
      </c>
      <c r="L8" s="416">
        <v>9387225</v>
      </c>
      <c r="M8" s="416">
        <v>7309350</v>
      </c>
      <c r="N8" s="416">
        <f>SUM(G8:M8)</f>
        <v>70508220</v>
      </c>
      <c r="O8" s="416">
        <f>F8/12</f>
        <v>21737129.638888892</v>
      </c>
      <c r="P8" s="416">
        <f>F8/12</f>
        <v>21737129.638888892</v>
      </c>
      <c r="Q8" s="416">
        <f>F8/12</f>
        <v>21737129.638888892</v>
      </c>
      <c r="R8" s="416">
        <f>F8/12</f>
        <v>21737129.638888892</v>
      </c>
      <c r="S8" s="416">
        <f>F8/12</f>
        <v>21737129.638888892</v>
      </c>
      <c r="T8" s="416">
        <f>SUM(O8:S8)</f>
        <v>108685648.19444446</v>
      </c>
      <c r="U8" s="416">
        <f>T8+N8</f>
        <v>179193868.19444448</v>
      </c>
      <c r="V8" s="471">
        <f>U8/F8</f>
        <v>0.68697305475058756</v>
      </c>
      <c r="W8" s="416"/>
      <c r="X8" s="416"/>
      <c r="Y8" s="416"/>
      <c r="Z8" s="416"/>
      <c r="AA8" s="416"/>
      <c r="AB8" s="416"/>
      <c r="AC8" s="416"/>
      <c r="AD8" s="416"/>
      <c r="AE8" s="416">
        <f>[8]Prognosa!G9</f>
        <v>70508220</v>
      </c>
      <c r="AF8" s="436">
        <f>AE8-N8</f>
        <v>0</v>
      </c>
      <c r="AG8" s="436">
        <v>18774450</v>
      </c>
    </row>
    <row r="9" spans="1:33">
      <c r="A9" s="404"/>
      <c r="B9" s="412"/>
      <c r="C9" s="413"/>
      <c r="D9" s="414">
        <v>2</v>
      </c>
      <c r="E9" s="418" t="s">
        <v>903</v>
      </c>
      <c r="F9" s="416">
        <v>994766768</v>
      </c>
      <c r="G9" s="416"/>
      <c r="H9" s="416"/>
      <c r="I9" s="416"/>
      <c r="J9" s="416"/>
      <c r="K9" s="416"/>
      <c r="L9" s="416">
        <v>566327550</v>
      </c>
      <c r="M9" s="416">
        <v>234811060</v>
      </c>
      <c r="N9" s="416">
        <f t="shared" ref="N9:N12" si="0">SUM(G9:M9)</f>
        <v>801138610</v>
      </c>
      <c r="O9" s="416"/>
      <c r="P9" s="416"/>
      <c r="Q9" s="416"/>
      <c r="R9" s="416"/>
      <c r="S9" s="416"/>
      <c r="T9" s="416">
        <f t="shared" ref="T9:T12" si="1">SUM(O9:S9)</f>
        <v>0</v>
      </c>
      <c r="U9" s="416">
        <f t="shared" ref="U9:U12" si="2">T9+N9</f>
        <v>801138610</v>
      </c>
      <c r="V9" s="471">
        <f t="shared" ref="V9:V12" si="3">U9/F9</f>
        <v>0.80535321019087358</v>
      </c>
      <c r="W9" s="416"/>
      <c r="X9" s="416"/>
      <c r="Y9" s="416"/>
      <c r="Z9" s="416"/>
      <c r="AA9" s="416"/>
      <c r="AB9" s="416"/>
      <c r="AC9" s="416"/>
      <c r="AD9" s="416"/>
      <c r="AE9" s="416">
        <f>[8]Prognosa!G10</f>
        <v>801138610</v>
      </c>
      <c r="AF9" s="436">
        <f>AE9-N9</f>
        <v>0</v>
      </c>
      <c r="AG9" s="436">
        <v>45140920</v>
      </c>
    </row>
    <row r="10" spans="1:33">
      <c r="A10" s="404"/>
      <c r="B10" s="412"/>
      <c r="C10" s="413"/>
      <c r="D10" s="414">
        <v>3</v>
      </c>
      <c r="E10" s="418" t="s">
        <v>32</v>
      </c>
      <c r="F10" s="416">
        <v>294773975</v>
      </c>
      <c r="G10" s="416">
        <v>2331000</v>
      </c>
      <c r="H10" s="416">
        <v>1554000</v>
      </c>
      <c r="I10" s="416">
        <v>109858920</v>
      </c>
      <c r="J10" s="416">
        <v>33087990</v>
      </c>
      <c r="K10" s="416">
        <v>9299950</v>
      </c>
      <c r="L10" s="416"/>
      <c r="M10" s="416">
        <v>21383060</v>
      </c>
      <c r="N10" s="416">
        <f t="shared" si="0"/>
        <v>177514920</v>
      </c>
      <c r="O10" s="416">
        <f t="shared" ref="O10:O11" si="4">F10/12</f>
        <v>24564497.916666668</v>
      </c>
      <c r="P10" s="416">
        <f t="shared" ref="P10:P11" si="5">F10/12</f>
        <v>24564497.916666668</v>
      </c>
      <c r="Q10" s="416">
        <f t="shared" ref="Q10:Q11" si="6">F10/12</f>
        <v>24564497.916666668</v>
      </c>
      <c r="R10" s="416">
        <f t="shared" ref="R10:R11" si="7">F10/12</f>
        <v>24564497.916666668</v>
      </c>
      <c r="S10" s="416">
        <f t="shared" ref="S10:S11" si="8">F10/12</f>
        <v>24564497.916666668</v>
      </c>
      <c r="T10" s="416">
        <f t="shared" si="1"/>
        <v>122822489.58333334</v>
      </c>
      <c r="U10" s="416">
        <f t="shared" si="2"/>
        <v>300337409.58333337</v>
      </c>
      <c r="V10" s="471">
        <f t="shared" si="3"/>
        <v>1.0188735609489725</v>
      </c>
      <c r="W10" s="416"/>
      <c r="X10" s="416"/>
      <c r="Y10" s="416"/>
      <c r="Z10" s="416"/>
      <c r="AA10" s="416"/>
      <c r="AB10" s="416"/>
      <c r="AC10" s="416"/>
      <c r="AD10" s="416"/>
      <c r="AE10" s="416">
        <f>[8]Prognosa!G11</f>
        <v>177514920</v>
      </c>
      <c r="AF10" s="436">
        <f>AE10-N10</f>
        <v>0</v>
      </c>
      <c r="AG10" s="436">
        <v>-68111800</v>
      </c>
    </row>
    <row r="11" spans="1:33">
      <c r="A11" s="404"/>
      <c r="B11" s="412"/>
      <c r="C11" s="413"/>
      <c r="D11" s="414">
        <v>4</v>
      </c>
      <c r="E11" s="418" t="s">
        <v>43</v>
      </c>
      <c r="F11" s="416">
        <v>306018000</v>
      </c>
      <c r="G11" s="416">
        <v>8791200</v>
      </c>
      <c r="H11" s="416">
        <v>9910080</v>
      </c>
      <c r="I11" s="416">
        <v>9421680</v>
      </c>
      <c r="J11" s="416">
        <v>71790945.5</v>
      </c>
      <c r="K11" s="416">
        <v>19144170</v>
      </c>
      <c r="L11" s="416"/>
      <c r="M11" s="416">
        <v>60696002.5</v>
      </c>
      <c r="N11" s="416">
        <f t="shared" si="0"/>
        <v>179754078</v>
      </c>
      <c r="O11" s="416">
        <f t="shared" si="4"/>
        <v>25501500</v>
      </c>
      <c r="P11" s="416">
        <f t="shared" si="5"/>
        <v>25501500</v>
      </c>
      <c r="Q11" s="416">
        <f t="shared" si="6"/>
        <v>25501500</v>
      </c>
      <c r="R11" s="416">
        <f t="shared" si="7"/>
        <v>25501500</v>
      </c>
      <c r="S11" s="416">
        <f t="shared" si="8"/>
        <v>25501500</v>
      </c>
      <c r="T11" s="416">
        <f t="shared" si="1"/>
        <v>127507500</v>
      </c>
      <c r="U11" s="416">
        <f t="shared" si="2"/>
        <v>307261578</v>
      </c>
      <c r="V11" s="471">
        <f t="shared" si="3"/>
        <v>1.004063741348548</v>
      </c>
      <c r="W11" s="416"/>
      <c r="X11" s="416"/>
      <c r="Y11" s="416"/>
      <c r="Z11" s="416"/>
      <c r="AA11" s="416"/>
      <c r="AB11" s="416"/>
      <c r="AC11" s="416"/>
      <c r="AD11" s="416"/>
      <c r="AE11" s="416">
        <f>[8]Prognosa!G12</f>
        <v>179754078</v>
      </c>
      <c r="AF11" s="436">
        <f>AE11-N11</f>
        <v>0</v>
      </c>
      <c r="AG11" s="436">
        <v>68812630.5</v>
      </c>
    </row>
    <row r="12" spans="1:33">
      <c r="A12" s="404"/>
      <c r="B12" s="412"/>
      <c r="C12" s="413"/>
      <c r="D12" s="414">
        <v>5</v>
      </c>
      <c r="E12" s="418" t="s">
        <v>904</v>
      </c>
      <c r="F12" s="416">
        <v>149477700</v>
      </c>
      <c r="G12" s="416"/>
      <c r="H12" s="416"/>
      <c r="I12" s="416"/>
      <c r="J12" s="416"/>
      <c r="K12" s="416"/>
      <c r="L12" s="416">
        <v>186036000</v>
      </c>
      <c r="M12" s="416"/>
      <c r="N12" s="416">
        <f t="shared" si="0"/>
        <v>186036000</v>
      </c>
      <c r="O12" s="416"/>
      <c r="P12" s="416"/>
      <c r="Q12" s="416"/>
      <c r="R12" s="416"/>
      <c r="S12" s="416"/>
      <c r="T12" s="416">
        <f t="shared" si="1"/>
        <v>0</v>
      </c>
      <c r="U12" s="416">
        <f t="shared" si="2"/>
        <v>186036000</v>
      </c>
      <c r="V12" s="471">
        <f t="shared" si="3"/>
        <v>1.2445736052936325</v>
      </c>
      <c r="W12" s="416"/>
      <c r="X12" s="416"/>
      <c r="Y12" s="416"/>
      <c r="Z12" s="416"/>
      <c r="AA12" s="416"/>
      <c r="AB12" s="416"/>
      <c r="AC12" s="416"/>
      <c r="AD12" s="416"/>
      <c r="AE12" s="416">
        <f>[8]Prognosa!G13</f>
        <v>186036000</v>
      </c>
      <c r="AF12" s="436">
        <f>AE12-N12</f>
        <v>0</v>
      </c>
      <c r="AG12" s="436">
        <v>0</v>
      </c>
    </row>
    <row r="13" spans="1:33">
      <c r="A13" s="419"/>
      <c r="B13" s="420"/>
      <c r="C13" s="421"/>
      <c r="D13" s="422"/>
      <c r="E13" s="423" t="s">
        <v>905</v>
      </c>
      <c r="F13" s="424">
        <f t="shared" ref="F13:AF13" si="9">SUM(F8:F12)</f>
        <v>2005881998.6666667</v>
      </c>
      <c r="G13" s="424">
        <f>SUM(G8:G12)</f>
        <v>26220420</v>
      </c>
      <c r="H13" s="424">
        <f t="shared" ref="H13" si="10">SUM(H8:H12)</f>
        <v>11464080</v>
      </c>
      <c r="I13" s="424">
        <f t="shared" ref="I13" si="11">SUM(I8:I12)</f>
        <v>133988100</v>
      </c>
      <c r="J13" s="424">
        <f t="shared" ref="J13" si="12">SUM(J8:J12)</f>
        <v>119497635.5</v>
      </c>
      <c r="K13" s="424">
        <f t="shared" ref="K13" si="13">SUM(K8:K12)</f>
        <v>37831345</v>
      </c>
      <c r="L13" s="424">
        <f t="shared" ref="L13" si="14">SUM(L8:L12)</f>
        <v>761750775</v>
      </c>
      <c r="M13" s="424">
        <f t="shared" ref="M13" si="15">SUM(M8:M12)</f>
        <v>324199472.5</v>
      </c>
      <c r="N13" s="424">
        <f t="shared" si="9"/>
        <v>1414951828</v>
      </c>
      <c r="O13" s="424">
        <f t="shared" si="9"/>
        <v>71803127.555555552</v>
      </c>
      <c r="P13" s="424">
        <f t="shared" si="9"/>
        <v>71803127.555555552</v>
      </c>
      <c r="Q13" s="424">
        <f t="shared" si="9"/>
        <v>71803127.555555552</v>
      </c>
      <c r="R13" s="424">
        <f t="shared" si="9"/>
        <v>71803127.555555552</v>
      </c>
      <c r="S13" s="424">
        <f t="shared" si="9"/>
        <v>71803127.555555552</v>
      </c>
      <c r="T13" s="424">
        <f t="shared" si="9"/>
        <v>359015637.77777779</v>
      </c>
      <c r="U13" s="424">
        <f t="shared" si="9"/>
        <v>1773967465.7777777</v>
      </c>
      <c r="V13" s="472">
        <f>U13/F13</f>
        <v>0.88438276377022906</v>
      </c>
      <c r="W13" s="424"/>
      <c r="X13" s="424"/>
      <c r="Y13" s="424"/>
      <c r="Z13" s="424"/>
      <c r="AA13" s="424"/>
      <c r="AB13" s="424"/>
      <c r="AC13" s="424"/>
      <c r="AD13" s="424"/>
      <c r="AE13" s="424">
        <f t="shared" si="9"/>
        <v>1414951828</v>
      </c>
      <c r="AF13" s="424">
        <f t="shared" si="9"/>
        <v>0</v>
      </c>
      <c r="AG13" s="424">
        <v>64616200.5</v>
      </c>
    </row>
    <row r="14" spans="1:33">
      <c r="A14" s="404"/>
      <c r="B14" s="412"/>
      <c r="C14" s="413"/>
      <c r="D14" s="425"/>
      <c r="E14" s="426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</row>
    <row r="15" spans="1:33">
      <c r="A15" s="419"/>
      <c r="B15" s="412">
        <v>2</v>
      </c>
      <c r="C15" s="413" t="s">
        <v>906</v>
      </c>
      <c r="D15" s="414">
        <v>1</v>
      </c>
      <c r="E15" s="415" t="s">
        <v>902</v>
      </c>
      <c r="F15" s="416">
        <f>[2]REKAP!$F$18</f>
        <v>261345555.66666666</v>
      </c>
      <c r="G15" s="416">
        <v>15098220</v>
      </c>
      <c r="H15" s="416">
        <v>8103000</v>
      </c>
      <c r="I15" s="416">
        <v>14707500</v>
      </c>
      <c r="J15" s="416">
        <v>48974410</v>
      </c>
      <c r="K15" s="416"/>
      <c r="L15" s="416"/>
      <c r="M15" s="416">
        <v>7309350</v>
      </c>
      <c r="N15" s="416">
        <f>SUM(G15:M15)</f>
        <v>94192480</v>
      </c>
      <c r="O15" s="416">
        <f>F15/12</f>
        <v>21778796.305555556</v>
      </c>
      <c r="P15" s="416">
        <f>F15/12</f>
        <v>21778796.305555556</v>
      </c>
      <c r="Q15" s="416">
        <f>F15/12</f>
        <v>21778796.305555556</v>
      </c>
      <c r="R15" s="416">
        <f>F15/12</f>
        <v>21778796.305555556</v>
      </c>
      <c r="S15" s="416">
        <f>F15/12</f>
        <v>21778796.305555556</v>
      </c>
      <c r="T15" s="416">
        <f>SUM(O15:S15)</f>
        <v>108893981.52777778</v>
      </c>
      <c r="U15" s="416">
        <f>T15+N15</f>
        <v>203086461.52777779</v>
      </c>
      <c r="V15" s="471">
        <f>U15/F15</f>
        <v>0.77708021860071164</v>
      </c>
      <c r="W15" s="416"/>
      <c r="X15" s="416"/>
      <c r="Y15" s="416"/>
      <c r="Z15" s="416"/>
      <c r="AA15" s="416"/>
      <c r="AB15" s="416"/>
      <c r="AC15" s="416"/>
      <c r="AD15" s="416"/>
      <c r="AE15" s="416">
        <f>[8]Prognosa!G16</f>
        <v>94192480</v>
      </c>
      <c r="AF15" s="436">
        <f>AE15-N15</f>
        <v>0</v>
      </c>
      <c r="AG15" s="436">
        <v>-9500390</v>
      </c>
    </row>
    <row r="16" spans="1:33">
      <c r="A16" s="404"/>
      <c r="B16" s="412"/>
      <c r="C16" s="413"/>
      <c r="D16" s="414">
        <v>2</v>
      </c>
      <c r="E16" s="418" t="s">
        <v>903</v>
      </c>
      <c r="F16" s="416">
        <f>908852460</f>
        <v>908852460</v>
      </c>
      <c r="G16" s="416"/>
      <c r="H16" s="416"/>
      <c r="I16" s="416"/>
      <c r="J16" s="416"/>
      <c r="K16" s="416">
        <v>902670870</v>
      </c>
      <c r="L16" s="416">
        <v>34410000</v>
      </c>
      <c r="M16" s="416">
        <v>724034906</v>
      </c>
      <c r="N16" s="416">
        <f t="shared" ref="N16:N19" si="16">SUM(G16:M16)</f>
        <v>1661115776</v>
      </c>
      <c r="O16" s="416"/>
      <c r="P16" s="416"/>
      <c r="Q16" s="416"/>
      <c r="R16" s="416"/>
      <c r="S16" s="416"/>
      <c r="T16" s="416">
        <f t="shared" ref="T16:T19" si="17">SUM(O16:S16)</f>
        <v>0</v>
      </c>
      <c r="U16" s="416">
        <f t="shared" ref="U16:U19" si="18">T16+N16</f>
        <v>1661115776</v>
      </c>
      <c r="V16" s="471">
        <f t="shared" ref="V16:V19" si="19">U16/F16</f>
        <v>1.8277067501143145</v>
      </c>
      <c r="W16" s="416"/>
      <c r="X16" s="416"/>
      <c r="Y16" s="416"/>
      <c r="Z16" s="416"/>
      <c r="AA16" s="416"/>
      <c r="AB16" s="416"/>
      <c r="AC16" s="416"/>
      <c r="AD16" s="416"/>
      <c r="AE16" s="416">
        <f>[8]Prognosa!G17</f>
        <v>1661115776</v>
      </c>
      <c r="AF16" s="436">
        <f>AE16-N16</f>
        <v>0</v>
      </c>
      <c r="AG16" s="436">
        <v>724034906</v>
      </c>
    </row>
    <row r="17" spans="1:33">
      <c r="A17" s="419"/>
      <c r="B17" s="412"/>
      <c r="C17" s="413"/>
      <c r="D17" s="414">
        <v>3</v>
      </c>
      <c r="E17" s="418" t="s">
        <v>32</v>
      </c>
      <c r="F17" s="416">
        <f>278355450</f>
        <v>278355450</v>
      </c>
      <c r="G17" s="416">
        <v>46884529.5</v>
      </c>
      <c r="H17" s="416">
        <v>38982439.5</v>
      </c>
      <c r="I17" s="416">
        <v>41091439.5</v>
      </c>
      <c r="J17" s="416">
        <v>42100429.5</v>
      </c>
      <c r="K17" s="416">
        <v>105394870</v>
      </c>
      <c r="L17" s="416">
        <v>15162600</v>
      </c>
      <c r="M17" s="416">
        <v>25649880</v>
      </c>
      <c r="N17" s="416">
        <f t="shared" si="16"/>
        <v>315266188</v>
      </c>
      <c r="O17" s="416">
        <f t="shared" ref="O17:O18" si="20">F17/12</f>
        <v>23196287.5</v>
      </c>
      <c r="P17" s="416">
        <f t="shared" ref="P17:P18" si="21">F17/12</f>
        <v>23196287.5</v>
      </c>
      <c r="Q17" s="416">
        <f t="shared" ref="Q17:Q18" si="22">F17/12</f>
        <v>23196287.5</v>
      </c>
      <c r="R17" s="416">
        <f t="shared" ref="R17:R18" si="23">F17/12</f>
        <v>23196287.5</v>
      </c>
      <c r="S17" s="416">
        <f t="shared" ref="S17:S18" si="24">F17/12</f>
        <v>23196287.5</v>
      </c>
      <c r="T17" s="416">
        <f t="shared" si="17"/>
        <v>115981437.5</v>
      </c>
      <c r="U17" s="416">
        <f t="shared" si="18"/>
        <v>431247625.5</v>
      </c>
      <c r="V17" s="471">
        <f t="shared" si="19"/>
        <v>1.5492695598379698</v>
      </c>
      <c r="W17" s="416"/>
      <c r="X17" s="416"/>
      <c r="Y17" s="416"/>
      <c r="Z17" s="416"/>
      <c r="AA17" s="416"/>
      <c r="AB17" s="416"/>
      <c r="AC17" s="416"/>
      <c r="AD17" s="416"/>
      <c r="AE17" s="416">
        <f>[8]Prognosa!G18</f>
        <v>315266188</v>
      </c>
      <c r="AF17" s="436">
        <f>AE17-N17</f>
        <v>0</v>
      </c>
      <c r="AG17" s="436">
        <v>155929758</v>
      </c>
    </row>
    <row r="18" spans="1:33">
      <c r="A18" s="419"/>
      <c r="B18" s="412"/>
      <c r="C18" s="413"/>
      <c r="D18" s="414">
        <v>4</v>
      </c>
      <c r="E18" s="418" t="s">
        <v>43</v>
      </c>
      <c r="F18" s="416">
        <f>243024000</f>
        <v>243024000</v>
      </c>
      <c r="G18" s="416"/>
      <c r="H18" s="416">
        <v>28868880</v>
      </c>
      <c r="I18" s="416">
        <v>15608492.5</v>
      </c>
      <c r="J18" s="416">
        <v>13405877</v>
      </c>
      <c r="K18" s="416">
        <v>146870538</v>
      </c>
      <c r="L18" s="416">
        <v>13320000</v>
      </c>
      <c r="M18" s="416">
        <v>2843912.5</v>
      </c>
      <c r="N18" s="416">
        <f t="shared" si="16"/>
        <v>220917700</v>
      </c>
      <c r="O18" s="416">
        <f t="shared" si="20"/>
        <v>20252000</v>
      </c>
      <c r="P18" s="416">
        <f t="shared" si="21"/>
        <v>20252000</v>
      </c>
      <c r="Q18" s="416">
        <f t="shared" si="22"/>
        <v>20252000</v>
      </c>
      <c r="R18" s="416">
        <f t="shared" si="23"/>
        <v>20252000</v>
      </c>
      <c r="S18" s="416">
        <f t="shared" si="24"/>
        <v>20252000</v>
      </c>
      <c r="T18" s="416">
        <f t="shared" si="17"/>
        <v>101260000</v>
      </c>
      <c r="U18" s="416">
        <f t="shared" si="18"/>
        <v>322177700</v>
      </c>
      <c r="V18" s="471">
        <f t="shared" si="19"/>
        <v>1.3257032227269734</v>
      </c>
      <c r="W18" s="416"/>
      <c r="X18" s="416"/>
      <c r="Y18" s="416"/>
      <c r="Z18" s="416"/>
      <c r="AA18" s="416"/>
      <c r="AB18" s="416"/>
      <c r="AC18" s="416"/>
      <c r="AD18" s="416"/>
      <c r="AE18" s="416">
        <f>[8]Prognosa!G19</f>
        <v>220917700</v>
      </c>
      <c r="AF18" s="436">
        <f>AE18-N18</f>
        <v>0</v>
      </c>
      <c r="AG18" s="436">
        <v>15608492.5</v>
      </c>
    </row>
    <row r="19" spans="1:33">
      <c r="A19" s="419"/>
      <c r="B19" s="412"/>
      <c r="C19" s="413"/>
      <c r="D19" s="414">
        <v>5</v>
      </c>
      <c r="E19" s="418" t="s">
        <v>904</v>
      </c>
      <c r="F19" s="416">
        <f>109477700</f>
        <v>109477700</v>
      </c>
      <c r="G19" s="416"/>
      <c r="H19" s="416"/>
      <c r="I19" s="416"/>
      <c r="J19" s="416">
        <v>115495500</v>
      </c>
      <c r="K19" s="416"/>
      <c r="L19" s="416"/>
      <c r="M19" s="416"/>
      <c r="N19" s="416">
        <f t="shared" si="16"/>
        <v>115495500</v>
      </c>
      <c r="O19" s="416"/>
      <c r="P19" s="416"/>
      <c r="Q19" s="416"/>
      <c r="R19" s="416"/>
      <c r="S19" s="416"/>
      <c r="T19" s="416">
        <f t="shared" si="17"/>
        <v>0</v>
      </c>
      <c r="U19" s="416">
        <f t="shared" si="18"/>
        <v>115495500</v>
      </c>
      <c r="V19" s="471">
        <f t="shared" si="19"/>
        <v>1.0549682720773272</v>
      </c>
      <c r="W19" s="416"/>
      <c r="X19" s="416"/>
      <c r="Y19" s="416"/>
      <c r="Z19" s="416"/>
      <c r="AA19" s="416"/>
      <c r="AB19" s="416"/>
      <c r="AC19" s="416"/>
      <c r="AD19" s="416"/>
      <c r="AE19" s="416">
        <f>[8]Prognosa!G20</f>
        <v>115495500</v>
      </c>
      <c r="AF19" s="436">
        <f>AE19-N19</f>
        <v>0</v>
      </c>
      <c r="AG19" s="436">
        <v>0</v>
      </c>
    </row>
    <row r="20" spans="1:33">
      <c r="A20" s="419"/>
      <c r="B20" s="427"/>
      <c r="C20" s="428"/>
      <c r="D20" s="429"/>
      <c r="E20" s="430" t="s">
        <v>905</v>
      </c>
      <c r="F20" s="424">
        <f t="shared" ref="F20:AE20" si="25">SUM(F15:F19)</f>
        <v>1801055165.6666667</v>
      </c>
      <c r="G20" s="424">
        <f>SUM(G15:G19)</f>
        <v>61982749.5</v>
      </c>
      <c r="H20" s="424">
        <f t="shared" ref="H20" si="26">SUM(H15:H19)</f>
        <v>75954319.5</v>
      </c>
      <c r="I20" s="424">
        <f t="shared" ref="I20" si="27">SUM(I15:I19)</f>
        <v>71407432</v>
      </c>
      <c r="J20" s="424">
        <f t="shared" ref="J20" si="28">SUM(J15:J19)</f>
        <v>219976216.5</v>
      </c>
      <c r="K20" s="424">
        <f t="shared" ref="K20" si="29">SUM(K15:K19)</f>
        <v>1154936278</v>
      </c>
      <c r="L20" s="424">
        <f t="shared" ref="L20" si="30">SUM(L15:L19)</f>
        <v>62892600</v>
      </c>
      <c r="M20" s="424">
        <f t="shared" ref="M20" si="31">SUM(M15:M19)</f>
        <v>759838048.5</v>
      </c>
      <c r="N20" s="424">
        <f t="shared" si="25"/>
        <v>2406987644</v>
      </c>
      <c r="O20" s="424">
        <f t="shared" si="25"/>
        <v>65227083.805555552</v>
      </c>
      <c r="P20" s="424">
        <f t="shared" si="25"/>
        <v>65227083.805555552</v>
      </c>
      <c r="Q20" s="424">
        <f t="shared" si="25"/>
        <v>65227083.805555552</v>
      </c>
      <c r="R20" s="424">
        <f t="shared" si="25"/>
        <v>65227083.805555552</v>
      </c>
      <c r="S20" s="424">
        <f t="shared" si="25"/>
        <v>65227083.805555552</v>
      </c>
      <c r="T20" s="424">
        <f t="shared" si="25"/>
        <v>326135419.02777779</v>
      </c>
      <c r="U20" s="424">
        <f t="shared" si="25"/>
        <v>2733123063.0277777</v>
      </c>
      <c r="V20" s="472">
        <f>U20/F20</f>
        <v>1.5175121312933815</v>
      </c>
      <c r="W20" s="424"/>
      <c r="X20" s="424"/>
      <c r="Y20" s="424"/>
      <c r="Z20" s="424"/>
      <c r="AA20" s="424"/>
      <c r="AB20" s="424"/>
      <c r="AC20" s="424"/>
      <c r="AD20" s="424"/>
      <c r="AE20" s="424">
        <f t="shared" si="25"/>
        <v>2406987644</v>
      </c>
      <c r="AF20" s="424">
        <f t="shared" ref="AF20" si="32">SUM(AF15:AF19)</f>
        <v>0</v>
      </c>
      <c r="AG20" s="424">
        <v>886072766.5</v>
      </c>
    </row>
    <row r="21" spans="1:33" s="431" customFormat="1" ht="16.5" customHeight="1">
      <c r="B21" s="432"/>
      <c r="C21" s="433"/>
      <c r="D21" s="434"/>
      <c r="E21" s="435"/>
      <c r="F21" s="416"/>
      <c r="G21" s="416"/>
      <c r="H21" s="416"/>
      <c r="I21" s="416"/>
      <c r="J21" s="416"/>
      <c r="K21" s="416"/>
      <c r="L21" s="416"/>
      <c r="M21" s="416"/>
      <c r="N21" s="416"/>
      <c r="O21" s="416"/>
      <c r="P21" s="416"/>
      <c r="Q21" s="416"/>
      <c r="R21" s="416"/>
      <c r="S21" s="416"/>
      <c r="T21" s="416"/>
      <c r="U21" s="416"/>
      <c r="V21" s="416"/>
      <c r="W21" s="416"/>
      <c r="X21" s="416"/>
      <c r="Y21" s="416"/>
      <c r="Z21" s="416"/>
      <c r="AA21" s="416"/>
      <c r="AB21" s="416"/>
      <c r="AC21" s="416"/>
      <c r="AD21" s="416"/>
      <c r="AE21" s="416"/>
    </row>
    <row r="22" spans="1:33">
      <c r="B22" s="412">
        <v>3</v>
      </c>
      <c r="C22" s="413" t="s">
        <v>907</v>
      </c>
      <c r="D22" s="414">
        <v>1</v>
      </c>
      <c r="E22" s="415" t="s">
        <v>902</v>
      </c>
      <c r="F22" s="416">
        <f>[2]REKAP!$F$25</f>
        <v>261345555.66666701</v>
      </c>
      <c r="G22" s="416">
        <v>15098220</v>
      </c>
      <c r="H22" s="416"/>
      <c r="I22" s="416">
        <v>32966210</v>
      </c>
      <c r="J22" s="416">
        <v>14618700</v>
      </c>
      <c r="K22" s="416"/>
      <c r="L22" s="416"/>
      <c r="M22" s="416">
        <v>7309350</v>
      </c>
      <c r="N22" s="416">
        <f>SUM(G22:M22)</f>
        <v>69992480</v>
      </c>
      <c r="O22" s="416">
        <f>F22/12</f>
        <v>21778796.305555586</v>
      </c>
      <c r="P22" s="416">
        <f>F22/12</f>
        <v>21778796.305555586</v>
      </c>
      <c r="Q22" s="416">
        <f>F22/12</f>
        <v>21778796.305555586</v>
      </c>
      <c r="R22" s="416">
        <f>F22/12</f>
        <v>21778796.305555586</v>
      </c>
      <c r="S22" s="416">
        <f>F22/12</f>
        <v>21778796.305555586</v>
      </c>
      <c r="T22" s="416">
        <f>SUM(O22:S22)</f>
        <v>108893981.52777793</v>
      </c>
      <c r="U22" s="416">
        <f>T22+N22</f>
        <v>178886461.52777791</v>
      </c>
      <c r="V22" s="471">
        <f>U22/F22</f>
        <v>0.68448250849897174</v>
      </c>
      <c r="W22" s="416"/>
      <c r="X22" s="416"/>
      <c r="Y22" s="416"/>
      <c r="Z22" s="416"/>
      <c r="AA22" s="416"/>
      <c r="AB22" s="416"/>
      <c r="AC22" s="416"/>
      <c r="AD22" s="416"/>
      <c r="AE22" s="416">
        <f>[8]Prognosa!G23</f>
        <v>69992480</v>
      </c>
      <c r="AF22" s="436">
        <f>AE22-N22</f>
        <v>0</v>
      </c>
      <c r="AG22" s="436">
        <v>-24487390</v>
      </c>
    </row>
    <row r="23" spans="1:33">
      <c r="A23" s="404"/>
      <c r="B23" s="412"/>
      <c r="C23" s="413"/>
      <c r="D23" s="414">
        <v>2</v>
      </c>
      <c r="E23" s="418" t="s">
        <v>903</v>
      </c>
      <c r="F23" s="416">
        <v>849098940</v>
      </c>
      <c r="G23" s="416">
        <v>1231310195</v>
      </c>
      <c r="H23" s="416">
        <v>553224000</v>
      </c>
      <c r="I23" s="416">
        <v>32023500</v>
      </c>
      <c r="J23" s="416">
        <v>22200000</v>
      </c>
      <c r="K23" s="416"/>
      <c r="L23" s="416"/>
      <c r="M23" s="416"/>
      <c r="N23" s="416">
        <f t="shared" ref="N23:N26" si="33">SUM(G23:M23)</f>
        <v>1838757695</v>
      </c>
      <c r="O23" s="416"/>
      <c r="P23" s="416"/>
      <c r="Q23" s="416"/>
      <c r="R23" s="416"/>
      <c r="S23" s="416"/>
      <c r="T23" s="416">
        <f t="shared" ref="T23:T26" si="34">SUM(O23:S23)</f>
        <v>0</v>
      </c>
      <c r="U23" s="416">
        <f t="shared" ref="U23:U26" si="35">T23+N23</f>
        <v>1838757695</v>
      </c>
      <c r="V23" s="471">
        <f t="shared" ref="V23:V26" si="36">U23/F23</f>
        <v>2.1655399722910973</v>
      </c>
      <c r="W23" s="416"/>
      <c r="X23" s="416"/>
      <c r="Y23" s="416"/>
      <c r="Z23" s="416"/>
      <c r="AA23" s="416"/>
      <c r="AB23" s="416"/>
      <c r="AC23" s="416"/>
      <c r="AD23" s="416"/>
      <c r="AE23" s="416">
        <f>[8]Prognosa!G24</f>
        <v>1838757695</v>
      </c>
      <c r="AF23" s="436">
        <f>AE23-N23</f>
        <v>0</v>
      </c>
      <c r="AG23" s="436">
        <v>1231310195</v>
      </c>
    </row>
    <row r="24" spans="1:33">
      <c r="A24" s="404"/>
      <c r="B24" s="412"/>
      <c r="C24" s="413"/>
      <c r="D24" s="414">
        <v>3</v>
      </c>
      <c r="E24" s="418" t="s">
        <v>32</v>
      </c>
      <c r="F24" s="416">
        <v>262104333</v>
      </c>
      <c r="G24" s="416">
        <v>29342850</v>
      </c>
      <c r="H24" s="416">
        <v>79653600</v>
      </c>
      <c r="I24" s="416">
        <v>111566680</v>
      </c>
      <c r="J24" s="416">
        <v>17137290</v>
      </c>
      <c r="K24" s="416">
        <v>2639950</v>
      </c>
      <c r="L24" s="416">
        <v>6993000</v>
      </c>
      <c r="M24" s="416">
        <v>2339880</v>
      </c>
      <c r="N24" s="416">
        <f t="shared" si="33"/>
        <v>249673250</v>
      </c>
      <c r="O24" s="416">
        <f t="shared" ref="O24:O25" si="37">F24/12</f>
        <v>21842027.75</v>
      </c>
      <c r="P24" s="416">
        <f t="shared" ref="P24:P25" si="38">F24/12</f>
        <v>21842027.75</v>
      </c>
      <c r="Q24" s="416">
        <f t="shared" ref="Q24:Q25" si="39">F24/12</f>
        <v>21842027.75</v>
      </c>
      <c r="R24" s="416">
        <f t="shared" ref="R24:R25" si="40">F24/12</f>
        <v>21842027.75</v>
      </c>
      <c r="S24" s="416">
        <f t="shared" ref="S24:S25" si="41">F24/12</f>
        <v>21842027.75</v>
      </c>
      <c r="T24" s="416">
        <f t="shared" si="34"/>
        <v>109210138.75</v>
      </c>
      <c r="U24" s="416">
        <f t="shared" si="35"/>
        <v>358883388.75</v>
      </c>
      <c r="V24" s="471">
        <f t="shared" si="36"/>
        <v>1.3692386716475993</v>
      </c>
      <c r="W24" s="416"/>
      <c r="X24" s="416"/>
      <c r="Y24" s="416"/>
      <c r="Z24" s="416"/>
      <c r="AA24" s="416"/>
      <c r="AB24" s="416"/>
      <c r="AC24" s="416"/>
      <c r="AD24" s="416"/>
      <c r="AE24" s="416">
        <f>[8]Prognosa!G25</f>
        <v>249673250</v>
      </c>
      <c r="AF24" s="436">
        <f>AE24-N24</f>
        <v>0</v>
      </c>
      <c r="AG24" s="436">
        <v>-44399420</v>
      </c>
    </row>
    <row r="25" spans="1:33">
      <c r="A25" s="404"/>
      <c r="B25" s="412"/>
      <c r="C25" s="413"/>
      <c r="D25" s="414">
        <v>4</v>
      </c>
      <c r="E25" s="418" t="s">
        <v>43</v>
      </c>
      <c r="F25" s="416">
        <v>316778000</v>
      </c>
      <c r="G25" s="416">
        <v>15752010</v>
      </c>
      <c r="H25" s="416">
        <v>13475400</v>
      </c>
      <c r="I25" s="416">
        <v>30403455</v>
      </c>
      <c r="J25" s="416">
        <v>37121582</v>
      </c>
      <c r="K25" s="416">
        <v>130162152</v>
      </c>
      <c r="L25" s="416">
        <v>58169238.5</v>
      </c>
      <c r="M25" s="416">
        <v>12672962.5</v>
      </c>
      <c r="N25" s="416">
        <f t="shared" si="33"/>
        <v>297756800</v>
      </c>
      <c r="O25" s="416">
        <f t="shared" si="37"/>
        <v>26398166.666666668</v>
      </c>
      <c r="P25" s="416">
        <f t="shared" si="38"/>
        <v>26398166.666666668</v>
      </c>
      <c r="Q25" s="416">
        <f t="shared" si="39"/>
        <v>26398166.666666668</v>
      </c>
      <c r="R25" s="416">
        <f t="shared" si="40"/>
        <v>26398166.666666668</v>
      </c>
      <c r="S25" s="416">
        <f t="shared" si="41"/>
        <v>26398166.666666668</v>
      </c>
      <c r="T25" s="416">
        <f t="shared" si="34"/>
        <v>131990833.33333334</v>
      </c>
      <c r="U25" s="416">
        <f t="shared" si="35"/>
        <v>429747633.33333337</v>
      </c>
      <c r="V25" s="471">
        <f t="shared" si="36"/>
        <v>1.356620830150242</v>
      </c>
      <c r="W25" s="416"/>
      <c r="X25" s="416"/>
      <c r="Y25" s="416"/>
      <c r="Z25" s="416"/>
      <c r="AA25" s="416"/>
      <c r="AB25" s="416"/>
      <c r="AC25" s="416"/>
      <c r="AD25" s="416"/>
      <c r="AE25" s="416">
        <f>[8]Prognosa!G26</f>
        <v>297756800</v>
      </c>
      <c r="AF25" s="436">
        <f>AE25-N25</f>
        <v>0</v>
      </c>
      <c r="AG25" s="436">
        <v>58169238.5</v>
      </c>
    </row>
    <row r="26" spans="1:33">
      <c r="A26" s="404"/>
      <c r="B26" s="412"/>
      <c r="C26" s="413"/>
      <c r="D26" s="414">
        <v>5</v>
      </c>
      <c r="E26" s="418" t="s">
        <v>904</v>
      </c>
      <c r="F26" s="416">
        <v>126554300</v>
      </c>
      <c r="G26" s="416">
        <v>186800000</v>
      </c>
      <c r="H26" s="416"/>
      <c r="I26" s="416"/>
      <c r="J26" s="416"/>
      <c r="K26" s="416"/>
      <c r="L26" s="416"/>
      <c r="M26" s="416"/>
      <c r="N26" s="416">
        <f t="shared" si="33"/>
        <v>186800000</v>
      </c>
      <c r="O26" s="416"/>
      <c r="P26" s="416"/>
      <c r="Q26" s="416"/>
      <c r="R26" s="416"/>
      <c r="S26" s="416"/>
      <c r="T26" s="416">
        <f t="shared" si="34"/>
        <v>0</v>
      </c>
      <c r="U26" s="416">
        <f t="shared" si="35"/>
        <v>186800000</v>
      </c>
      <c r="V26" s="471">
        <f t="shared" si="36"/>
        <v>1.4760462505027485</v>
      </c>
      <c r="W26" s="416"/>
      <c r="X26" s="416"/>
      <c r="Y26" s="416"/>
      <c r="Z26" s="416"/>
      <c r="AA26" s="416"/>
      <c r="AB26" s="416"/>
      <c r="AC26" s="416"/>
      <c r="AD26" s="416"/>
      <c r="AE26" s="416">
        <f>[8]Prognosa!G27</f>
        <v>186800000</v>
      </c>
      <c r="AF26" s="436">
        <f>AE26-N26</f>
        <v>0</v>
      </c>
      <c r="AG26" s="436">
        <v>186800000</v>
      </c>
    </row>
    <row r="27" spans="1:33">
      <c r="A27" s="419"/>
      <c r="B27" s="420"/>
      <c r="C27" s="421"/>
      <c r="D27" s="422"/>
      <c r="E27" s="423" t="s">
        <v>905</v>
      </c>
      <c r="F27" s="424">
        <f t="shared" ref="F27:AF27" si="42">SUM(F22:F26)</f>
        <v>1815881128.666667</v>
      </c>
      <c r="G27" s="424">
        <f>SUM(G22:G26)</f>
        <v>1478303275</v>
      </c>
      <c r="H27" s="424">
        <f t="shared" ref="H27" si="43">SUM(H22:H26)</f>
        <v>646353000</v>
      </c>
      <c r="I27" s="424">
        <f t="shared" ref="I27" si="44">SUM(I22:I26)</f>
        <v>206959845</v>
      </c>
      <c r="J27" s="424">
        <f t="shared" ref="J27" si="45">SUM(J22:J26)</f>
        <v>91077572</v>
      </c>
      <c r="K27" s="424">
        <f t="shared" ref="K27" si="46">SUM(K22:K26)</f>
        <v>132802102</v>
      </c>
      <c r="L27" s="424">
        <f t="shared" ref="L27" si="47">SUM(L22:L26)</f>
        <v>65162238.5</v>
      </c>
      <c r="M27" s="424">
        <f t="shared" ref="M27" si="48">SUM(M22:M26)</f>
        <v>22322192.5</v>
      </c>
      <c r="N27" s="424">
        <f t="shared" si="42"/>
        <v>2642980225</v>
      </c>
      <c r="O27" s="424">
        <f t="shared" si="42"/>
        <v>70018990.722222254</v>
      </c>
      <c r="P27" s="424">
        <f t="shared" si="42"/>
        <v>70018990.722222254</v>
      </c>
      <c r="Q27" s="424">
        <f t="shared" si="42"/>
        <v>70018990.722222254</v>
      </c>
      <c r="R27" s="424">
        <f t="shared" si="42"/>
        <v>70018990.722222254</v>
      </c>
      <c r="S27" s="424">
        <f t="shared" si="42"/>
        <v>70018990.722222254</v>
      </c>
      <c r="T27" s="424">
        <f t="shared" si="42"/>
        <v>350094953.61111128</v>
      </c>
      <c r="U27" s="424">
        <f t="shared" si="42"/>
        <v>2993075178.6111112</v>
      </c>
      <c r="V27" s="472">
        <f>U27/F27</f>
        <v>1.6482770437780876</v>
      </c>
      <c r="W27" s="424"/>
      <c r="X27" s="424"/>
      <c r="Y27" s="424"/>
      <c r="Z27" s="424"/>
      <c r="AA27" s="424"/>
      <c r="AB27" s="424"/>
      <c r="AC27" s="424"/>
      <c r="AD27" s="424"/>
      <c r="AE27" s="424">
        <f t="shared" si="42"/>
        <v>2642980225</v>
      </c>
      <c r="AF27" s="424">
        <f t="shared" si="42"/>
        <v>0</v>
      </c>
      <c r="AG27" s="424">
        <v>1407392623.5</v>
      </c>
    </row>
    <row r="28" spans="1:33">
      <c r="A28" s="404"/>
      <c r="B28" s="412"/>
      <c r="C28" s="413"/>
      <c r="D28" s="425"/>
      <c r="E28" s="426"/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417"/>
      <c r="Z28" s="417"/>
      <c r="AA28" s="417"/>
      <c r="AB28" s="417"/>
      <c r="AC28" s="417"/>
      <c r="AD28" s="417"/>
      <c r="AE28" s="417"/>
    </row>
    <row r="29" spans="1:33">
      <c r="A29" s="404"/>
      <c r="B29" s="412">
        <v>4</v>
      </c>
      <c r="C29" s="413" t="s">
        <v>908</v>
      </c>
      <c r="D29" s="414">
        <v>1</v>
      </c>
      <c r="E29" s="415" t="s">
        <v>902</v>
      </c>
      <c r="F29" s="416">
        <f>[2]REKAP!$F$32</f>
        <v>248255101.12121215</v>
      </c>
      <c r="G29" s="416">
        <v>15098220</v>
      </c>
      <c r="H29" s="416"/>
      <c r="I29" s="416">
        <v>14707500</v>
      </c>
      <c r="J29" s="416">
        <v>14618700</v>
      </c>
      <c r="K29" s="416"/>
      <c r="L29" s="416">
        <v>17065710</v>
      </c>
      <c r="M29" s="416">
        <v>25402350</v>
      </c>
      <c r="N29" s="416">
        <f>SUM(G29:M29)</f>
        <v>86892480</v>
      </c>
      <c r="O29" s="416">
        <f>F29/12</f>
        <v>20687925.093434345</v>
      </c>
      <c r="P29" s="416">
        <f>F29/12</f>
        <v>20687925.093434345</v>
      </c>
      <c r="Q29" s="416">
        <f>F29/12</f>
        <v>20687925.093434345</v>
      </c>
      <c r="R29" s="416">
        <f>F29/12</f>
        <v>20687925.093434345</v>
      </c>
      <c r="S29" s="416">
        <f>F29/12</f>
        <v>20687925.093434345</v>
      </c>
      <c r="T29" s="416">
        <f>SUM(O29:S29)</f>
        <v>103439625.46717173</v>
      </c>
      <c r="U29" s="416">
        <f>T29+N29</f>
        <v>190332105.46717173</v>
      </c>
      <c r="V29" s="471">
        <f>U29/F29</f>
        <v>0.76667953491211793</v>
      </c>
      <c r="W29" s="416"/>
      <c r="X29" s="416"/>
      <c r="Y29" s="416"/>
      <c r="Z29" s="416"/>
      <c r="AA29" s="416"/>
      <c r="AB29" s="416"/>
      <c r="AC29" s="416"/>
      <c r="AD29" s="416"/>
      <c r="AE29" s="416">
        <f>[8]Prognosa!G30</f>
        <v>86892480</v>
      </c>
      <c r="AF29" s="436">
        <f>AE29-N29</f>
        <v>0</v>
      </c>
      <c r="AG29" s="436">
        <v>17065710</v>
      </c>
    </row>
    <row r="30" spans="1:33">
      <c r="A30" s="404"/>
      <c r="B30" s="412"/>
      <c r="C30" s="413"/>
      <c r="D30" s="414">
        <v>2</v>
      </c>
      <c r="E30" s="418" t="s">
        <v>903</v>
      </c>
      <c r="F30" s="416">
        <v>790664322</v>
      </c>
      <c r="G30" s="416"/>
      <c r="H30" s="416"/>
      <c r="I30" s="416"/>
      <c r="J30" s="416"/>
      <c r="K30" s="416">
        <v>52614000</v>
      </c>
      <c r="L30" s="416">
        <v>832149187</v>
      </c>
      <c r="M30" s="416"/>
      <c r="N30" s="416">
        <f t="shared" ref="N30:N33" si="49">SUM(G30:M30)</f>
        <v>884763187</v>
      </c>
      <c r="O30" s="416"/>
      <c r="P30" s="416"/>
      <c r="Q30" s="416"/>
      <c r="R30" s="416"/>
      <c r="S30" s="416"/>
      <c r="T30" s="416">
        <f t="shared" ref="T30:T33" si="50">SUM(O30:S30)</f>
        <v>0</v>
      </c>
      <c r="U30" s="416">
        <f t="shared" ref="U30:U33" si="51">T30+N30</f>
        <v>884763187</v>
      </c>
      <c r="V30" s="471">
        <f t="shared" ref="V30:V33" si="52">U30/F30</f>
        <v>1.1190124081506234</v>
      </c>
      <c r="W30" s="416"/>
      <c r="X30" s="416"/>
      <c r="Y30" s="416"/>
      <c r="Z30" s="416"/>
      <c r="AA30" s="416"/>
      <c r="AB30" s="416"/>
      <c r="AC30" s="416"/>
      <c r="AD30" s="416"/>
      <c r="AE30" s="416">
        <f>[8]Prognosa!G31</f>
        <v>884763187</v>
      </c>
      <c r="AF30" s="436">
        <f>AE30-N30</f>
        <v>0</v>
      </c>
      <c r="AG30" s="436">
        <v>169125652</v>
      </c>
    </row>
    <row r="31" spans="1:33">
      <c r="A31" s="404"/>
      <c r="B31" s="412"/>
      <c r="C31" s="413"/>
      <c r="D31" s="414">
        <v>3</v>
      </c>
      <c r="E31" s="418" t="s">
        <v>32</v>
      </c>
      <c r="F31" s="416">
        <v>224275761</v>
      </c>
      <c r="G31" s="416"/>
      <c r="H31" s="416"/>
      <c r="I31" s="416">
        <v>4995000</v>
      </c>
      <c r="J31" s="416">
        <v>3117990</v>
      </c>
      <c r="K31" s="416">
        <v>2639950</v>
      </c>
      <c r="L31" s="416">
        <v>146132280</v>
      </c>
      <c r="M31" s="416">
        <v>12163380</v>
      </c>
      <c r="N31" s="416">
        <f t="shared" si="49"/>
        <v>169048600</v>
      </c>
      <c r="O31" s="416">
        <f t="shared" ref="O31:O32" si="53">F31/12</f>
        <v>18689646.75</v>
      </c>
      <c r="P31" s="416">
        <f t="shared" ref="P31:P32" si="54">F31/12</f>
        <v>18689646.75</v>
      </c>
      <c r="Q31" s="416">
        <f t="shared" ref="Q31:Q32" si="55">F31/12</f>
        <v>18689646.75</v>
      </c>
      <c r="R31" s="416">
        <f t="shared" ref="R31:R32" si="56">F31/12</f>
        <v>18689646.75</v>
      </c>
      <c r="S31" s="416">
        <f t="shared" ref="S31:S32" si="57">F31/12</f>
        <v>18689646.75</v>
      </c>
      <c r="T31" s="416">
        <f t="shared" si="50"/>
        <v>93448233.75</v>
      </c>
      <c r="U31" s="416">
        <f t="shared" si="51"/>
        <v>262496833.75</v>
      </c>
      <c r="V31" s="471">
        <f t="shared" si="52"/>
        <v>1.1704199891222307</v>
      </c>
      <c r="W31" s="416"/>
      <c r="X31" s="416"/>
      <c r="Y31" s="416"/>
      <c r="Z31" s="416"/>
      <c r="AA31" s="416"/>
      <c r="AB31" s="416"/>
      <c r="AC31" s="416"/>
      <c r="AD31" s="416"/>
      <c r="AE31" s="416">
        <f>[8]Prognosa!G32</f>
        <v>169048600</v>
      </c>
      <c r="AF31" s="436">
        <f>AE31-N31</f>
        <v>0</v>
      </c>
      <c r="AG31" s="436">
        <v>-4097895</v>
      </c>
    </row>
    <row r="32" spans="1:33">
      <c r="A32" s="404"/>
      <c r="B32" s="412"/>
      <c r="C32" s="413"/>
      <c r="D32" s="414">
        <v>4</v>
      </c>
      <c r="E32" s="418" t="s">
        <v>43</v>
      </c>
      <c r="F32" s="416">
        <v>322506800</v>
      </c>
      <c r="G32" s="416">
        <v>41292000</v>
      </c>
      <c r="H32" s="416">
        <v>42823800</v>
      </c>
      <c r="I32" s="416">
        <v>4662000</v>
      </c>
      <c r="J32" s="416">
        <v>18096515</v>
      </c>
      <c r="K32" s="416">
        <v>27134906.82</v>
      </c>
      <c r="L32" s="416">
        <v>60449227.680000007</v>
      </c>
      <c r="M32" s="416">
        <v>16829912.5</v>
      </c>
      <c r="N32" s="416">
        <f t="shared" si="49"/>
        <v>211288362</v>
      </c>
      <c r="O32" s="416">
        <f t="shared" si="53"/>
        <v>26875566.666666668</v>
      </c>
      <c r="P32" s="416">
        <f t="shared" si="54"/>
        <v>26875566.666666668</v>
      </c>
      <c r="Q32" s="416">
        <f t="shared" si="55"/>
        <v>26875566.666666668</v>
      </c>
      <c r="R32" s="416">
        <f t="shared" si="56"/>
        <v>26875566.666666668</v>
      </c>
      <c r="S32" s="416">
        <f t="shared" si="57"/>
        <v>26875566.666666668</v>
      </c>
      <c r="T32" s="416">
        <f t="shared" si="50"/>
        <v>134377833.33333334</v>
      </c>
      <c r="U32" s="416">
        <f t="shared" si="51"/>
        <v>345666195.33333337</v>
      </c>
      <c r="V32" s="471">
        <f t="shared" si="52"/>
        <v>1.0718105644077376</v>
      </c>
      <c r="W32" s="416"/>
      <c r="X32" s="416"/>
      <c r="Y32" s="416"/>
      <c r="Z32" s="416"/>
      <c r="AA32" s="416"/>
      <c r="AB32" s="416"/>
      <c r="AC32" s="416"/>
      <c r="AD32" s="416"/>
      <c r="AE32" s="416">
        <f>[8]Prognosa!G33</f>
        <v>211288362</v>
      </c>
      <c r="AF32" s="436">
        <f>AE32-N32</f>
        <v>0</v>
      </c>
      <c r="AG32" s="436">
        <v>-33818077.319999993</v>
      </c>
    </row>
    <row r="33" spans="1:40">
      <c r="A33" s="404"/>
      <c r="B33" s="412"/>
      <c r="C33" s="413"/>
      <c r="D33" s="414">
        <v>5</v>
      </c>
      <c r="E33" s="418" t="s">
        <v>904</v>
      </c>
      <c r="F33" s="416">
        <v>125798050</v>
      </c>
      <c r="G33" s="416"/>
      <c r="H33" s="416"/>
      <c r="I33" s="416"/>
      <c r="J33" s="416"/>
      <c r="K33" s="416">
        <v>18348000</v>
      </c>
      <c r="L33" s="416"/>
      <c r="M33" s="416"/>
      <c r="N33" s="416">
        <f t="shared" si="49"/>
        <v>18348000</v>
      </c>
      <c r="O33" s="416"/>
      <c r="P33" s="416"/>
      <c r="Q33" s="416"/>
      <c r="R33" s="416"/>
      <c r="S33" s="416"/>
      <c r="T33" s="416">
        <f t="shared" si="50"/>
        <v>0</v>
      </c>
      <c r="U33" s="416">
        <f t="shared" si="51"/>
        <v>18348000</v>
      </c>
      <c r="V33" s="471">
        <f t="shared" si="52"/>
        <v>0.14585281727339972</v>
      </c>
      <c r="W33" s="416"/>
      <c r="X33" s="416"/>
      <c r="Y33" s="416"/>
      <c r="Z33" s="416"/>
      <c r="AA33" s="416"/>
      <c r="AB33" s="416"/>
      <c r="AC33" s="416"/>
      <c r="AD33" s="416"/>
      <c r="AE33" s="416">
        <f>[8]Prognosa!G34</f>
        <v>18348000</v>
      </c>
      <c r="AF33" s="436">
        <f>AE33-N33</f>
        <v>0</v>
      </c>
      <c r="AG33" s="436">
        <v>-166800000</v>
      </c>
    </row>
    <row r="34" spans="1:40">
      <c r="A34" s="419"/>
      <c r="B34" s="420"/>
      <c r="C34" s="421"/>
      <c r="D34" s="422"/>
      <c r="E34" s="423" t="s">
        <v>905</v>
      </c>
      <c r="F34" s="424">
        <f t="shared" ref="F34:AF34" si="58">SUM(F29:F33)</f>
        <v>1711500034.121212</v>
      </c>
      <c r="G34" s="424">
        <f>SUM(G29:G33)</f>
        <v>56390220</v>
      </c>
      <c r="H34" s="424">
        <f t="shared" ref="H34" si="59">SUM(H29:H33)</f>
        <v>42823800</v>
      </c>
      <c r="I34" s="424">
        <f t="shared" ref="I34" si="60">SUM(I29:I33)</f>
        <v>24364500</v>
      </c>
      <c r="J34" s="424">
        <f t="shared" ref="J34" si="61">SUM(J29:J33)</f>
        <v>35833205</v>
      </c>
      <c r="K34" s="424">
        <f t="shared" ref="K34" si="62">SUM(K29:K33)</f>
        <v>100736856.81999999</v>
      </c>
      <c r="L34" s="424">
        <f t="shared" ref="L34" si="63">SUM(L29:L33)</f>
        <v>1055796404.6800001</v>
      </c>
      <c r="M34" s="424">
        <f t="shared" ref="M34" si="64">SUM(M29:M33)</f>
        <v>54395642.5</v>
      </c>
      <c r="N34" s="424">
        <f t="shared" si="58"/>
        <v>1370340629</v>
      </c>
      <c r="O34" s="424">
        <f t="shared" ref="O34:U34" si="65">SUM(O29:O33)</f>
        <v>66253138.51010102</v>
      </c>
      <c r="P34" s="424">
        <f t="shared" si="65"/>
        <v>66253138.51010102</v>
      </c>
      <c r="Q34" s="424">
        <f t="shared" si="65"/>
        <v>66253138.51010102</v>
      </c>
      <c r="R34" s="424">
        <f t="shared" si="65"/>
        <v>66253138.51010102</v>
      </c>
      <c r="S34" s="424">
        <f t="shared" si="65"/>
        <v>66253138.51010102</v>
      </c>
      <c r="T34" s="424">
        <f t="shared" si="65"/>
        <v>331265692.55050504</v>
      </c>
      <c r="U34" s="424">
        <f t="shared" si="65"/>
        <v>1701606321.5505052</v>
      </c>
      <c r="V34" s="472">
        <f>U34/F34</f>
        <v>0.99421927410256417</v>
      </c>
      <c r="W34" s="424"/>
      <c r="X34" s="424"/>
      <c r="Y34" s="424"/>
      <c r="Z34" s="424"/>
      <c r="AA34" s="424"/>
      <c r="AB34" s="424"/>
      <c r="AC34" s="424"/>
      <c r="AD34" s="424"/>
      <c r="AE34" s="424">
        <f t="shared" si="58"/>
        <v>1370340629</v>
      </c>
      <c r="AF34" s="424">
        <f t="shared" si="58"/>
        <v>0</v>
      </c>
      <c r="AG34" s="424">
        <v>-18524610.319999993</v>
      </c>
    </row>
    <row r="35" spans="1:40">
      <c r="A35" s="404"/>
      <c r="B35" s="412"/>
      <c r="C35" s="413"/>
      <c r="D35" s="425"/>
      <c r="E35" s="426"/>
      <c r="F35" s="417"/>
      <c r="G35" s="417"/>
      <c r="H35" s="417"/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/>
      <c r="V35" s="417"/>
      <c r="W35" s="417"/>
      <c r="X35" s="417"/>
      <c r="Y35" s="417"/>
      <c r="Z35" s="417"/>
      <c r="AA35" s="417"/>
      <c r="AB35" s="417"/>
      <c r="AC35" s="417"/>
      <c r="AD35" s="417"/>
      <c r="AE35" s="417"/>
    </row>
    <row r="36" spans="1:40">
      <c r="A36" s="404"/>
      <c r="B36" s="412">
        <v>5</v>
      </c>
      <c r="C36" s="413" t="s">
        <v>909</v>
      </c>
      <c r="D36" s="414">
        <v>1</v>
      </c>
      <c r="E36" s="415" t="s">
        <v>902</v>
      </c>
      <c r="F36" s="416">
        <f>[2]REKAP!$F$46</f>
        <v>261345555.6666666</v>
      </c>
      <c r="G36" s="416">
        <v>15098220</v>
      </c>
      <c r="H36" s="416"/>
      <c r="I36" s="416">
        <v>14707500</v>
      </c>
      <c r="J36" s="416">
        <v>14618700</v>
      </c>
      <c r="K36" s="416"/>
      <c r="L36" s="416">
        <v>7602610</v>
      </c>
      <c r="M36" s="416">
        <v>51165450</v>
      </c>
      <c r="N36" s="416">
        <f>SUM(G36:M36)</f>
        <v>103192480</v>
      </c>
      <c r="O36" s="416">
        <f>F36/12</f>
        <v>21778796.305555549</v>
      </c>
      <c r="P36" s="416">
        <f>F36/12</f>
        <v>21778796.305555549</v>
      </c>
      <c r="Q36" s="416">
        <f>F36/12</f>
        <v>21778796.305555549</v>
      </c>
      <c r="R36" s="416">
        <f>F36/12</f>
        <v>21778796.305555549</v>
      </c>
      <c r="S36" s="416">
        <f>F36/12</f>
        <v>21778796.305555549</v>
      </c>
      <c r="T36" s="416">
        <f>SUM(O36:S36)</f>
        <v>108893981.52777775</v>
      </c>
      <c r="U36" s="416">
        <f>T36+N36</f>
        <v>212086461.52777773</v>
      </c>
      <c r="V36" s="471">
        <f>U36/F36</f>
        <v>0.81151738351458169</v>
      </c>
      <c r="W36" s="416"/>
      <c r="X36" s="416"/>
      <c r="Y36" s="416"/>
      <c r="Z36" s="416"/>
      <c r="AA36" s="416"/>
      <c r="AB36" s="416"/>
      <c r="AC36" s="416"/>
      <c r="AD36" s="416"/>
      <c r="AE36" s="416">
        <f>[8]Prognosa!G37</f>
        <v>103192480</v>
      </c>
      <c r="AF36" s="436">
        <f>AE36-N36</f>
        <v>0</v>
      </c>
      <c r="AG36" s="436">
        <v>7602610</v>
      </c>
    </row>
    <row r="37" spans="1:40">
      <c r="A37" s="404"/>
      <c r="B37" s="412"/>
      <c r="C37" s="413"/>
      <c r="D37" s="414">
        <v>2</v>
      </c>
      <c r="E37" s="418" t="s">
        <v>903</v>
      </c>
      <c r="F37" s="416">
        <v>847824785</v>
      </c>
      <c r="G37" s="416"/>
      <c r="H37" s="416"/>
      <c r="I37" s="416"/>
      <c r="J37" s="416"/>
      <c r="K37" s="416"/>
      <c r="L37" s="416">
        <v>634775737.33999991</v>
      </c>
      <c r="M37" s="416">
        <v>617865300.66000009</v>
      </c>
      <c r="N37" s="416">
        <f t="shared" ref="N37:N40" si="66">SUM(G37:M37)</f>
        <v>1252641038</v>
      </c>
      <c r="O37" s="416"/>
      <c r="P37" s="416"/>
      <c r="Q37" s="416"/>
      <c r="R37" s="416"/>
      <c r="S37" s="416"/>
      <c r="T37" s="416">
        <f t="shared" ref="T37:T40" si="67">SUM(O37:S37)</f>
        <v>0</v>
      </c>
      <c r="U37" s="416">
        <f t="shared" ref="U37:U40" si="68">T37+N37</f>
        <v>1252641038</v>
      </c>
      <c r="V37" s="471">
        <f t="shared" ref="V37:V40" si="69">U37/F37</f>
        <v>1.4774763136937545</v>
      </c>
      <c r="W37" s="416"/>
      <c r="X37" s="416"/>
      <c r="Y37" s="416"/>
      <c r="Z37" s="416"/>
      <c r="AA37" s="416"/>
      <c r="AB37" s="416"/>
      <c r="AC37" s="416"/>
      <c r="AD37" s="416"/>
      <c r="AE37" s="416">
        <f>[8]Prognosa!G38</f>
        <v>1252641038</v>
      </c>
      <c r="AF37" s="436">
        <f>AE37-N37</f>
        <v>0</v>
      </c>
      <c r="AG37" s="436">
        <v>634775737.33999991</v>
      </c>
    </row>
    <row r="38" spans="1:40">
      <c r="A38" s="404"/>
      <c r="B38" s="412"/>
      <c r="C38" s="413"/>
      <c r="D38" s="414">
        <v>3</v>
      </c>
      <c r="E38" s="418" t="s">
        <v>32</v>
      </c>
      <c r="F38" s="416">
        <v>315284392</v>
      </c>
      <c r="G38" s="416">
        <v>8991000</v>
      </c>
      <c r="H38" s="416"/>
      <c r="I38" s="416">
        <v>9990000</v>
      </c>
      <c r="J38" s="416">
        <v>5892990</v>
      </c>
      <c r="K38" s="416">
        <v>2639950</v>
      </c>
      <c r="L38" s="416"/>
      <c r="M38" s="416">
        <v>8686560</v>
      </c>
      <c r="N38" s="416">
        <f t="shared" si="66"/>
        <v>36200500</v>
      </c>
      <c r="O38" s="416">
        <f t="shared" ref="O38:O39" si="70">F38/12</f>
        <v>26273699.333333332</v>
      </c>
      <c r="P38" s="416">
        <f t="shared" ref="P38:P39" si="71">F38/12</f>
        <v>26273699.333333332</v>
      </c>
      <c r="Q38" s="416">
        <f t="shared" ref="Q38:Q39" si="72">F38/12</f>
        <v>26273699.333333332</v>
      </c>
      <c r="R38" s="416">
        <f t="shared" ref="R38:R39" si="73">F38/12</f>
        <v>26273699.333333332</v>
      </c>
      <c r="S38" s="416">
        <f t="shared" ref="S38:S39" si="74">F38/12</f>
        <v>26273699.333333332</v>
      </c>
      <c r="T38" s="416">
        <f t="shared" si="67"/>
        <v>131368496.66666666</v>
      </c>
      <c r="U38" s="416">
        <f t="shared" si="68"/>
        <v>167568996.66666666</v>
      </c>
      <c r="V38" s="471">
        <f t="shared" si="69"/>
        <v>0.53148522704754331</v>
      </c>
      <c r="W38" s="416"/>
      <c r="X38" s="416"/>
      <c r="Y38" s="416"/>
      <c r="Z38" s="416"/>
      <c r="AA38" s="416"/>
      <c r="AB38" s="416"/>
      <c r="AC38" s="416"/>
      <c r="AD38" s="416"/>
      <c r="AE38" s="416">
        <f>[8]Prognosa!G39</f>
        <v>36200500</v>
      </c>
      <c r="AF38" s="436">
        <f>AE38-N38</f>
        <v>0</v>
      </c>
      <c r="AG38" s="436">
        <v>-86896650</v>
      </c>
    </row>
    <row r="39" spans="1:40">
      <c r="A39" s="404"/>
      <c r="B39" s="412"/>
      <c r="C39" s="413"/>
      <c r="D39" s="414">
        <v>4</v>
      </c>
      <c r="E39" s="418" t="s">
        <v>43</v>
      </c>
      <c r="F39" s="416">
        <v>319556100</v>
      </c>
      <c r="G39" s="416"/>
      <c r="H39" s="416">
        <v>8566980</v>
      </c>
      <c r="I39" s="416"/>
      <c r="J39" s="416">
        <v>8642645</v>
      </c>
      <c r="K39" s="416">
        <v>2516370</v>
      </c>
      <c r="L39" s="416"/>
      <c r="M39" s="416">
        <v>60587005</v>
      </c>
      <c r="N39" s="416">
        <f t="shared" si="66"/>
        <v>80313000</v>
      </c>
      <c r="O39" s="416">
        <f t="shared" si="70"/>
        <v>26629675</v>
      </c>
      <c r="P39" s="416">
        <f t="shared" si="71"/>
        <v>26629675</v>
      </c>
      <c r="Q39" s="416">
        <f t="shared" si="72"/>
        <v>26629675</v>
      </c>
      <c r="R39" s="416">
        <f t="shared" si="73"/>
        <v>26629675</v>
      </c>
      <c r="S39" s="416">
        <f t="shared" si="74"/>
        <v>26629675</v>
      </c>
      <c r="T39" s="416">
        <f t="shared" si="67"/>
        <v>133148375</v>
      </c>
      <c r="U39" s="416">
        <f t="shared" si="68"/>
        <v>213461375</v>
      </c>
      <c r="V39" s="471">
        <f t="shared" si="69"/>
        <v>0.66799342900980452</v>
      </c>
      <c r="W39" s="416"/>
      <c r="X39" s="416"/>
      <c r="Y39" s="416"/>
      <c r="Z39" s="416"/>
      <c r="AA39" s="416"/>
      <c r="AB39" s="416"/>
      <c r="AC39" s="416"/>
      <c r="AD39" s="416"/>
      <c r="AE39" s="416">
        <f>[8]Prognosa!G40</f>
        <v>80313000</v>
      </c>
      <c r="AF39" s="436">
        <f>AE39-N39</f>
        <v>0</v>
      </c>
      <c r="AG39" s="436">
        <v>-35307097.5</v>
      </c>
    </row>
    <row r="40" spans="1:40">
      <c r="A40" s="404"/>
      <c r="B40" s="412"/>
      <c r="C40" s="413"/>
      <c r="D40" s="414">
        <v>5</v>
      </c>
      <c r="E40" s="418" t="s">
        <v>904</v>
      </c>
      <c r="F40" s="416">
        <v>222399646</v>
      </c>
      <c r="G40" s="416"/>
      <c r="H40" s="416"/>
      <c r="I40" s="416"/>
      <c r="J40" s="416"/>
      <c r="K40" s="416"/>
      <c r="L40" s="416"/>
      <c r="M40" s="416">
        <v>116550000</v>
      </c>
      <c r="N40" s="416">
        <f t="shared" si="66"/>
        <v>116550000</v>
      </c>
      <c r="O40" s="416"/>
      <c r="P40" s="416"/>
      <c r="Q40" s="416"/>
      <c r="R40" s="416"/>
      <c r="S40" s="416"/>
      <c r="T40" s="416">
        <f t="shared" si="67"/>
        <v>0</v>
      </c>
      <c r="U40" s="416">
        <f t="shared" si="68"/>
        <v>116550000</v>
      </c>
      <c r="V40" s="471">
        <f t="shared" si="69"/>
        <v>0.52405658955050671</v>
      </c>
      <c r="W40" s="416"/>
      <c r="X40" s="416"/>
      <c r="Y40" s="416"/>
      <c r="Z40" s="416"/>
      <c r="AA40" s="416"/>
      <c r="AB40" s="416"/>
      <c r="AC40" s="416"/>
      <c r="AD40" s="416"/>
      <c r="AE40" s="416">
        <f>[8]Prognosa!G41</f>
        <v>116550000</v>
      </c>
      <c r="AF40" s="436">
        <f>AE40-N40</f>
        <v>0</v>
      </c>
      <c r="AG40" s="436">
        <v>0</v>
      </c>
    </row>
    <row r="41" spans="1:40">
      <c r="A41" s="419"/>
      <c r="B41" s="420"/>
      <c r="C41" s="421"/>
      <c r="D41" s="422"/>
      <c r="E41" s="423" t="s">
        <v>905</v>
      </c>
      <c r="F41" s="424">
        <f t="shared" ref="F41:AF41" si="75">SUM(F36:F40)</f>
        <v>1966410478.6666665</v>
      </c>
      <c r="G41" s="424">
        <f>SUM(G36:G40)</f>
        <v>24089220</v>
      </c>
      <c r="H41" s="424">
        <f t="shared" ref="H41" si="76">SUM(H36:H40)</f>
        <v>8566980</v>
      </c>
      <c r="I41" s="424">
        <f t="shared" ref="I41" si="77">SUM(I36:I40)</f>
        <v>24697500</v>
      </c>
      <c r="J41" s="424">
        <f t="shared" ref="J41" si="78">SUM(J36:J40)</f>
        <v>29154335</v>
      </c>
      <c r="K41" s="424">
        <f t="shared" ref="K41" si="79">SUM(K36:K40)</f>
        <v>5156320</v>
      </c>
      <c r="L41" s="424">
        <f t="shared" ref="L41" si="80">SUM(L36:L40)</f>
        <v>642378347.33999991</v>
      </c>
      <c r="M41" s="424">
        <f t="shared" ref="M41" si="81">SUM(M36:M40)</f>
        <v>854854315.66000009</v>
      </c>
      <c r="N41" s="424">
        <f t="shared" si="75"/>
        <v>1588897018</v>
      </c>
      <c r="O41" s="424">
        <f t="shared" si="75"/>
        <v>74682170.638888881</v>
      </c>
      <c r="P41" s="424">
        <f t="shared" si="75"/>
        <v>74682170.638888881</v>
      </c>
      <c r="Q41" s="424">
        <f t="shared" si="75"/>
        <v>74682170.638888881</v>
      </c>
      <c r="R41" s="424">
        <f t="shared" si="75"/>
        <v>74682170.638888881</v>
      </c>
      <c r="S41" s="424">
        <f t="shared" si="75"/>
        <v>74682170.638888881</v>
      </c>
      <c r="T41" s="424">
        <f t="shared" si="75"/>
        <v>373410853.19444442</v>
      </c>
      <c r="U41" s="424">
        <f t="shared" si="75"/>
        <v>1962307871.1944444</v>
      </c>
      <c r="V41" s="472">
        <f>U41/F41</f>
        <v>0.99791365662625853</v>
      </c>
      <c r="W41" s="424"/>
      <c r="X41" s="424"/>
      <c r="Y41" s="424"/>
      <c r="Z41" s="424"/>
      <c r="AA41" s="424"/>
      <c r="AB41" s="424"/>
      <c r="AC41" s="424"/>
      <c r="AD41" s="424"/>
      <c r="AE41" s="424">
        <f t="shared" si="75"/>
        <v>1588897018</v>
      </c>
      <c r="AF41" s="424">
        <f t="shared" si="75"/>
        <v>0</v>
      </c>
      <c r="AG41" s="424">
        <v>164503365.83999991</v>
      </c>
    </row>
    <row r="42" spans="1:40">
      <c r="A42" s="404"/>
      <c r="B42" s="412"/>
      <c r="C42" s="413"/>
      <c r="D42" s="425"/>
      <c r="E42" s="426"/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417"/>
      <c r="Z42" s="417"/>
      <c r="AA42" s="417"/>
      <c r="AB42" s="417"/>
      <c r="AC42" s="417"/>
      <c r="AD42" s="417"/>
      <c r="AE42" s="417"/>
      <c r="AF42" s="436">
        <f>N42-AE42</f>
        <v>0</v>
      </c>
      <c r="AG42" s="436">
        <v>0</v>
      </c>
    </row>
    <row r="43" spans="1:40">
      <c r="A43" s="419"/>
      <c r="B43" s="412">
        <v>6</v>
      </c>
      <c r="C43" s="413" t="s">
        <v>910</v>
      </c>
      <c r="D43" s="414">
        <v>1</v>
      </c>
      <c r="E43" s="415" t="s">
        <v>902</v>
      </c>
      <c r="F43" s="416">
        <f>[2]REKAP!$F$39</f>
        <v>246262676.87878782</v>
      </c>
      <c r="G43" s="416">
        <v>15098220</v>
      </c>
      <c r="H43" s="416"/>
      <c r="I43" s="416">
        <v>14707500</v>
      </c>
      <c r="J43" s="416">
        <v>14618700</v>
      </c>
      <c r="K43" s="416">
        <v>9387225</v>
      </c>
      <c r="L43" s="416">
        <v>9387225</v>
      </c>
      <c r="M43" s="416">
        <v>7309350</v>
      </c>
      <c r="N43" s="416">
        <f>SUM(G43:M43)</f>
        <v>70508220</v>
      </c>
      <c r="O43" s="416">
        <f>F43/12</f>
        <v>20521889.739898983</v>
      </c>
      <c r="P43" s="416">
        <f>F43/12</f>
        <v>20521889.739898983</v>
      </c>
      <c r="Q43" s="416">
        <f>F43/12</f>
        <v>20521889.739898983</v>
      </c>
      <c r="R43" s="416">
        <f>F43/12</f>
        <v>20521889.739898983</v>
      </c>
      <c r="S43" s="416">
        <f>F43/12</f>
        <v>20521889.739898983</v>
      </c>
      <c r="T43" s="416">
        <f>SUM(O43:S43)</f>
        <v>102609448.69949491</v>
      </c>
      <c r="U43" s="416">
        <f>T43+N43</f>
        <v>173117668.6994949</v>
      </c>
      <c r="V43" s="471">
        <f>U43/F43</f>
        <v>0.70297972430757183</v>
      </c>
      <c r="W43" s="416"/>
      <c r="X43" s="416"/>
      <c r="Y43" s="416"/>
      <c r="Z43" s="416"/>
      <c r="AA43" s="416"/>
      <c r="AB43" s="416"/>
      <c r="AC43" s="416"/>
      <c r="AD43" s="416"/>
      <c r="AE43" s="416">
        <f>[8]Prognosa!G44</f>
        <v>70508220</v>
      </c>
      <c r="AF43" s="436">
        <f>AE43-N43</f>
        <v>0</v>
      </c>
      <c r="AG43" s="436">
        <v>18774450</v>
      </c>
      <c r="AI43" s="411" t="s">
        <v>821</v>
      </c>
      <c r="AJ43" s="411" t="s">
        <v>822</v>
      </c>
      <c r="AK43" s="411" t="s">
        <v>835</v>
      </c>
      <c r="AL43" s="411" t="s">
        <v>842</v>
      </c>
    </row>
    <row r="44" spans="1:40" ht="14.25" customHeight="1">
      <c r="A44" s="404"/>
      <c r="B44" s="412"/>
      <c r="C44" s="591"/>
      <c r="D44" s="414">
        <v>2</v>
      </c>
      <c r="E44" s="418" t="s">
        <v>903</v>
      </c>
      <c r="F44" s="416">
        <v>876755778</v>
      </c>
      <c r="G44" s="416">
        <v>210646261</v>
      </c>
      <c r="H44" s="416">
        <v>38394900</v>
      </c>
      <c r="I44" s="416">
        <v>404507689</v>
      </c>
      <c r="J44" s="416"/>
      <c r="K44" s="416"/>
      <c r="L44" s="416"/>
      <c r="M44" s="416"/>
      <c r="N44" s="416">
        <f t="shared" ref="N44:N47" si="82">SUM(G44:M44)</f>
        <v>653548850</v>
      </c>
      <c r="O44" s="416"/>
      <c r="P44" s="416"/>
      <c r="Q44" s="416"/>
      <c r="R44" s="416"/>
      <c r="S44" s="416"/>
      <c r="T44" s="416">
        <f t="shared" ref="T44:T47" si="83">SUM(O44:S44)</f>
        <v>0</v>
      </c>
      <c r="U44" s="416">
        <f t="shared" ref="U44:U47" si="84">T44+N44</f>
        <v>653548850</v>
      </c>
      <c r="V44" s="471">
        <f t="shared" ref="V44:V47" si="85">U44/F44</f>
        <v>0.74541721468985855</v>
      </c>
      <c r="W44" s="416"/>
      <c r="X44" s="416"/>
      <c r="Y44" s="416"/>
      <c r="Z44" s="416"/>
      <c r="AA44" s="416"/>
      <c r="AB44" s="416"/>
      <c r="AC44" s="416"/>
      <c r="AD44" s="416"/>
      <c r="AE44" s="416">
        <f>[8]Prognosa!G45</f>
        <v>653548850</v>
      </c>
      <c r="AF44" s="436">
        <f>AE44-N44</f>
        <v>0</v>
      </c>
      <c r="AG44" s="436">
        <v>-334025189</v>
      </c>
      <c r="AI44" s="436">
        <v>28744815.000000004</v>
      </c>
      <c r="AJ44" s="436">
        <v>21600000</v>
      </c>
      <c r="AK44" s="436">
        <v>32400000</v>
      </c>
      <c r="AL44" s="436">
        <v>45040000</v>
      </c>
      <c r="AM44" s="436">
        <f>SUM(AI44:AL44)</f>
        <v>127784815</v>
      </c>
      <c r="AN44" s="436">
        <f>SUM(AJ44:AL44)</f>
        <v>99040000</v>
      </c>
    </row>
    <row r="45" spans="1:40">
      <c r="A45" s="419"/>
      <c r="B45" s="412"/>
      <c r="C45" s="591"/>
      <c r="D45" s="414">
        <v>3</v>
      </c>
      <c r="E45" s="418" t="s">
        <v>32</v>
      </c>
      <c r="F45" s="416">
        <v>299803810</v>
      </c>
      <c r="G45" s="416">
        <v>79895850</v>
      </c>
      <c r="H45" s="416">
        <v>81862500</v>
      </c>
      <c r="I45" s="416">
        <v>16714380</v>
      </c>
      <c r="J45" s="416">
        <v>8390490</v>
      </c>
      <c r="K45" s="416">
        <v>2639950</v>
      </c>
      <c r="L45" s="416">
        <v>6771000</v>
      </c>
      <c r="M45" s="416">
        <v>16903080</v>
      </c>
      <c r="N45" s="416">
        <f t="shared" si="82"/>
        <v>213177250</v>
      </c>
      <c r="O45" s="416">
        <f t="shared" ref="O45:O46" si="86">F45/12</f>
        <v>24983650.833333332</v>
      </c>
      <c r="P45" s="416">
        <f t="shared" ref="P45:P46" si="87">F45/12</f>
        <v>24983650.833333332</v>
      </c>
      <c r="Q45" s="416">
        <f t="shared" ref="Q45:Q46" si="88">F45/12</f>
        <v>24983650.833333332</v>
      </c>
      <c r="R45" s="416">
        <f t="shared" ref="R45:R46" si="89">F45/12</f>
        <v>24983650.833333332</v>
      </c>
      <c r="S45" s="416">
        <f t="shared" ref="S45:S46" si="90">F45/12</f>
        <v>24983650.833333332</v>
      </c>
      <c r="T45" s="416">
        <f t="shared" si="83"/>
        <v>124918254.16666666</v>
      </c>
      <c r="U45" s="416">
        <f t="shared" si="84"/>
        <v>338095504.16666663</v>
      </c>
      <c r="V45" s="471">
        <f t="shared" si="85"/>
        <v>1.1277225068175973</v>
      </c>
      <c r="W45" s="416"/>
      <c r="X45" s="416"/>
      <c r="Y45" s="416"/>
      <c r="Z45" s="416"/>
      <c r="AA45" s="416"/>
      <c r="AB45" s="416"/>
      <c r="AC45" s="416"/>
      <c r="AD45" s="416"/>
      <c r="AE45" s="416">
        <f>[8]Prognosa!G46</f>
        <v>213177250</v>
      </c>
      <c r="AF45" s="436">
        <f>AE45-N45</f>
        <v>0</v>
      </c>
      <c r="AG45" s="436">
        <v>-28336365</v>
      </c>
      <c r="AI45" s="436">
        <v>0</v>
      </c>
      <c r="AJ45" s="436">
        <v>0</v>
      </c>
      <c r="AK45" s="436">
        <v>0</v>
      </c>
      <c r="AL45" s="436">
        <v>0</v>
      </c>
      <c r="AM45" s="436">
        <f>SUM(AI45:AL45)</f>
        <v>0</v>
      </c>
    </row>
    <row r="46" spans="1:40">
      <c r="A46" s="419"/>
      <c r="B46" s="412"/>
      <c r="C46" s="591"/>
      <c r="D46" s="414">
        <v>4</v>
      </c>
      <c r="E46" s="418" t="s">
        <v>43</v>
      </c>
      <c r="F46" s="416">
        <v>338927600</v>
      </c>
      <c r="G46" s="416">
        <v>119356080</v>
      </c>
      <c r="H46" s="416">
        <v>61308809.5</v>
      </c>
      <c r="I46" s="416">
        <v>11100000</v>
      </c>
      <c r="J46" s="416">
        <v>2978315</v>
      </c>
      <c r="K46" s="416">
        <v>25169583</v>
      </c>
      <c r="L46" s="416">
        <v>7326000</v>
      </c>
      <c r="M46" s="416">
        <v>5729912.5</v>
      </c>
      <c r="N46" s="416">
        <f t="shared" si="82"/>
        <v>232968700</v>
      </c>
      <c r="O46" s="416">
        <f t="shared" si="86"/>
        <v>28243966.666666668</v>
      </c>
      <c r="P46" s="416">
        <f t="shared" si="87"/>
        <v>28243966.666666668</v>
      </c>
      <c r="Q46" s="416">
        <f t="shared" si="88"/>
        <v>28243966.666666668</v>
      </c>
      <c r="R46" s="416">
        <f t="shared" si="89"/>
        <v>28243966.666666668</v>
      </c>
      <c r="S46" s="416">
        <f t="shared" si="90"/>
        <v>28243966.666666668</v>
      </c>
      <c r="T46" s="416">
        <f t="shared" si="83"/>
        <v>141219833.33333334</v>
      </c>
      <c r="U46" s="416">
        <f t="shared" si="84"/>
        <v>374188533.33333337</v>
      </c>
      <c r="V46" s="471">
        <f t="shared" si="85"/>
        <v>1.1040367716684429</v>
      </c>
      <c r="W46" s="416"/>
      <c r="X46" s="416"/>
      <c r="Y46" s="416"/>
      <c r="Z46" s="416"/>
      <c r="AA46" s="416"/>
      <c r="AB46" s="416"/>
      <c r="AC46" s="416"/>
      <c r="AD46" s="416"/>
      <c r="AE46" s="416">
        <f>[8]Prognosa!G47</f>
        <v>232968700</v>
      </c>
      <c r="AF46" s="436">
        <f>AE46-N46</f>
        <v>0</v>
      </c>
      <c r="AG46" s="436">
        <v>-204326400.5</v>
      </c>
      <c r="AI46" s="436">
        <v>15583450</v>
      </c>
      <c r="AJ46" s="436">
        <v>4572000</v>
      </c>
      <c r="AK46" s="436">
        <v>65747000</v>
      </c>
      <c r="AL46" s="436">
        <v>37969018.814999998</v>
      </c>
      <c r="AM46" s="436">
        <f>SUM(AI46:AL46)</f>
        <v>123871468.815</v>
      </c>
      <c r="AN46" s="436">
        <f>SUM(AJ46:AL46)</f>
        <v>108288018.815</v>
      </c>
    </row>
    <row r="47" spans="1:40" ht="14.25" customHeight="1">
      <c r="A47" s="419"/>
      <c r="B47" s="412"/>
      <c r="C47" s="413"/>
      <c r="D47" s="414">
        <v>5</v>
      </c>
      <c r="E47" s="418" t="s">
        <v>904</v>
      </c>
      <c r="F47" s="416">
        <v>189877700</v>
      </c>
      <c r="G47" s="416">
        <v>10274000</v>
      </c>
      <c r="H47" s="416">
        <v>10274000</v>
      </c>
      <c r="I47" s="416"/>
      <c r="J47" s="416"/>
      <c r="K47" s="416"/>
      <c r="L47" s="416"/>
      <c r="M47" s="416"/>
      <c r="N47" s="416">
        <f t="shared" si="82"/>
        <v>20548000</v>
      </c>
      <c r="O47" s="416"/>
      <c r="P47" s="416"/>
      <c r="Q47" s="416"/>
      <c r="R47" s="416"/>
      <c r="S47" s="416"/>
      <c r="T47" s="416">
        <f t="shared" si="83"/>
        <v>0</v>
      </c>
      <c r="U47" s="416">
        <f t="shared" si="84"/>
        <v>20548000</v>
      </c>
      <c r="V47" s="471">
        <f t="shared" si="85"/>
        <v>0.10821702601200668</v>
      </c>
      <c r="W47" s="416"/>
      <c r="X47" s="416"/>
      <c r="Y47" s="416"/>
      <c r="Z47" s="416"/>
      <c r="AA47" s="416"/>
      <c r="AB47" s="416"/>
      <c r="AC47" s="416"/>
      <c r="AD47" s="416"/>
      <c r="AE47" s="416">
        <f>[8]Prognosa!G48</f>
        <v>20548000</v>
      </c>
      <c r="AF47" s="436">
        <f>AE47-N47</f>
        <v>0</v>
      </c>
      <c r="AG47" s="436">
        <v>-394148000</v>
      </c>
      <c r="AI47" s="436">
        <v>68002600</v>
      </c>
      <c r="AJ47" s="436">
        <v>32028000</v>
      </c>
      <c r="AK47" s="436">
        <v>22585500</v>
      </c>
      <c r="AL47" s="436">
        <v>73692000</v>
      </c>
      <c r="AM47" s="436">
        <f>SUM(AI47:AL47)</f>
        <v>196308100</v>
      </c>
      <c r="AN47" s="436">
        <f>SUM(AJ47:AL47)</f>
        <v>128305500</v>
      </c>
    </row>
    <row r="48" spans="1:40">
      <c r="A48" s="419"/>
      <c r="B48" s="427"/>
      <c r="C48" s="428"/>
      <c r="D48" s="429"/>
      <c r="E48" s="430" t="s">
        <v>905</v>
      </c>
      <c r="F48" s="424">
        <f t="shared" ref="F48:AF48" si="91">SUM(F43:F47)</f>
        <v>1951627564.8787878</v>
      </c>
      <c r="G48" s="424">
        <f>SUM(G43:G47)</f>
        <v>435270411</v>
      </c>
      <c r="H48" s="424">
        <f t="shared" ref="H48" si="92">SUM(H43:H47)</f>
        <v>191840209.5</v>
      </c>
      <c r="I48" s="424">
        <f t="shared" ref="I48" si="93">SUM(I43:I47)</f>
        <v>447029569</v>
      </c>
      <c r="J48" s="424">
        <f t="shared" ref="J48" si="94">SUM(J43:J47)</f>
        <v>25987505</v>
      </c>
      <c r="K48" s="424">
        <f t="shared" ref="K48" si="95">SUM(K43:K47)</f>
        <v>37196758</v>
      </c>
      <c r="L48" s="424">
        <f t="shared" ref="L48" si="96">SUM(L43:L47)</f>
        <v>23484225</v>
      </c>
      <c r="M48" s="424">
        <f t="shared" ref="M48" si="97">SUM(M43:M47)</f>
        <v>29942342.5</v>
      </c>
      <c r="N48" s="424">
        <f t="shared" si="91"/>
        <v>1190751020</v>
      </c>
      <c r="O48" s="424">
        <f t="shared" ref="O48:U48" si="98">SUM(O43:O47)</f>
        <v>73749507.23989898</v>
      </c>
      <c r="P48" s="424">
        <f t="shared" si="98"/>
        <v>73749507.23989898</v>
      </c>
      <c r="Q48" s="424">
        <f t="shared" si="98"/>
        <v>73749507.23989898</v>
      </c>
      <c r="R48" s="424">
        <f t="shared" si="98"/>
        <v>73749507.23989898</v>
      </c>
      <c r="S48" s="424">
        <f t="shared" si="98"/>
        <v>73749507.23989898</v>
      </c>
      <c r="T48" s="424">
        <f t="shared" si="98"/>
        <v>368747536.19949496</v>
      </c>
      <c r="U48" s="424">
        <f t="shared" si="98"/>
        <v>1559498556.1994948</v>
      </c>
      <c r="V48" s="472">
        <f>U48/F48</f>
        <v>0.79907590170584242</v>
      </c>
      <c r="W48" s="424"/>
      <c r="X48" s="424"/>
      <c r="Y48" s="424"/>
      <c r="Z48" s="424"/>
      <c r="AA48" s="424"/>
      <c r="AB48" s="424"/>
      <c r="AC48" s="424"/>
      <c r="AD48" s="424"/>
      <c r="AE48" s="424">
        <f t="shared" si="91"/>
        <v>1190751020</v>
      </c>
      <c r="AF48" s="424">
        <f t="shared" si="91"/>
        <v>0</v>
      </c>
      <c r="AG48" s="424">
        <v>-942061504.5</v>
      </c>
      <c r="AI48" s="436">
        <v>0</v>
      </c>
      <c r="AJ48" s="436"/>
      <c r="AK48" s="436">
        <v>0</v>
      </c>
      <c r="AL48" s="436"/>
      <c r="AM48" s="436">
        <f>SUM(AI48:AL48)</f>
        <v>0</v>
      </c>
    </row>
    <row r="49" spans="1:263" ht="8.25" customHeight="1">
      <c r="A49" s="419"/>
      <c r="B49" s="593"/>
      <c r="C49" s="594"/>
      <c r="D49" s="594"/>
      <c r="E49" s="594"/>
      <c r="F49" s="594"/>
      <c r="G49" s="594"/>
      <c r="H49" s="594"/>
      <c r="I49" s="594"/>
      <c r="J49" s="594"/>
      <c r="K49" s="594"/>
      <c r="L49" s="594"/>
      <c r="M49" s="594"/>
      <c r="N49" s="594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F49" s="468"/>
      <c r="AG49" s="468"/>
      <c r="AI49" s="436"/>
      <c r="AJ49" s="436"/>
      <c r="AK49" s="436"/>
      <c r="AL49" s="436"/>
      <c r="AM49" s="436"/>
    </row>
    <row r="50" spans="1:263" ht="10.050000000000001" customHeight="1">
      <c r="A50" s="419"/>
      <c r="B50" s="595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596"/>
      <c r="O50" s="438"/>
      <c r="P50" s="438"/>
      <c r="Q50" s="438"/>
      <c r="R50" s="438"/>
      <c r="S50" s="438"/>
      <c r="T50" s="438"/>
      <c r="U50" s="438"/>
      <c r="V50" s="438"/>
      <c r="W50" s="470"/>
      <c r="X50" s="470"/>
      <c r="Y50" s="470"/>
      <c r="Z50" s="470"/>
      <c r="AA50" s="470"/>
      <c r="AB50" s="470"/>
      <c r="AC50" s="470"/>
      <c r="AD50" s="470"/>
      <c r="AF50" s="468"/>
      <c r="AG50" s="468"/>
      <c r="AI50" s="436"/>
      <c r="AJ50" s="436"/>
      <c r="AK50" s="436"/>
      <c r="AL50" s="436"/>
      <c r="AM50" s="436"/>
    </row>
    <row r="51" spans="1:263" ht="8.25" customHeight="1">
      <c r="A51" s="419"/>
      <c r="B51" s="412"/>
      <c r="C51" s="413"/>
      <c r="D51" s="439"/>
      <c r="E51" s="440"/>
      <c r="F51" s="416"/>
      <c r="G51" s="416"/>
      <c r="H51" s="416"/>
      <c r="I51" s="416"/>
      <c r="J51" s="416"/>
      <c r="K51" s="416"/>
      <c r="L51" s="416"/>
      <c r="M51" s="416"/>
      <c r="N51" s="416"/>
      <c r="O51" s="416"/>
      <c r="P51" s="416"/>
      <c r="Q51" s="416"/>
      <c r="R51" s="416"/>
      <c r="S51" s="416"/>
      <c r="T51" s="416"/>
      <c r="U51" s="416"/>
      <c r="V51" s="416"/>
      <c r="W51" s="416"/>
      <c r="X51" s="416"/>
      <c r="Y51" s="416"/>
      <c r="Z51" s="416"/>
      <c r="AA51" s="416"/>
      <c r="AB51" s="416"/>
      <c r="AC51" s="416"/>
      <c r="AD51" s="416"/>
      <c r="AE51" s="416"/>
      <c r="AF51" s="468"/>
      <c r="AG51" s="468"/>
    </row>
    <row r="52" spans="1:263" ht="16.5" customHeight="1">
      <c r="A52" s="419"/>
      <c r="B52" s="441"/>
      <c r="C52" s="442" t="s">
        <v>911</v>
      </c>
      <c r="D52" s="443">
        <v>1</v>
      </c>
      <c r="E52" s="444" t="s">
        <v>902</v>
      </c>
      <c r="F52" s="416">
        <f t="shared" ref="F52:F56" si="99">F8+F15+F22+F29+F36+F43</f>
        <v>1539400000.6666667</v>
      </c>
      <c r="G52" s="416">
        <f>G8+G15+G22+G29+G36+G43</f>
        <v>90589320</v>
      </c>
      <c r="H52" s="416">
        <f t="shared" ref="H52:M52" si="100">H8+H15+H22+H29+H36+H43</f>
        <v>8103000</v>
      </c>
      <c r="I52" s="416">
        <f t="shared" si="100"/>
        <v>106503710</v>
      </c>
      <c r="J52" s="416">
        <f t="shared" si="100"/>
        <v>122067910</v>
      </c>
      <c r="K52" s="416">
        <f t="shared" si="100"/>
        <v>18774450</v>
      </c>
      <c r="L52" s="416">
        <f t="shared" si="100"/>
        <v>43442770</v>
      </c>
      <c r="M52" s="416">
        <f t="shared" si="100"/>
        <v>105805200</v>
      </c>
      <c r="N52" s="416">
        <f>SUM(G52:M52)</f>
        <v>495286360</v>
      </c>
      <c r="O52" s="416">
        <f t="shared" ref="O52:S52" si="101">O8+O15+O22+O29+O36+O43</f>
        <v>128283333.38888891</v>
      </c>
      <c r="P52" s="416">
        <f t="shared" si="101"/>
        <v>128283333.38888891</v>
      </c>
      <c r="Q52" s="416">
        <f t="shared" si="101"/>
        <v>128283333.38888891</v>
      </c>
      <c r="R52" s="416">
        <f t="shared" si="101"/>
        <v>128283333.38888891</v>
      </c>
      <c r="S52" s="416">
        <f t="shared" si="101"/>
        <v>128283333.38888891</v>
      </c>
      <c r="T52" s="416">
        <f t="shared" ref="T52:U52" si="102">T8+T15+T22+T29+T36+T43</f>
        <v>641416666.94444466</v>
      </c>
      <c r="U52" s="416">
        <f t="shared" si="102"/>
        <v>1136703026.9444444</v>
      </c>
      <c r="V52" s="471">
        <f>U52/F52</f>
        <v>0.73840653920499766</v>
      </c>
      <c r="W52" s="416"/>
      <c r="X52" s="416"/>
      <c r="Y52" s="416"/>
      <c r="Z52" s="416"/>
      <c r="AA52" s="416"/>
      <c r="AB52" s="416"/>
      <c r="AC52" s="416"/>
      <c r="AD52" s="416"/>
      <c r="AE52" s="416">
        <f t="shared" ref="AE52" si="103">AE8+AE15+AE22+AE29+AE36+AE43</f>
        <v>495286360</v>
      </c>
      <c r="AF52" s="436"/>
      <c r="AG52" s="436"/>
    </row>
    <row r="53" spans="1:263" ht="16.5" customHeight="1">
      <c r="A53" s="404"/>
      <c r="B53" s="445"/>
      <c r="C53" s="446" t="s">
        <v>912</v>
      </c>
      <c r="D53" s="443">
        <v>2</v>
      </c>
      <c r="E53" s="447" t="s">
        <v>903</v>
      </c>
      <c r="F53" s="416">
        <f t="shared" si="99"/>
        <v>5267963053</v>
      </c>
      <c r="G53" s="416">
        <f t="shared" ref="G53:M53" si="104">G9+G16+G23+G30+G37+G44</f>
        <v>1441956456</v>
      </c>
      <c r="H53" s="416">
        <f t="shared" si="104"/>
        <v>591618900</v>
      </c>
      <c r="I53" s="416">
        <f t="shared" si="104"/>
        <v>436531189</v>
      </c>
      <c r="J53" s="416">
        <f t="shared" si="104"/>
        <v>22200000</v>
      </c>
      <c r="K53" s="416">
        <f t="shared" si="104"/>
        <v>955284870</v>
      </c>
      <c r="L53" s="416">
        <f t="shared" si="104"/>
        <v>2067662474.3399999</v>
      </c>
      <c r="M53" s="416">
        <f t="shared" si="104"/>
        <v>1576711266.6600001</v>
      </c>
      <c r="N53" s="416">
        <f t="shared" ref="N53:N56" si="105">SUM(G53:M53)</f>
        <v>7091965156</v>
      </c>
      <c r="O53" s="416">
        <f t="shared" ref="O53:S53" si="106">O9+O16+O23+O30+O37+O44</f>
        <v>0</v>
      </c>
      <c r="P53" s="416">
        <f t="shared" si="106"/>
        <v>0</v>
      </c>
      <c r="Q53" s="416">
        <f t="shared" si="106"/>
        <v>0</v>
      </c>
      <c r="R53" s="416">
        <f t="shared" si="106"/>
        <v>0</v>
      </c>
      <c r="S53" s="416">
        <f t="shared" si="106"/>
        <v>0</v>
      </c>
      <c r="T53" s="416">
        <f t="shared" ref="T53:U53" si="107">T9+T16+T23+T30+T37+T44</f>
        <v>0</v>
      </c>
      <c r="U53" s="416">
        <f t="shared" si="107"/>
        <v>7091965156</v>
      </c>
      <c r="V53" s="471">
        <f t="shared" ref="V53:V56" si="108">U53/F53</f>
        <v>1.3462442854380436</v>
      </c>
      <c r="W53" s="416"/>
      <c r="X53" s="416"/>
      <c r="Y53" s="416"/>
      <c r="Z53" s="416"/>
      <c r="AA53" s="416"/>
      <c r="AB53" s="416"/>
      <c r="AC53" s="416"/>
      <c r="AD53" s="416"/>
      <c r="AE53" s="416">
        <f t="shared" ref="AE53" si="109">AE9+AE16+AE23+AE30+AE37+AE44</f>
        <v>7091965156</v>
      </c>
    </row>
    <row r="54" spans="1:263" ht="16.5" customHeight="1">
      <c r="A54" s="419"/>
      <c r="B54" s="441"/>
      <c r="C54" s="583"/>
      <c r="D54" s="443">
        <v>3</v>
      </c>
      <c r="E54" s="447" t="s">
        <v>32</v>
      </c>
      <c r="F54" s="416">
        <f t="shared" si="99"/>
        <v>1674597721</v>
      </c>
      <c r="G54" s="416">
        <f t="shared" ref="G54:M54" si="110">G10+G17+G24+G31+G38+G45</f>
        <v>167445229.5</v>
      </c>
      <c r="H54" s="416">
        <f t="shared" si="110"/>
        <v>202052539.5</v>
      </c>
      <c r="I54" s="416">
        <f t="shared" si="110"/>
        <v>294216419.5</v>
      </c>
      <c r="J54" s="416">
        <f t="shared" si="110"/>
        <v>109727179.5</v>
      </c>
      <c r="K54" s="416">
        <f t="shared" si="110"/>
        <v>125254620</v>
      </c>
      <c r="L54" s="416">
        <f t="shared" si="110"/>
        <v>175058880</v>
      </c>
      <c r="M54" s="416">
        <f t="shared" si="110"/>
        <v>87125840</v>
      </c>
      <c r="N54" s="416">
        <f t="shared" si="105"/>
        <v>1160880708</v>
      </c>
      <c r="O54" s="416">
        <f t="shared" ref="O54:S54" si="111">O10+O17+O24+O31+O38+O45</f>
        <v>139549810.08333334</v>
      </c>
      <c r="P54" s="416">
        <f t="shared" si="111"/>
        <v>139549810.08333334</v>
      </c>
      <c r="Q54" s="416">
        <f t="shared" si="111"/>
        <v>139549810.08333334</v>
      </c>
      <c r="R54" s="416">
        <f t="shared" si="111"/>
        <v>139549810.08333334</v>
      </c>
      <c r="S54" s="416">
        <f t="shared" si="111"/>
        <v>139549810.08333334</v>
      </c>
      <c r="T54" s="416">
        <f t="shared" ref="T54:U54" si="112">T10+T17+T24+T31+T38+T45</f>
        <v>697749050.41666663</v>
      </c>
      <c r="U54" s="416">
        <f t="shared" si="112"/>
        <v>1858629758.416667</v>
      </c>
      <c r="V54" s="471">
        <f t="shared" si="108"/>
        <v>1.1098962664936451</v>
      </c>
      <c r="W54" s="416"/>
      <c r="X54" s="416"/>
      <c r="Y54" s="416"/>
      <c r="Z54" s="416"/>
      <c r="AA54" s="416"/>
      <c r="AB54" s="416"/>
      <c r="AC54" s="416"/>
      <c r="AD54" s="416"/>
      <c r="AE54" s="416">
        <f t="shared" ref="AE54" si="113">AE10+AE17+AE24+AE31+AE38+AE45</f>
        <v>1160880708</v>
      </c>
    </row>
    <row r="55" spans="1:263" ht="16.5" customHeight="1">
      <c r="A55" s="419"/>
      <c r="B55" s="441"/>
      <c r="C55" s="583"/>
      <c r="D55" s="443">
        <v>4</v>
      </c>
      <c r="E55" s="447" t="s">
        <v>43</v>
      </c>
      <c r="F55" s="416">
        <f t="shared" si="99"/>
        <v>1846810500</v>
      </c>
      <c r="G55" s="416">
        <f t="shared" ref="G55:M55" si="114">G11+G18+G25+G32+G39+G46</f>
        <v>185191290</v>
      </c>
      <c r="H55" s="416">
        <f t="shared" si="114"/>
        <v>164953949.5</v>
      </c>
      <c r="I55" s="416">
        <f t="shared" si="114"/>
        <v>71195627.5</v>
      </c>
      <c r="J55" s="416">
        <f t="shared" si="114"/>
        <v>152035879.5</v>
      </c>
      <c r="K55" s="416">
        <f t="shared" si="114"/>
        <v>350997719.81999999</v>
      </c>
      <c r="L55" s="416">
        <f t="shared" si="114"/>
        <v>139264466.18000001</v>
      </c>
      <c r="M55" s="416">
        <f t="shared" si="114"/>
        <v>159359707.5</v>
      </c>
      <c r="N55" s="416">
        <f t="shared" si="105"/>
        <v>1222998640</v>
      </c>
      <c r="O55" s="416">
        <f t="shared" ref="O55:S55" si="115">O11+O18+O25+O32+O39+O46</f>
        <v>153900875</v>
      </c>
      <c r="P55" s="416">
        <f t="shared" si="115"/>
        <v>153900875</v>
      </c>
      <c r="Q55" s="416">
        <f t="shared" si="115"/>
        <v>153900875</v>
      </c>
      <c r="R55" s="416">
        <f t="shared" si="115"/>
        <v>153900875</v>
      </c>
      <c r="S55" s="416">
        <f t="shared" si="115"/>
        <v>153900875</v>
      </c>
      <c r="T55" s="416">
        <f t="shared" ref="T55:U55" si="116">T11+T18+T25+T32+T39+T46</f>
        <v>769504375.00000012</v>
      </c>
      <c r="U55" s="416">
        <f t="shared" si="116"/>
        <v>1992503015</v>
      </c>
      <c r="V55" s="471">
        <f t="shared" si="108"/>
        <v>1.0788887192270133</v>
      </c>
      <c r="W55" s="416"/>
      <c r="X55" s="416"/>
      <c r="Y55" s="416"/>
      <c r="Z55" s="416"/>
      <c r="AA55" s="416"/>
      <c r="AB55" s="416"/>
      <c r="AC55" s="416"/>
      <c r="AD55" s="416"/>
      <c r="AE55" s="416">
        <f t="shared" ref="AE55" si="117">AE11+AE18+AE25+AE32+AE39+AE46</f>
        <v>1222998640</v>
      </c>
    </row>
    <row r="56" spans="1:263" ht="16.5" customHeight="1" thickBot="1">
      <c r="A56" s="419"/>
      <c r="B56" s="448"/>
      <c r="C56" s="584"/>
      <c r="D56" s="449">
        <v>5</v>
      </c>
      <c r="E56" s="450" t="s">
        <v>904</v>
      </c>
      <c r="F56" s="451">
        <f t="shared" si="99"/>
        <v>923585096</v>
      </c>
      <c r="G56" s="451">
        <f t="shared" ref="G56:M56" si="118">G12+G19+G26+G33+G40+G47</f>
        <v>197074000</v>
      </c>
      <c r="H56" s="451">
        <f t="shared" si="118"/>
        <v>10274000</v>
      </c>
      <c r="I56" s="451">
        <f t="shared" si="118"/>
        <v>0</v>
      </c>
      <c r="J56" s="451">
        <f t="shared" si="118"/>
        <v>115495500</v>
      </c>
      <c r="K56" s="451">
        <f t="shared" si="118"/>
        <v>18348000</v>
      </c>
      <c r="L56" s="451">
        <f t="shared" si="118"/>
        <v>186036000</v>
      </c>
      <c r="M56" s="451">
        <f t="shared" si="118"/>
        <v>116550000</v>
      </c>
      <c r="N56" s="416">
        <f t="shared" si="105"/>
        <v>643777500</v>
      </c>
      <c r="O56" s="451">
        <f t="shared" ref="O56:S56" si="119">O12+O19+O26+O33+O40+O47</f>
        <v>0</v>
      </c>
      <c r="P56" s="451">
        <f t="shared" si="119"/>
        <v>0</v>
      </c>
      <c r="Q56" s="451">
        <f t="shared" si="119"/>
        <v>0</v>
      </c>
      <c r="R56" s="451">
        <f t="shared" si="119"/>
        <v>0</v>
      </c>
      <c r="S56" s="451">
        <f t="shared" si="119"/>
        <v>0</v>
      </c>
      <c r="T56" s="451">
        <f t="shared" ref="T56:U56" si="120">T12+T19+T26+T33+T40+T47</f>
        <v>0</v>
      </c>
      <c r="U56" s="451">
        <f t="shared" si="120"/>
        <v>643777500</v>
      </c>
      <c r="V56" s="471">
        <f t="shared" si="108"/>
        <v>0.69704188903455411</v>
      </c>
      <c r="W56" s="416"/>
      <c r="X56" s="416"/>
      <c r="Y56" s="416"/>
      <c r="Z56" s="416"/>
      <c r="AA56" s="416"/>
      <c r="AB56" s="416"/>
      <c r="AC56" s="416"/>
      <c r="AD56" s="416"/>
      <c r="AE56" s="451">
        <f t="shared" ref="AE56" si="121">AE12+AE19+AE26+AE33+AE40+AE47</f>
        <v>643777500</v>
      </c>
    </row>
    <row r="57" spans="1:263" ht="16.5" customHeight="1" thickBot="1">
      <c r="A57" s="419"/>
      <c r="B57" s="452"/>
      <c r="C57" s="453"/>
      <c r="D57" s="454"/>
      <c r="E57" s="455" t="s">
        <v>905</v>
      </c>
      <c r="F57" s="456">
        <f t="shared" ref="F57:N57" si="122">SUM(F52:F56)</f>
        <v>11252356370.666668</v>
      </c>
      <c r="G57" s="456">
        <f t="shared" ref="G57" si="123">SUM(G52:G56)</f>
        <v>2082256295.5</v>
      </c>
      <c r="H57" s="456">
        <f t="shared" ref="H57" si="124">SUM(H52:H56)</f>
        <v>977002389</v>
      </c>
      <c r="I57" s="456">
        <f t="shared" ref="I57" si="125">SUM(I52:I56)</f>
        <v>908446946</v>
      </c>
      <c r="J57" s="456">
        <f t="shared" ref="J57" si="126">SUM(J52:J56)</f>
        <v>521526469</v>
      </c>
      <c r="K57" s="456">
        <f t="shared" ref="K57" si="127">SUM(K52:K56)</f>
        <v>1468659659.8199999</v>
      </c>
      <c r="L57" s="456">
        <f t="shared" ref="L57" si="128">SUM(L52:L56)</f>
        <v>2611464590.52</v>
      </c>
      <c r="M57" s="456">
        <f t="shared" ref="M57" si="129">SUM(M52:M56)</f>
        <v>2045552014.1600001</v>
      </c>
      <c r="N57" s="456">
        <f t="shared" si="122"/>
        <v>10614908364</v>
      </c>
      <c r="O57" s="456">
        <f t="shared" ref="O57:S57" si="130">SUM(O52:O56)</f>
        <v>421734018.47222227</v>
      </c>
      <c r="P57" s="456">
        <f t="shared" si="130"/>
        <v>421734018.47222227</v>
      </c>
      <c r="Q57" s="456">
        <f t="shared" si="130"/>
        <v>421734018.47222227</v>
      </c>
      <c r="R57" s="456">
        <f t="shared" si="130"/>
        <v>421734018.47222227</v>
      </c>
      <c r="S57" s="456">
        <f t="shared" si="130"/>
        <v>421734018.47222227</v>
      </c>
      <c r="T57" s="456">
        <f t="shared" ref="T57:U57" si="131">SUM(T52:T56)</f>
        <v>2108670092.3611112</v>
      </c>
      <c r="U57" s="456">
        <f t="shared" si="131"/>
        <v>12723578456.361111</v>
      </c>
      <c r="V57" s="473">
        <f>U57/F57</f>
        <v>1.1307479106802656</v>
      </c>
      <c r="W57" s="456"/>
      <c r="X57" s="456"/>
      <c r="Y57" s="456"/>
      <c r="Z57" s="456"/>
      <c r="AA57" s="456"/>
      <c r="AB57" s="456"/>
      <c r="AC57" s="456"/>
      <c r="AD57" s="456"/>
      <c r="AE57" s="456">
        <f>SUM(AE52:AE56)</f>
        <v>10614908364</v>
      </c>
    </row>
    <row r="58" spans="1:263" s="460" customFormat="1">
      <c r="A58" s="411"/>
      <c r="B58" s="411"/>
      <c r="C58" s="411"/>
      <c r="D58" s="457"/>
      <c r="E58" s="458"/>
      <c r="F58" s="436"/>
      <c r="G58" s="436"/>
      <c r="H58" s="436"/>
      <c r="I58" s="436"/>
      <c r="J58" s="436"/>
      <c r="K58" s="436"/>
      <c r="L58" s="436"/>
      <c r="M58" s="436"/>
      <c r="N58" s="459"/>
      <c r="O58" s="459"/>
      <c r="P58" s="459"/>
      <c r="Q58" s="459"/>
      <c r="R58" s="459"/>
      <c r="S58" s="459"/>
      <c r="T58" s="459"/>
      <c r="U58" s="459"/>
      <c r="V58" s="459"/>
      <c r="W58" s="459"/>
      <c r="X58" s="459"/>
      <c r="Y58" s="459"/>
      <c r="Z58" s="459"/>
      <c r="AA58" s="459"/>
      <c r="AB58" s="459"/>
      <c r="AC58" s="459"/>
      <c r="AD58" s="459"/>
      <c r="AE58" s="459"/>
      <c r="AF58" s="411"/>
      <c r="AG58" s="411"/>
      <c r="AH58" s="411"/>
      <c r="AI58" s="411"/>
      <c r="AJ58" s="411"/>
      <c r="AK58" s="411"/>
      <c r="AL58" s="411"/>
      <c r="AM58" s="411"/>
      <c r="AN58" s="411"/>
      <c r="AO58" s="411"/>
      <c r="AP58" s="411"/>
      <c r="AQ58" s="411"/>
      <c r="AR58" s="411"/>
      <c r="AS58" s="411"/>
      <c r="AT58" s="411"/>
      <c r="AU58" s="411"/>
      <c r="AV58" s="411"/>
      <c r="AW58" s="411"/>
      <c r="AX58" s="411"/>
      <c r="AY58" s="411"/>
      <c r="AZ58" s="411"/>
      <c r="BA58" s="411"/>
      <c r="BB58" s="411"/>
      <c r="BC58" s="411"/>
      <c r="BD58" s="411"/>
      <c r="BE58" s="411"/>
      <c r="BF58" s="411"/>
      <c r="BG58" s="411"/>
      <c r="BH58" s="411"/>
      <c r="BI58" s="411"/>
      <c r="BJ58" s="411"/>
      <c r="BK58" s="411"/>
      <c r="BL58" s="411"/>
      <c r="BM58" s="411"/>
      <c r="BN58" s="411"/>
      <c r="BO58" s="411"/>
      <c r="BP58" s="411"/>
      <c r="BQ58" s="411"/>
      <c r="BR58" s="411"/>
      <c r="BS58" s="411"/>
      <c r="BT58" s="411"/>
      <c r="BU58" s="411"/>
      <c r="BV58" s="411"/>
      <c r="BW58" s="411"/>
      <c r="BX58" s="411"/>
      <c r="BY58" s="411"/>
      <c r="BZ58" s="411"/>
      <c r="CA58" s="411"/>
      <c r="CB58" s="411"/>
      <c r="CC58" s="411"/>
      <c r="CD58" s="411"/>
      <c r="CE58" s="411"/>
      <c r="CF58" s="411"/>
      <c r="CG58" s="411"/>
      <c r="CH58" s="411"/>
      <c r="CI58" s="411"/>
      <c r="CJ58" s="411"/>
      <c r="CK58" s="411"/>
      <c r="CL58" s="411"/>
      <c r="CM58" s="411"/>
      <c r="CN58" s="411"/>
      <c r="CO58" s="411"/>
      <c r="CP58" s="411"/>
      <c r="CQ58" s="411"/>
      <c r="CR58" s="411"/>
      <c r="CS58" s="411"/>
      <c r="CT58" s="411"/>
      <c r="CU58" s="411"/>
      <c r="CV58" s="411"/>
      <c r="CW58" s="411"/>
      <c r="CX58" s="411"/>
      <c r="CY58" s="411"/>
      <c r="CZ58" s="411"/>
      <c r="DA58" s="411"/>
      <c r="DB58" s="411"/>
      <c r="DC58" s="411"/>
      <c r="DD58" s="411"/>
      <c r="DE58" s="411"/>
      <c r="DF58" s="411"/>
      <c r="DG58" s="411"/>
      <c r="DH58" s="411"/>
      <c r="DI58" s="411"/>
      <c r="DJ58" s="411"/>
      <c r="DK58" s="411"/>
      <c r="DL58" s="411"/>
      <c r="DM58" s="411"/>
      <c r="DN58" s="411"/>
      <c r="DO58" s="411"/>
      <c r="DP58" s="411"/>
      <c r="DQ58" s="411"/>
      <c r="DR58" s="411"/>
      <c r="DS58" s="411"/>
      <c r="DT58" s="411"/>
      <c r="DU58" s="411"/>
      <c r="DV58" s="411"/>
      <c r="DW58" s="411"/>
      <c r="DX58" s="411"/>
      <c r="DY58" s="411"/>
      <c r="DZ58" s="411"/>
      <c r="EA58" s="411"/>
      <c r="EB58" s="411"/>
      <c r="EC58" s="411"/>
      <c r="ED58" s="411"/>
      <c r="EE58" s="411"/>
      <c r="EF58" s="411"/>
      <c r="EG58" s="411"/>
      <c r="EH58" s="411"/>
      <c r="EI58" s="411"/>
      <c r="EJ58" s="411"/>
      <c r="EK58" s="411"/>
      <c r="EL58" s="411"/>
      <c r="EM58" s="411"/>
      <c r="EN58" s="411"/>
      <c r="EO58" s="411"/>
      <c r="EP58" s="411"/>
      <c r="EQ58" s="411"/>
      <c r="ER58" s="411"/>
      <c r="ES58" s="411"/>
      <c r="ET58" s="411"/>
      <c r="EU58" s="411"/>
      <c r="EV58" s="411"/>
      <c r="EW58" s="411"/>
      <c r="EX58" s="411"/>
      <c r="EY58" s="411"/>
      <c r="EZ58" s="411"/>
      <c r="FA58" s="411"/>
      <c r="FB58" s="411"/>
      <c r="FC58" s="411"/>
      <c r="FD58" s="411"/>
      <c r="FE58" s="411"/>
      <c r="FF58" s="411"/>
      <c r="FG58" s="411"/>
      <c r="FH58" s="411"/>
      <c r="FI58" s="411"/>
      <c r="FJ58" s="411"/>
      <c r="FK58" s="411"/>
      <c r="FL58" s="411"/>
      <c r="FM58" s="411"/>
      <c r="FN58" s="411"/>
      <c r="FO58" s="411"/>
      <c r="FP58" s="411"/>
      <c r="FQ58" s="411"/>
      <c r="FR58" s="411"/>
      <c r="FS58" s="411"/>
      <c r="FT58" s="411"/>
      <c r="FU58" s="411"/>
      <c r="FV58" s="411"/>
      <c r="FW58" s="411"/>
      <c r="FX58" s="411"/>
      <c r="FY58" s="411"/>
      <c r="FZ58" s="411"/>
      <c r="GA58" s="411"/>
      <c r="GB58" s="411"/>
      <c r="GC58" s="411"/>
      <c r="GD58" s="411"/>
      <c r="GE58" s="411"/>
      <c r="GF58" s="411"/>
      <c r="GG58" s="411"/>
      <c r="GH58" s="411"/>
      <c r="GI58" s="411"/>
      <c r="GJ58" s="411"/>
      <c r="GK58" s="411"/>
      <c r="GL58" s="411"/>
      <c r="GM58" s="411"/>
      <c r="GN58" s="411"/>
      <c r="GO58" s="411"/>
      <c r="GP58" s="411"/>
      <c r="GQ58" s="411"/>
      <c r="GR58" s="411"/>
      <c r="GS58" s="411"/>
      <c r="GT58" s="411"/>
      <c r="GU58" s="411"/>
      <c r="GV58" s="411"/>
      <c r="GW58" s="411"/>
      <c r="GX58" s="411"/>
      <c r="GY58" s="411"/>
      <c r="GZ58" s="411"/>
      <c r="HA58" s="411"/>
      <c r="HB58" s="411"/>
      <c r="HC58" s="411"/>
      <c r="HD58" s="411"/>
      <c r="HE58" s="411"/>
      <c r="HF58" s="411"/>
      <c r="HG58" s="411"/>
      <c r="HH58" s="411"/>
      <c r="HI58" s="411"/>
      <c r="HJ58" s="411"/>
      <c r="HK58" s="411"/>
      <c r="HL58" s="411"/>
      <c r="HM58" s="411"/>
      <c r="HN58" s="411"/>
      <c r="HO58" s="411"/>
      <c r="HP58" s="411"/>
      <c r="HQ58" s="411"/>
      <c r="HR58" s="411"/>
      <c r="HS58" s="411"/>
      <c r="HT58" s="411"/>
      <c r="HU58" s="411"/>
      <c r="HV58" s="411"/>
      <c r="HW58" s="411"/>
      <c r="HX58" s="411"/>
      <c r="HY58" s="411"/>
      <c r="HZ58" s="411"/>
      <c r="IA58" s="411"/>
      <c r="IB58" s="411"/>
      <c r="IC58" s="411"/>
      <c r="ID58" s="411"/>
      <c r="IE58" s="411"/>
      <c r="IF58" s="411"/>
      <c r="IG58" s="411"/>
      <c r="IH58" s="411"/>
      <c r="II58" s="411"/>
      <c r="IJ58" s="411"/>
      <c r="IK58" s="411"/>
      <c r="IL58" s="411"/>
      <c r="IM58" s="411"/>
      <c r="IN58" s="411"/>
      <c r="IO58" s="411"/>
      <c r="IP58" s="411"/>
      <c r="IQ58" s="411"/>
      <c r="IR58" s="411"/>
      <c r="IS58" s="411"/>
      <c r="IT58" s="411"/>
      <c r="IU58" s="411"/>
      <c r="IV58" s="411"/>
      <c r="IW58" s="411"/>
      <c r="IX58" s="411"/>
      <c r="IY58" s="411"/>
      <c r="IZ58" s="411"/>
      <c r="JA58" s="411"/>
      <c r="JB58" s="411"/>
      <c r="JC58" s="411"/>
    </row>
    <row r="59" spans="1:263" s="460" customFormat="1">
      <c r="A59" s="411"/>
      <c r="B59" s="411"/>
      <c r="C59" s="411"/>
      <c r="D59" s="457"/>
      <c r="E59" s="458"/>
      <c r="F59" s="436"/>
      <c r="G59" s="436"/>
      <c r="H59" s="436"/>
      <c r="I59" s="436"/>
      <c r="J59" s="436"/>
      <c r="K59" s="436"/>
      <c r="L59" s="436"/>
      <c r="M59" s="436"/>
      <c r="N59" s="459"/>
      <c r="O59" s="459"/>
      <c r="P59" s="459"/>
      <c r="Q59" s="459"/>
      <c r="R59" s="459"/>
      <c r="S59" s="459"/>
      <c r="T59" s="459"/>
      <c r="U59" s="459"/>
      <c r="V59" s="459"/>
      <c r="W59" s="459"/>
      <c r="X59" s="459"/>
      <c r="Y59" s="459"/>
      <c r="Z59" s="459"/>
      <c r="AA59" s="459"/>
      <c r="AB59" s="459"/>
      <c r="AC59" s="459"/>
      <c r="AD59" s="459"/>
      <c r="AE59" s="459"/>
      <c r="AF59" s="411"/>
      <c r="AG59" s="411"/>
      <c r="AH59" s="411"/>
      <c r="AI59" s="411"/>
      <c r="AJ59" s="411"/>
      <c r="AK59" s="411"/>
      <c r="AL59" s="411"/>
      <c r="AM59" s="411"/>
      <c r="AN59" s="411"/>
      <c r="AO59" s="411"/>
      <c r="AP59" s="411"/>
      <c r="AQ59" s="411"/>
      <c r="AR59" s="411"/>
      <c r="AS59" s="411"/>
      <c r="AT59" s="411"/>
      <c r="AU59" s="411"/>
      <c r="AV59" s="411"/>
      <c r="AW59" s="411"/>
      <c r="AX59" s="411"/>
      <c r="AY59" s="411"/>
      <c r="AZ59" s="411"/>
      <c r="BA59" s="411"/>
      <c r="BB59" s="411"/>
      <c r="BC59" s="411"/>
      <c r="BD59" s="411"/>
      <c r="BE59" s="411"/>
      <c r="BF59" s="411"/>
      <c r="BG59" s="411"/>
      <c r="BH59" s="411"/>
      <c r="BI59" s="411"/>
      <c r="BJ59" s="411"/>
      <c r="BK59" s="411"/>
      <c r="BL59" s="411"/>
      <c r="BM59" s="411"/>
      <c r="BN59" s="411"/>
      <c r="BO59" s="411"/>
      <c r="BP59" s="411"/>
      <c r="BQ59" s="411"/>
      <c r="BR59" s="411"/>
      <c r="BS59" s="411"/>
      <c r="BT59" s="411"/>
      <c r="BU59" s="411"/>
      <c r="BV59" s="411"/>
      <c r="BW59" s="411"/>
      <c r="BX59" s="411"/>
      <c r="BY59" s="411"/>
      <c r="BZ59" s="411"/>
      <c r="CA59" s="411"/>
      <c r="CB59" s="411"/>
      <c r="CC59" s="411"/>
      <c r="CD59" s="411"/>
      <c r="CE59" s="411"/>
      <c r="CF59" s="411"/>
      <c r="CG59" s="411"/>
      <c r="CH59" s="411"/>
      <c r="CI59" s="411"/>
      <c r="CJ59" s="411"/>
      <c r="CK59" s="411"/>
      <c r="CL59" s="411"/>
      <c r="CM59" s="411"/>
      <c r="CN59" s="411"/>
      <c r="CO59" s="411"/>
      <c r="CP59" s="411"/>
      <c r="CQ59" s="411"/>
      <c r="CR59" s="411"/>
      <c r="CS59" s="411"/>
      <c r="CT59" s="411"/>
      <c r="CU59" s="411"/>
      <c r="CV59" s="411"/>
      <c r="CW59" s="411"/>
      <c r="CX59" s="411"/>
      <c r="CY59" s="411"/>
      <c r="CZ59" s="411"/>
      <c r="DA59" s="411"/>
      <c r="DB59" s="411"/>
      <c r="DC59" s="411"/>
      <c r="DD59" s="411"/>
      <c r="DE59" s="411"/>
      <c r="DF59" s="411"/>
      <c r="DG59" s="411"/>
      <c r="DH59" s="411"/>
      <c r="DI59" s="411"/>
      <c r="DJ59" s="411"/>
      <c r="DK59" s="411"/>
      <c r="DL59" s="411"/>
      <c r="DM59" s="411"/>
      <c r="DN59" s="411"/>
      <c r="DO59" s="411"/>
      <c r="DP59" s="411"/>
      <c r="DQ59" s="411"/>
      <c r="DR59" s="411"/>
      <c r="DS59" s="411"/>
      <c r="DT59" s="411"/>
      <c r="DU59" s="411"/>
      <c r="DV59" s="411"/>
      <c r="DW59" s="411"/>
      <c r="DX59" s="411"/>
      <c r="DY59" s="411"/>
      <c r="DZ59" s="411"/>
      <c r="EA59" s="411"/>
      <c r="EB59" s="411"/>
      <c r="EC59" s="411"/>
      <c r="ED59" s="411"/>
      <c r="EE59" s="411"/>
      <c r="EF59" s="411"/>
      <c r="EG59" s="411"/>
      <c r="EH59" s="411"/>
      <c r="EI59" s="411"/>
      <c r="EJ59" s="411"/>
      <c r="EK59" s="411"/>
      <c r="EL59" s="411"/>
      <c r="EM59" s="411"/>
      <c r="EN59" s="411"/>
      <c r="EO59" s="411"/>
      <c r="EP59" s="411"/>
      <c r="EQ59" s="411"/>
      <c r="ER59" s="411"/>
      <c r="ES59" s="411"/>
      <c r="ET59" s="411"/>
      <c r="EU59" s="411"/>
      <c r="EV59" s="411"/>
      <c r="EW59" s="411"/>
      <c r="EX59" s="411"/>
      <c r="EY59" s="411"/>
      <c r="EZ59" s="411"/>
      <c r="FA59" s="411"/>
      <c r="FB59" s="411"/>
      <c r="FC59" s="411"/>
      <c r="FD59" s="411"/>
      <c r="FE59" s="411"/>
      <c r="FF59" s="411"/>
      <c r="FG59" s="411"/>
      <c r="FH59" s="411"/>
      <c r="FI59" s="411"/>
      <c r="FJ59" s="411"/>
      <c r="FK59" s="411"/>
      <c r="FL59" s="411"/>
      <c r="FM59" s="411"/>
      <c r="FN59" s="411"/>
      <c r="FO59" s="411"/>
      <c r="FP59" s="411"/>
      <c r="FQ59" s="411"/>
      <c r="FR59" s="411"/>
      <c r="FS59" s="411"/>
      <c r="FT59" s="411"/>
      <c r="FU59" s="411"/>
      <c r="FV59" s="411"/>
      <c r="FW59" s="411"/>
      <c r="FX59" s="411"/>
      <c r="FY59" s="411"/>
      <c r="FZ59" s="411"/>
      <c r="GA59" s="411"/>
      <c r="GB59" s="411"/>
      <c r="GC59" s="411"/>
      <c r="GD59" s="411"/>
      <c r="GE59" s="411"/>
      <c r="GF59" s="411"/>
      <c r="GG59" s="411"/>
      <c r="GH59" s="411"/>
      <c r="GI59" s="411"/>
      <c r="GJ59" s="411"/>
      <c r="GK59" s="411"/>
      <c r="GL59" s="411"/>
      <c r="GM59" s="411"/>
      <c r="GN59" s="411"/>
      <c r="GO59" s="411"/>
      <c r="GP59" s="411"/>
      <c r="GQ59" s="411"/>
      <c r="GR59" s="411"/>
      <c r="GS59" s="411"/>
      <c r="GT59" s="411"/>
      <c r="GU59" s="411"/>
      <c r="GV59" s="411"/>
      <c r="GW59" s="411"/>
      <c r="GX59" s="411"/>
      <c r="GY59" s="411"/>
      <c r="GZ59" s="411"/>
      <c r="HA59" s="411"/>
      <c r="HB59" s="411"/>
      <c r="HC59" s="411"/>
      <c r="HD59" s="411"/>
      <c r="HE59" s="411"/>
      <c r="HF59" s="411"/>
      <c r="HG59" s="411"/>
      <c r="HH59" s="411"/>
      <c r="HI59" s="411"/>
      <c r="HJ59" s="411"/>
      <c r="HK59" s="411"/>
      <c r="HL59" s="411"/>
      <c r="HM59" s="411"/>
      <c r="HN59" s="411"/>
      <c r="HO59" s="411"/>
      <c r="HP59" s="411"/>
      <c r="HQ59" s="411"/>
      <c r="HR59" s="411"/>
      <c r="HS59" s="411"/>
      <c r="HT59" s="411"/>
      <c r="HU59" s="411"/>
      <c r="HV59" s="411"/>
      <c r="HW59" s="411"/>
      <c r="HX59" s="411"/>
      <c r="HY59" s="411"/>
      <c r="HZ59" s="411"/>
      <c r="IA59" s="411"/>
      <c r="IB59" s="411"/>
      <c r="IC59" s="411"/>
      <c r="ID59" s="411"/>
      <c r="IE59" s="411"/>
      <c r="IF59" s="411"/>
      <c r="IG59" s="411"/>
      <c r="IH59" s="411"/>
      <c r="II59" s="411"/>
      <c r="IJ59" s="411"/>
      <c r="IK59" s="411"/>
      <c r="IL59" s="411"/>
      <c r="IM59" s="411"/>
      <c r="IN59" s="411"/>
      <c r="IO59" s="411"/>
      <c r="IP59" s="411"/>
      <c r="IQ59" s="411"/>
      <c r="IR59" s="411"/>
      <c r="IS59" s="411"/>
      <c r="IT59" s="411"/>
      <c r="IU59" s="411"/>
      <c r="IV59" s="411"/>
      <c r="IW59" s="411"/>
      <c r="IX59" s="411"/>
      <c r="IY59" s="411"/>
      <c r="IZ59" s="411"/>
      <c r="JA59" s="411"/>
      <c r="JB59" s="411"/>
      <c r="JC59" s="411"/>
    </row>
    <row r="60" spans="1:263" s="460" customFormat="1" hidden="1">
      <c r="A60" s="411"/>
      <c r="B60" s="411"/>
      <c r="C60" s="401"/>
      <c r="D60" s="457"/>
      <c r="E60" s="411"/>
      <c r="F60" s="411"/>
      <c r="G60" s="411"/>
      <c r="H60" s="411"/>
      <c r="I60" s="411"/>
      <c r="J60" s="411"/>
      <c r="K60" s="411"/>
      <c r="L60" s="411"/>
      <c r="M60" s="41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  <c r="AA60" s="461"/>
      <c r="AB60" s="461"/>
      <c r="AC60" s="461"/>
      <c r="AD60" s="461"/>
      <c r="AE60" s="461"/>
      <c r="AF60" s="411"/>
      <c r="AG60" s="411"/>
      <c r="AH60" s="411"/>
      <c r="AI60" s="411"/>
      <c r="AJ60" s="411"/>
      <c r="AK60" s="411"/>
      <c r="AL60" s="411"/>
      <c r="AM60" s="411"/>
      <c r="AN60" s="411"/>
      <c r="AO60" s="411"/>
      <c r="AP60" s="411"/>
      <c r="AQ60" s="411"/>
      <c r="AR60" s="411"/>
      <c r="AS60" s="411"/>
      <c r="AT60" s="411"/>
      <c r="AU60" s="411"/>
      <c r="AV60" s="411"/>
      <c r="AW60" s="411"/>
      <c r="AX60" s="411"/>
      <c r="AY60" s="411"/>
      <c r="AZ60" s="411"/>
      <c r="BA60" s="411"/>
      <c r="BB60" s="411"/>
      <c r="BC60" s="411"/>
      <c r="BD60" s="411"/>
      <c r="BE60" s="411"/>
      <c r="BF60" s="411"/>
      <c r="BG60" s="411"/>
      <c r="BH60" s="411"/>
      <c r="BI60" s="411"/>
      <c r="BJ60" s="411"/>
      <c r="BK60" s="411"/>
      <c r="BL60" s="411"/>
      <c r="BM60" s="411"/>
      <c r="BN60" s="411"/>
      <c r="BO60" s="411"/>
      <c r="BP60" s="411"/>
      <c r="BQ60" s="411"/>
      <c r="BR60" s="411"/>
      <c r="BS60" s="411"/>
      <c r="BT60" s="411"/>
      <c r="BU60" s="411"/>
      <c r="BV60" s="411"/>
      <c r="BW60" s="411"/>
      <c r="BX60" s="411"/>
      <c r="BY60" s="411"/>
      <c r="BZ60" s="411"/>
      <c r="CA60" s="411"/>
      <c r="CB60" s="411"/>
      <c r="CC60" s="411"/>
      <c r="CD60" s="411"/>
      <c r="CE60" s="411"/>
      <c r="CF60" s="411"/>
      <c r="CG60" s="411"/>
      <c r="CH60" s="411"/>
      <c r="CI60" s="411"/>
      <c r="CJ60" s="411"/>
      <c r="CK60" s="411"/>
      <c r="CL60" s="411"/>
      <c r="CM60" s="411"/>
      <c r="CN60" s="411"/>
      <c r="CO60" s="411"/>
      <c r="CP60" s="411"/>
      <c r="CQ60" s="411"/>
      <c r="CR60" s="411"/>
      <c r="CS60" s="411"/>
      <c r="CT60" s="411"/>
      <c r="CU60" s="411"/>
      <c r="CV60" s="411"/>
      <c r="CW60" s="411"/>
      <c r="CX60" s="411"/>
      <c r="CY60" s="411"/>
      <c r="CZ60" s="411"/>
      <c r="DA60" s="411"/>
      <c r="DB60" s="411"/>
      <c r="DC60" s="411"/>
      <c r="DD60" s="411"/>
      <c r="DE60" s="411"/>
      <c r="DF60" s="411"/>
      <c r="DG60" s="411"/>
      <c r="DH60" s="411"/>
      <c r="DI60" s="411"/>
      <c r="DJ60" s="411"/>
      <c r="DK60" s="411"/>
      <c r="DL60" s="411"/>
      <c r="DM60" s="411"/>
      <c r="DN60" s="411"/>
      <c r="DO60" s="411"/>
      <c r="DP60" s="411"/>
      <c r="DQ60" s="411"/>
      <c r="DR60" s="411"/>
      <c r="DS60" s="411"/>
      <c r="DT60" s="411"/>
      <c r="DU60" s="411"/>
      <c r="DV60" s="411"/>
      <c r="DW60" s="411"/>
      <c r="DX60" s="411"/>
      <c r="DY60" s="411"/>
      <c r="DZ60" s="411"/>
      <c r="EA60" s="411"/>
      <c r="EB60" s="411"/>
      <c r="EC60" s="411"/>
      <c r="ED60" s="411"/>
      <c r="EE60" s="411"/>
      <c r="EF60" s="411"/>
      <c r="EG60" s="411"/>
      <c r="EH60" s="411"/>
      <c r="EI60" s="411"/>
      <c r="EJ60" s="411"/>
      <c r="EK60" s="411"/>
      <c r="EL60" s="411"/>
      <c r="EM60" s="411"/>
      <c r="EN60" s="411"/>
      <c r="EO60" s="411"/>
      <c r="EP60" s="411"/>
      <c r="EQ60" s="411"/>
      <c r="ER60" s="411"/>
      <c r="ES60" s="411"/>
      <c r="ET60" s="411"/>
      <c r="EU60" s="411"/>
      <c r="EV60" s="411"/>
      <c r="EW60" s="411"/>
      <c r="EX60" s="411"/>
      <c r="EY60" s="411"/>
      <c r="EZ60" s="411"/>
      <c r="FA60" s="411"/>
      <c r="FB60" s="411"/>
      <c r="FC60" s="411"/>
      <c r="FD60" s="411"/>
      <c r="FE60" s="411"/>
      <c r="FF60" s="411"/>
      <c r="FG60" s="411"/>
      <c r="FH60" s="411"/>
      <c r="FI60" s="411"/>
      <c r="FJ60" s="411"/>
      <c r="FK60" s="411"/>
      <c r="FL60" s="411"/>
      <c r="FM60" s="411"/>
      <c r="FN60" s="411"/>
      <c r="FO60" s="411"/>
      <c r="FP60" s="411"/>
      <c r="FQ60" s="411"/>
      <c r="FR60" s="411"/>
      <c r="FS60" s="411"/>
      <c r="FT60" s="411"/>
      <c r="FU60" s="411"/>
      <c r="FV60" s="411"/>
      <c r="FW60" s="411"/>
      <c r="FX60" s="411"/>
      <c r="FY60" s="411"/>
      <c r="FZ60" s="411"/>
      <c r="GA60" s="411"/>
      <c r="GB60" s="411"/>
      <c r="GC60" s="411"/>
      <c r="GD60" s="411"/>
      <c r="GE60" s="411"/>
      <c r="GF60" s="411"/>
      <c r="GG60" s="411"/>
      <c r="GH60" s="411"/>
      <c r="GI60" s="411"/>
      <c r="GJ60" s="411"/>
      <c r="GK60" s="411"/>
      <c r="GL60" s="411"/>
      <c r="GM60" s="411"/>
      <c r="GN60" s="411"/>
      <c r="GO60" s="411"/>
      <c r="GP60" s="411"/>
      <c r="GQ60" s="411"/>
      <c r="GR60" s="411"/>
      <c r="GS60" s="411"/>
      <c r="GT60" s="411"/>
      <c r="GU60" s="411"/>
      <c r="GV60" s="411"/>
      <c r="GW60" s="411"/>
      <c r="GX60" s="411"/>
      <c r="GY60" s="411"/>
      <c r="GZ60" s="411"/>
      <c r="HA60" s="411"/>
      <c r="HB60" s="411"/>
      <c r="HC60" s="411"/>
      <c r="HD60" s="411"/>
      <c r="HE60" s="411"/>
      <c r="HF60" s="411"/>
      <c r="HG60" s="411"/>
      <c r="HH60" s="411"/>
      <c r="HI60" s="411"/>
      <c r="HJ60" s="411"/>
      <c r="HK60" s="411"/>
      <c r="HL60" s="411"/>
      <c r="HM60" s="411"/>
      <c r="HN60" s="411"/>
      <c r="HO60" s="411"/>
      <c r="HP60" s="411"/>
      <c r="HQ60" s="411"/>
      <c r="HR60" s="411"/>
      <c r="HS60" s="411"/>
      <c r="HT60" s="411"/>
      <c r="HU60" s="411"/>
      <c r="HV60" s="411"/>
      <c r="HW60" s="411"/>
      <c r="HX60" s="411"/>
      <c r="HY60" s="411"/>
      <c r="HZ60" s="411"/>
      <c r="IA60" s="411"/>
      <c r="IB60" s="411"/>
      <c r="IC60" s="411"/>
      <c r="ID60" s="411"/>
      <c r="IE60" s="411"/>
      <c r="IF60" s="411"/>
      <c r="IG60" s="411"/>
      <c r="IH60" s="411"/>
      <c r="II60" s="411"/>
      <c r="IJ60" s="411"/>
      <c r="IK60" s="411"/>
      <c r="IL60" s="411"/>
      <c r="IM60" s="411"/>
      <c r="IN60" s="411"/>
      <c r="IO60" s="411"/>
      <c r="IP60" s="411"/>
      <c r="IQ60" s="411"/>
      <c r="IR60" s="411"/>
      <c r="IS60" s="411"/>
      <c r="IT60" s="411"/>
      <c r="IU60" s="411"/>
      <c r="IV60" s="411"/>
      <c r="IW60" s="411"/>
      <c r="IX60" s="411"/>
      <c r="IY60" s="411"/>
      <c r="IZ60" s="411"/>
      <c r="JA60" s="411"/>
      <c r="JB60" s="411"/>
      <c r="JC60" s="411"/>
    </row>
  </sheetData>
  <mergeCells count="9">
    <mergeCell ref="B2:N2"/>
    <mergeCell ref="B3:N3"/>
    <mergeCell ref="D6:E6"/>
    <mergeCell ref="G5:N5"/>
    <mergeCell ref="O5:T5"/>
    <mergeCell ref="C54:C56"/>
    <mergeCell ref="C44:C46"/>
    <mergeCell ref="B49:N49"/>
    <mergeCell ref="B50:N50"/>
  </mergeCells>
  <printOptions horizontalCentered="1"/>
  <pageMargins left="0.5" right="0" top="0.25" bottom="0" header="0.3" footer="0.3"/>
  <pageSetup paperSize="9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X994"/>
  <sheetViews>
    <sheetView topLeftCell="A13" zoomScale="70" zoomScaleNormal="70" workbookViewId="0">
      <selection activeCell="I6" sqref="I6"/>
    </sheetView>
  </sheetViews>
  <sheetFormatPr defaultColWidth="12.6640625" defaultRowHeight="15.75" customHeight="1"/>
  <cols>
    <col min="3" max="4" width="12.6640625" hidden="1" customWidth="1"/>
    <col min="5" max="5" width="26.109375" hidden="1" customWidth="1"/>
    <col min="6" max="8" width="12.6640625" hidden="1" customWidth="1"/>
    <col min="9" max="9" width="48.33203125" customWidth="1"/>
    <col min="10" max="10" width="0" hidden="1" customWidth="1"/>
    <col min="11" max="13" width="12.6640625" hidden="1" customWidth="1"/>
    <col min="14" max="14" width="16.21875" hidden="1" customWidth="1"/>
    <col min="15" max="18" width="12.6640625" hidden="1" customWidth="1"/>
    <col min="19" max="19" width="22.21875" hidden="1" customWidth="1"/>
    <col min="20" max="20" width="15.109375" hidden="1" customWidth="1"/>
    <col min="21" max="21" width="12.6640625" hidden="1" customWidth="1"/>
    <col min="22" max="22" width="14.77734375" hidden="1" customWidth="1"/>
    <col min="23" max="23" width="23.21875" customWidth="1"/>
    <col min="24" max="24" width="16.5546875" bestFit="1" customWidth="1"/>
  </cols>
  <sheetData>
    <row r="1" spans="2:24" ht="15.75" customHeight="1">
      <c r="G1" s="1"/>
    </row>
    <row r="2" spans="2:24" ht="15.75" customHeight="1">
      <c r="G2" s="1"/>
    </row>
    <row r="3" spans="2:24" ht="15.75" customHeight="1">
      <c r="B3" s="618"/>
      <c r="C3" s="618"/>
      <c r="D3" s="618"/>
      <c r="E3" s="618"/>
      <c r="F3" s="618"/>
      <c r="G3" s="618"/>
      <c r="H3" s="618"/>
      <c r="I3" s="618"/>
      <c r="J3" s="618"/>
      <c r="K3" s="626" t="s">
        <v>0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29"/>
    </row>
    <row r="4" spans="2:24" ht="15.75" customHeight="1">
      <c r="B4" s="618"/>
      <c r="C4" s="618"/>
      <c r="D4" s="618"/>
      <c r="E4" s="618"/>
      <c r="F4" s="618"/>
      <c r="G4" s="618"/>
      <c r="H4" s="618"/>
      <c r="I4" s="618"/>
      <c r="J4" s="618"/>
      <c r="K4" s="625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20"/>
    </row>
    <row r="5" spans="2:24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30" t="s">
        <v>1</v>
      </c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31"/>
      <c r="W5" s="632"/>
    </row>
    <row r="6" spans="2:24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20"/>
    </row>
    <row r="7" spans="2:24" ht="31.05" customHeight="1">
      <c r="B7" s="633" t="s">
        <v>2</v>
      </c>
      <c r="C7" s="619" t="s">
        <v>3</v>
      </c>
      <c r="D7" s="619" t="s">
        <v>4</v>
      </c>
      <c r="E7" s="619" t="s">
        <v>5</v>
      </c>
      <c r="F7" s="622" t="s">
        <v>6</v>
      </c>
      <c r="G7" s="636" t="s">
        <v>7</v>
      </c>
      <c r="H7" s="621" t="s">
        <v>8</v>
      </c>
      <c r="I7" s="621" t="s">
        <v>9</v>
      </c>
      <c r="J7" s="621" t="s">
        <v>10</v>
      </c>
      <c r="K7" s="621" t="s">
        <v>11</v>
      </c>
      <c r="L7" s="621" t="s">
        <v>12</v>
      </c>
      <c r="M7" s="622" t="s">
        <v>13</v>
      </c>
      <c r="N7" s="621" t="s">
        <v>14</v>
      </c>
      <c r="O7" s="621" t="s">
        <v>15</v>
      </c>
      <c r="P7" s="619" t="s">
        <v>16</v>
      </c>
      <c r="Q7" s="619" t="s">
        <v>17</v>
      </c>
      <c r="R7" s="623" t="s">
        <v>18</v>
      </c>
      <c r="S7" s="624" t="s">
        <v>19</v>
      </c>
      <c r="T7" s="625"/>
      <c r="U7" s="620"/>
      <c r="V7" s="635" t="s">
        <v>20</v>
      </c>
      <c r="W7" s="2" t="s">
        <v>21</v>
      </c>
    </row>
    <row r="8" spans="2:24" ht="15.45" customHeight="1">
      <c r="B8" s="634"/>
      <c r="C8" s="620"/>
      <c r="D8" s="620"/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0"/>
      <c r="P8" s="620"/>
      <c r="Q8" s="620"/>
      <c r="R8" s="620"/>
      <c r="S8" s="3" t="s">
        <v>22</v>
      </c>
      <c r="T8" s="3" t="s">
        <v>23</v>
      </c>
      <c r="U8" s="3" t="s">
        <v>24</v>
      </c>
      <c r="V8" s="620"/>
      <c r="W8" s="4" t="s">
        <v>25</v>
      </c>
    </row>
    <row r="9" spans="2:24" ht="15.4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7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28</v>
      </c>
      <c r="W9" s="8" t="s">
        <v>29</v>
      </c>
    </row>
    <row r="10" spans="2:24" ht="13.2">
      <c r="B10" s="9">
        <v>1</v>
      </c>
      <c r="C10" s="10">
        <v>2000019307</v>
      </c>
      <c r="D10" s="10">
        <v>3000019313</v>
      </c>
      <c r="E10" s="11" t="s">
        <v>30</v>
      </c>
      <c r="F10" s="12">
        <v>44928</v>
      </c>
      <c r="G10" s="13">
        <v>15651500</v>
      </c>
      <c r="H10" s="14" t="s">
        <v>31</v>
      </c>
      <c r="I10" s="11" t="s">
        <v>32</v>
      </c>
      <c r="J10" s="10" t="s">
        <v>33</v>
      </c>
      <c r="K10" s="10" t="s">
        <v>34</v>
      </c>
      <c r="L10" s="10" t="s">
        <v>35</v>
      </c>
      <c r="M10" s="12">
        <v>44928</v>
      </c>
      <c r="N10" s="14" t="s">
        <v>36</v>
      </c>
      <c r="O10" s="10" t="s">
        <v>37</v>
      </c>
      <c r="P10" s="10">
        <v>5300006059</v>
      </c>
      <c r="Q10" s="11" t="s">
        <v>38</v>
      </c>
      <c r="R10" s="15">
        <v>44929</v>
      </c>
      <c r="S10" s="11" t="s">
        <v>39</v>
      </c>
      <c r="T10" s="14" t="s">
        <v>40</v>
      </c>
      <c r="U10" s="16" t="s">
        <v>41</v>
      </c>
      <c r="V10" s="17">
        <v>15651500</v>
      </c>
      <c r="W10" s="18">
        <f>V10+(V10*11%)</f>
        <v>17373165</v>
      </c>
      <c r="X10" s="465" t="s">
        <v>925</v>
      </c>
    </row>
    <row r="11" spans="2:24" ht="13.2">
      <c r="B11" s="9">
        <v>2</v>
      </c>
      <c r="C11" s="10">
        <v>2000019308</v>
      </c>
      <c r="D11" s="10">
        <v>3000019314</v>
      </c>
      <c r="E11" s="11" t="s">
        <v>42</v>
      </c>
      <c r="F11" s="12">
        <v>44928</v>
      </c>
      <c r="G11" s="13">
        <v>15505000</v>
      </c>
      <c r="H11" s="14" t="s">
        <v>31</v>
      </c>
      <c r="I11" s="19" t="s">
        <v>43</v>
      </c>
      <c r="J11" s="10" t="s">
        <v>33</v>
      </c>
      <c r="K11" s="10" t="s">
        <v>34</v>
      </c>
      <c r="L11" s="10" t="s">
        <v>35</v>
      </c>
      <c r="M11" s="12">
        <v>44928</v>
      </c>
      <c r="N11" s="14" t="s">
        <v>36</v>
      </c>
      <c r="O11" s="10" t="s">
        <v>37</v>
      </c>
      <c r="P11" s="10">
        <v>5300006060</v>
      </c>
      <c r="Q11" s="11" t="s">
        <v>44</v>
      </c>
      <c r="R11" s="15">
        <v>44929</v>
      </c>
      <c r="S11" s="11" t="s">
        <v>39</v>
      </c>
      <c r="T11" s="14" t="s">
        <v>40</v>
      </c>
      <c r="U11" s="16" t="s">
        <v>41</v>
      </c>
      <c r="V11" s="17">
        <v>15505000</v>
      </c>
      <c r="W11" s="18">
        <f t="shared" ref="W11:W34" si="0">V11+(V11*11%)</f>
        <v>17210550</v>
      </c>
      <c r="X11" t="str">
        <f>X10</f>
        <v xml:space="preserve">DOLOSI </v>
      </c>
    </row>
    <row r="12" spans="2:24" ht="13.2">
      <c r="B12" s="9">
        <v>3</v>
      </c>
      <c r="C12" s="10">
        <v>2000019296</v>
      </c>
      <c r="D12" s="10">
        <v>3000019348</v>
      </c>
      <c r="E12" s="11" t="s">
        <v>45</v>
      </c>
      <c r="F12" s="12">
        <v>44935</v>
      </c>
      <c r="G12" s="13">
        <v>4819000</v>
      </c>
      <c r="H12" s="14" t="s">
        <v>31</v>
      </c>
      <c r="I12" s="11" t="s">
        <v>46</v>
      </c>
      <c r="J12" s="10" t="s">
        <v>33</v>
      </c>
      <c r="K12" s="10" t="s">
        <v>34</v>
      </c>
      <c r="L12" s="14" t="s">
        <v>47</v>
      </c>
      <c r="M12" s="12">
        <v>44935</v>
      </c>
      <c r="N12" s="14" t="s">
        <v>36</v>
      </c>
      <c r="O12" s="10" t="s">
        <v>37</v>
      </c>
      <c r="P12" s="10">
        <v>5300006078</v>
      </c>
      <c r="Q12" s="11" t="s">
        <v>48</v>
      </c>
      <c r="R12" s="15">
        <v>44936</v>
      </c>
      <c r="S12" s="11" t="s">
        <v>39</v>
      </c>
      <c r="T12" s="14" t="s">
        <v>40</v>
      </c>
      <c r="U12" s="16" t="s">
        <v>41</v>
      </c>
      <c r="V12" s="17">
        <v>4819000</v>
      </c>
      <c r="W12" s="18">
        <f t="shared" si="0"/>
        <v>5349090</v>
      </c>
      <c r="X12" s="465" t="s">
        <v>348</v>
      </c>
    </row>
    <row r="13" spans="2:24" ht="13.2">
      <c r="B13" s="9">
        <v>5</v>
      </c>
      <c r="C13" s="10">
        <v>2000019655</v>
      </c>
      <c r="D13" s="10">
        <v>3000019579</v>
      </c>
      <c r="E13" s="11" t="s">
        <v>49</v>
      </c>
      <c r="F13" s="12">
        <v>44935</v>
      </c>
      <c r="G13" s="13">
        <v>2300000</v>
      </c>
      <c r="H13" s="14" t="s">
        <v>31</v>
      </c>
      <c r="I13" s="20" t="s">
        <v>50</v>
      </c>
      <c r="J13" s="10" t="s">
        <v>33</v>
      </c>
      <c r="K13" s="10" t="s">
        <v>34</v>
      </c>
      <c r="L13" s="14" t="s">
        <v>47</v>
      </c>
      <c r="M13" s="12">
        <v>44935</v>
      </c>
      <c r="N13" s="14" t="s">
        <v>36</v>
      </c>
      <c r="O13" s="10" t="s">
        <v>37</v>
      </c>
      <c r="P13" s="10">
        <v>5300006209</v>
      </c>
      <c r="Q13" s="11" t="s">
        <v>51</v>
      </c>
      <c r="R13" s="15">
        <v>44936</v>
      </c>
      <c r="S13" s="11" t="s">
        <v>39</v>
      </c>
      <c r="T13" s="14" t="s">
        <v>40</v>
      </c>
      <c r="U13" s="16" t="s">
        <v>41</v>
      </c>
      <c r="V13" s="17">
        <v>2300000</v>
      </c>
      <c r="W13" s="18">
        <f t="shared" si="0"/>
        <v>2553000</v>
      </c>
      <c r="X13" s="465" t="s">
        <v>348</v>
      </c>
    </row>
    <row r="14" spans="2:24" ht="13.2">
      <c r="B14" s="9">
        <v>6</v>
      </c>
      <c r="C14" s="10">
        <v>2000019793</v>
      </c>
      <c r="D14" s="10">
        <v>3000197001</v>
      </c>
      <c r="E14" s="11" t="s">
        <v>52</v>
      </c>
      <c r="F14" s="12">
        <v>44942</v>
      </c>
      <c r="G14" s="13">
        <v>10900000</v>
      </c>
      <c r="H14" s="14" t="s">
        <v>31</v>
      </c>
      <c r="I14" s="11" t="s">
        <v>53</v>
      </c>
      <c r="J14" s="10" t="s">
        <v>33</v>
      </c>
      <c r="K14" s="10" t="s">
        <v>34</v>
      </c>
      <c r="L14" s="10" t="s">
        <v>35</v>
      </c>
      <c r="M14" s="12">
        <v>44942</v>
      </c>
      <c r="N14" s="14" t="s">
        <v>36</v>
      </c>
      <c r="O14" s="10" t="s">
        <v>37</v>
      </c>
      <c r="P14" s="10">
        <v>5300006265</v>
      </c>
      <c r="Q14" s="11" t="s">
        <v>54</v>
      </c>
      <c r="R14" s="15">
        <v>44943</v>
      </c>
      <c r="S14" s="11" t="s">
        <v>39</v>
      </c>
      <c r="T14" s="14" t="s">
        <v>40</v>
      </c>
      <c r="U14" s="16" t="s">
        <v>41</v>
      </c>
      <c r="V14" s="17">
        <v>10900000</v>
      </c>
      <c r="W14" s="18">
        <f t="shared" si="0"/>
        <v>12099000</v>
      </c>
      <c r="X14" s="465" t="s">
        <v>356</v>
      </c>
    </row>
    <row r="15" spans="2:24" ht="13.2">
      <c r="B15" s="9">
        <v>7</v>
      </c>
      <c r="C15" s="10">
        <v>2000019794</v>
      </c>
      <c r="D15" s="10">
        <v>3000019703</v>
      </c>
      <c r="E15" s="11" t="s">
        <v>55</v>
      </c>
      <c r="F15" s="12">
        <v>44936</v>
      </c>
      <c r="G15" s="13">
        <v>1800000</v>
      </c>
      <c r="H15" s="14" t="s">
        <v>31</v>
      </c>
      <c r="I15" s="11" t="s">
        <v>56</v>
      </c>
      <c r="J15" s="10" t="s">
        <v>33</v>
      </c>
      <c r="K15" s="10" t="s">
        <v>34</v>
      </c>
      <c r="L15" s="14" t="s">
        <v>47</v>
      </c>
      <c r="M15" s="12">
        <v>44936</v>
      </c>
      <c r="N15" s="14" t="s">
        <v>36</v>
      </c>
      <c r="O15" s="10" t="s">
        <v>37</v>
      </c>
      <c r="P15" s="10">
        <v>5300006267</v>
      </c>
      <c r="Q15" s="11" t="s">
        <v>57</v>
      </c>
      <c r="R15" s="15">
        <v>44947</v>
      </c>
      <c r="S15" s="11" t="s">
        <v>39</v>
      </c>
      <c r="T15" s="14" t="s">
        <v>40</v>
      </c>
      <c r="U15" s="16" t="s">
        <v>41</v>
      </c>
      <c r="V15" s="17">
        <v>1800000</v>
      </c>
      <c r="W15" s="18">
        <f t="shared" si="0"/>
        <v>1998000</v>
      </c>
      <c r="X15" s="465" t="s">
        <v>356</v>
      </c>
    </row>
    <row r="16" spans="2:24" ht="13.2">
      <c r="B16" s="9">
        <v>8</v>
      </c>
      <c r="C16" s="10">
        <v>2000020691</v>
      </c>
      <c r="D16" s="10">
        <v>3000020722</v>
      </c>
      <c r="E16" s="11" t="s">
        <v>58</v>
      </c>
      <c r="F16" s="12">
        <v>44942</v>
      </c>
      <c r="G16" s="13">
        <v>510439500</v>
      </c>
      <c r="H16" s="14" t="s">
        <v>31</v>
      </c>
      <c r="I16" s="19" t="s">
        <v>59</v>
      </c>
      <c r="J16" s="10" t="s">
        <v>60</v>
      </c>
      <c r="K16" s="14" t="s">
        <v>61</v>
      </c>
      <c r="L16" s="14" t="s">
        <v>47</v>
      </c>
      <c r="M16" s="12">
        <v>44946</v>
      </c>
      <c r="N16" s="14" t="s">
        <v>62</v>
      </c>
      <c r="O16" s="10" t="s">
        <v>37</v>
      </c>
      <c r="P16" s="10">
        <v>5200012194</v>
      </c>
      <c r="Q16" s="11" t="s">
        <v>63</v>
      </c>
      <c r="R16" s="15">
        <v>44958</v>
      </c>
      <c r="S16" s="11" t="s">
        <v>64</v>
      </c>
      <c r="T16" s="10" t="s">
        <v>65</v>
      </c>
      <c r="U16" s="16" t="s">
        <v>66</v>
      </c>
      <c r="V16" s="17">
        <v>449775000</v>
      </c>
      <c r="W16" s="18">
        <f t="shared" si="0"/>
        <v>499250250</v>
      </c>
      <c r="X16" s="465" t="s">
        <v>925</v>
      </c>
    </row>
    <row r="17" spans="2:24" ht="13.2">
      <c r="B17" s="9">
        <v>9</v>
      </c>
      <c r="C17" s="10">
        <v>2000020045</v>
      </c>
      <c r="D17" s="10">
        <v>3000019929</v>
      </c>
      <c r="E17" s="11" t="s">
        <v>67</v>
      </c>
      <c r="F17" s="12">
        <v>44956</v>
      </c>
      <c r="G17" s="13">
        <v>186800000</v>
      </c>
      <c r="H17" s="14" t="s">
        <v>31</v>
      </c>
      <c r="I17" s="19" t="s">
        <v>68</v>
      </c>
      <c r="J17" s="10" t="s">
        <v>69</v>
      </c>
      <c r="K17" s="14" t="s">
        <v>70</v>
      </c>
      <c r="L17" s="14" t="s">
        <v>71</v>
      </c>
      <c r="M17" s="12">
        <v>44956</v>
      </c>
      <c r="N17" s="14" t="s">
        <v>36</v>
      </c>
      <c r="O17" s="10" t="s">
        <v>37</v>
      </c>
      <c r="P17" s="10">
        <v>5300006406</v>
      </c>
      <c r="Q17" s="11" t="s">
        <v>72</v>
      </c>
      <c r="R17" s="15">
        <v>44957</v>
      </c>
      <c r="S17" s="11" t="s">
        <v>73</v>
      </c>
      <c r="T17" s="10" t="s">
        <v>74</v>
      </c>
      <c r="U17" s="11" t="s">
        <v>75</v>
      </c>
      <c r="V17" s="17">
        <v>186800000</v>
      </c>
      <c r="W17" s="18">
        <f t="shared" si="0"/>
        <v>207348000</v>
      </c>
      <c r="X17" s="465" t="s">
        <v>925</v>
      </c>
    </row>
    <row r="18" spans="2:24" ht="13.2">
      <c r="B18" s="9">
        <v>10</v>
      </c>
      <c r="C18" s="10">
        <v>2000020047</v>
      </c>
      <c r="D18" s="10">
        <v>3000020002</v>
      </c>
      <c r="E18" s="11" t="s">
        <v>76</v>
      </c>
      <c r="F18" s="12">
        <v>44942</v>
      </c>
      <c r="G18" s="13">
        <v>920000</v>
      </c>
      <c r="H18" s="14" t="s">
        <v>31</v>
      </c>
      <c r="I18" s="11" t="s">
        <v>77</v>
      </c>
      <c r="J18" s="10" t="s">
        <v>33</v>
      </c>
      <c r="K18" s="10" t="s">
        <v>34</v>
      </c>
      <c r="L18" s="10" t="s">
        <v>35</v>
      </c>
      <c r="M18" s="12">
        <v>44942</v>
      </c>
      <c r="N18" s="14" t="s">
        <v>36</v>
      </c>
      <c r="O18" s="10" t="s">
        <v>37</v>
      </c>
      <c r="P18" s="10">
        <v>5300006441</v>
      </c>
      <c r="Q18" s="11" t="s">
        <v>78</v>
      </c>
      <c r="R18" s="15">
        <v>44943</v>
      </c>
      <c r="S18" s="11" t="s">
        <v>39</v>
      </c>
      <c r="T18" s="14" t="s">
        <v>40</v>
      </c>
      <c r="U18" s="16" t="s">
        <v>41</v>
      </c>
      <c r="V18" s="17">
        <v>920000</v>
      </c>
      <c r="W18" s="18">
        <f t="shared" si="0"/>
        <v>1021200</v>
      </c>
      <c r="X18" s="465" t="s">
        <v>379</v>
      </c>
    </row>
    <row r="19" spans="2:24" ht="13.2">
      <c r="B19" s="9">
        <v>11</v>
      </c>
      <c r="C19" s="10">
        <v>2000020048</v>
      </c>
      <c r="D19" s="10">
        <v>3000020003</v>
      </c>
      <c r="E19" s="11" t="s">
        <v>79</v>
      </c>
      <c r="F19" s="12">
        <v>44942</v>
      </c>
      <c r="G19" s="13">
        <v>5000000</v>
      </c>
      <c r="H19" s="14" t="s">
        <v>31</v>
      </c>
      <c r="I19" s="19" t="s">
        <v>80</v>
      </c>
      <c r="J19" s="10" t="s">
        <v>33</v>
      </c>
      <c r="K19" s="10" t="s">
        <v>34</v>
      </c>
      <c r="L19" s="10" t="s">
        <v>35</v>
      </c>
      <c r="M19" s="12">
        <v>44942</v>
      </c>
      <c r="N19" s="14" t="s">
        <v>36</v>
      </c>
      <c r="O19" s="10" t="s">
        <v>37</v>
      </c>
      <c r="P19" s="10">
        <v>5300006442</v>
      </c>
      <c r="Q19" s="11" t="s">
        <v>81</v>
      </c>
      <c r="R19" s="15">
        <v>44943</v>
      </c>
      <c r="S19" s="11" t="s">
        <v>39</v>
      </c>
      <c r="T19" s="14" t="s">
        <v>40</v>
      </c>
      <c r="U19" s="16" t="s">
        <v>41</v>
      </c>
      <c r="V19" s="17">
        <v>5000000</v>
      </c>
      <c r="W19" s="18">
        <f t="shared" si="0"/>
        <v>5550000</v>
      </c>
      <c r="X19" s="465" t="s">
        <v>925</v>
      </c>
    </row>
    <row r="20" spans="2:24" ht="13.2">
      <c r="B20" s="9">
        <v>12</v>
      </c>
      <c r="C20" s="10">
        <v>2000020049</v>
      </c>
      <c r="D20" s="10">
        <v>3000020004</v>
      </c>
      <c r="E20" s="11" t="s">
        <v>82</v>
      </c>
      <c r="F20" s="12">
        <v>44942</v>
      </c>
      <c r="G20" s="13">
        <v>2100000</v>
      </c>
      <c r="H20" s="14" t="s">
        <v>31</v>
      </c>
      <c r="I20" s="11" t="s">
        <v>83</v>
      </c>
      <c r="J20" s="10" t="s">
        <v>33</v>
      </c>
      <c r="K20" s="10" t="s">
        <v>34</v>
      </c>
      <c r="L20" s="10" t="s">
        <v>35</v>
      </c>
      <c r="M20" s="12">
        <v>44942</v>
      </c>
      <c r="N20" s="14" t="s">
        <v>36</v>
      </c>
      <c r="O20" s="10" t="s">
        <v>37</v>
      </c>
      <c r="P20" s="10">
        <v>5300006443</v>
      </c>
      <c r="Q20" s="11" t="s">
        <v>84</v>
      </c>
      <c r="R20" s="15">
        <v>44943</v>
      </c>
      <c r="S20" s="11" t="s">
        <v>39</v>
      </c>
      <c r="T20" s="14" t="s">
        <v>40</v>
      </c>
      <c r="U20" s="16" t="s">
        <v>41</v>
      </c>
      <c r="V20" s="17">
        <v>2100000</v>
      </c>
      <c r="W20" s="18">
        <f t="shared" si="0"/>
        <v>2331000</v>
      </c>
      <c r="X20" s="465" t="s">
        <v>379</v>
      </c>
    </row>
    <row r="21" spans="2:24" ht="13.2">
      <c r="B21" s="9">
        <v>13</v>
      </c>
      <c r="C21" s="10">
        <v>2000020120</v>
      </c>
      <c r="D21" s="10">
        <v>3000020008</v>
      </c>
      <c r="E21" s="11" t="s">
        <v>85</v>
      </c>
      <c r="F21" s="12">
        <v>44942</v>
      </c>
      <c r="G21" s="13">
        <v>5000000</v>
      </c>
      <c r="H21" s="14" t="s">
        <v>31</v>
      </c>
      <c r="I21" s="11" t="s">
        <v>86</v>
      </c>
      <c r="J21" s="10" t="s">
        <v>33</v>
      </c>
      <c r="K21" s="10" t="s">
        <v>34</v>
      </c>
      <c r="L21" s="10" t="s">
        <v>35</v>
      </c>
      <c r="M21" s="12">
        <v>44942</v>
      </c>
      <c r="N21" s="14" t="s">
        <v>36</v>
      </c>
      <c r="O21" s="10" t="s">
        <v>37</v>
      </c>
      <c r="P21" s="10">
        <v>5300006445</v>
      </c>
      <c r="Q21" s="11" t="s">
        <v>87</v>
      </c>
      <c r="R21" s="15">
        <v>44943</v>
      </c>
      <c r="S21" s="11" t="s">
        <v>39</v>
      </c>
      <c r="T21" s="14" t="s">
        <v>40</v>
      </c>
      <c r="U21" s="16" t="s">
        <v>41</v>
      </c>
      <c r="V21" s="17">
        <v>5000000</v>
      </c>
      <c r="W21" s="18">
        <f t="shared" si="0"/>
        <v>5550000</v>
      </c>
      <c r="X21" s="465" t="s">
        <v>374</v>
      </c>
    </row>
    <row r="22" spans="2:24" ht="13.2">
      <c r="B22" s="9">
        <v>14</v>
      </c>
      <c r="C22" s="10">
        <v>2000020121</v>
      </c>
      <c r="D22" s="10">
        <v>3000020010</v>
      </c>
      <c r="E22" s="11" t="s">
        <v>88</v>
      </c>
      <c r="F22" s="12">
        <v>44932</v>
      </c>
      <c r="G22" s="13">
        <v>32200000</v>
      </c>
      <c r="H22" s="14" t="s">
        <v>31</v>
      </c>
      <c r="I22" s="11" t="s">
        <v>89</v>
      </c>
      <c r="J22" s="10" t="s">
        <v>33</v>
      </c>
      <c r="K22" s="10" t="s">
        <v>34</v>
      </c>
      <c r="L22" s="10" t="s">
        <v>35</v>
      </c>
      <c r="M22" s="12">
        <v>44932</v>
      </c>
      <c r="N22" s="14" t="s">
        <v>36</v>
      </c>
      <c r="O22" s="10" t="s">
        <v>37</v>
      </c>
      <c r="P22" s="10">
        <v>5300006447</v>
      </c>
      <c r="Q22" s="11" t="s">
        <v>90</v>
      </c>
      <c r="R22" s="21">
        <v>44933</v>
      </c>
      <c r="S22" s="11" t="s">
        <v>39</v>
      </c>
      <c r="T22" s="14" t="s">
        <v>40</v>
      </c>
      <c r="U22" s="16" t="s">
        <v>41</v>
      </c>
      <c r="V22" s="17">
        <v>32200000</v>
      </c>
      <c r="W22" s="18">
        <f t="shared" si="0"/>
        <v>35742000</v>
      </c>
      <c r="X22" s="465" t="s">
        <v>374</v>
      </c>
    </row>
    <row r="23" spans="2:24" ht="13.2">
      <c r="B23" s="9">
        <v>15</v>
      </c>
      <c r="C23" s="10">
        <v>2000020122</v>
      </c>
      <c r="D23" s="10">
        <v>3000020011</v>
      </c>
      <c r="E23" s="11" t="s">
        <v>91</v>
      </c>
      <c r="F23" s="12">
        <v>44952</v>
      </c>
      <c r="G23" s="13">
        <v>8100000</v>
      </c>
      <c r="H23" s="14" t="s">
        <v>31</v>
      </c>
      <c r="I23" s="11" t="s">
        <v>92</v>
      </c>
      <c r="J23" s="10" t="s">
        <v>33</v>
      </c>
      <c r="K23" s="10" t="s">
        <v>34</v>
      </c>
      <c r="L23" s="10" t="s">
        <v>35</v>
      </c>
      <c r="M23" s="12">
        <v>44952</v>
      </c>
      <c r="N23" s="14" t="s">
        <v>36</v>
      </c>
      <c r="O23" s="10" t="s">
        <v>37</v>
      </c>
      <c r="P23" s="10">
        <v>5300006448</v>
      </c>
      <c r="Q23" s="11" t="s">
        <v>93</v>
      </c>
      <c r="R23" s="21">
        <v>44953</v>
      </c>
      <c r="S23" s="11" t="s">
        <v>39</v>
      </c>
      <c r="T23" s="14" t="s">
        <v>40</v>
      </c>
      <c r="U23" s="16" t="s">
        <v>41</v>
      </c>
      <c r="V23" s="17">
        <v>8100000</v>
      </c>
      <c r="W23" s="18">
        <f t="shared" si="0"/>
        <v>8991000</v>
      </c>
      <c r="X23" s="465" t="s">
        <v>367</v>
      </c>
    </row>
    <row r="24" spans="2:24" ht="13.2">
      <c r="B24" s="9">
        <v>17</v>
      </c>
      <c r="C24" s="10">
        <v>2000020420</v>
      </c>
      <c r="D24" s="10">
        <v>3000020314</v>
      </c>
      <c r="E24" s="11" t="s">
        <v>95</v>
      </c>
      <c r="F24" s="12">
        <v>44928</v>
      </c>
      <c r="G24" s="13">
        <v>13735000</v>
      </c>
      <c r="H24" s="14" t="s">
        <v>31</v>
      </c>
      <c r="I24" s="11" t="s">
        <v>32</v>
      </c>
      <c r="J24" s="10" t="s">
        <v>33</v>
      </c>
      <c r="K24" s="22" t="s">
        <v>34</v>
      </c>
      <c r="L24" s="22" t="s">
        <v>35</v>
      </c>
      <c r="M24" s="12">
        <v>44928</v>
      </c>
      <c r="N24" s="14" t="s">
        <v>36</v>
      </c>
      <c r="O24" s="10" t="s">
        <v>37</v>
      </c>
      <c r="P24" s="10">
        <v>5300006590</v>
      </c>
      <c r="Q24" s="11" t="s">
        <v>96</v>
      </c>
      <c r="R24" s="21">
        <v>44929</v>
      </c>
      <c r="S24" s="11" t="s">
        <v>39</v>
      </c>
      <c r="T24" s="14" t="s">
        <v>40</v>
      </c>
      <c r="U24" s="16" t="s">
        <v>41</v>
      </c>
      <c r="V24" s="17">
        <v>13735000</v>
      </c>
      <c r="W24" s="18">
        <f t="shared" si="0"/>
        <v>15245850</v>
      </c>
      <c r="X24" s="465" t="s">
        <v>356</v>
      </c>
    </row>
    <row r="25" spans="2:24" ht="13.2">
      <c r="B25" s="9">
        <v>18</v>
      </c>
      <c r="C25" s="10">
        <v>2000020421</v>
      </c>
      <c r="D25" s="10">
        <v>3000050315</v>
      </c>
      <c r="E25" s="11" t="s">
        <v>97</v>
      </c>
      <c r="F25" s="12">
        <v>44928</v>
      </c>
      <c r="G25" s="13">
        <v>14191000</v>
      </c>
      <c r="H25" s="14" t="s">
        <v>31</v>
      </c>
      <c r="I25" s="11" t="s">
        <v>43</v>
      </c>
      <c r="J25" s="10" t="s">
        <v>33</v>
      </c>
      <c r="K25" s="22" t="s">
        <v>34</v>
      </c>
      <c r="L25" s="22" t="s">
        <v>35</v>
      </c>
      <c r="M25" s="12">
        <v>44928</v>
      </c>
      <c r="N25" s="14" t="s">
        <v>36</v>
      </c>
      <c r="O25" s="10" t="s">
        <v>37</v>
      </c>
      <c r="P25" s="10">
        <v>5300006591</v>
      </c>
      <c r="Q25" s="11" t="s">
        <v>98</v>
      </c>
      <c r="R25" s="21">
        <v>44929</v>
      </c>
      <c r="S25" s="11" t="s">
        <v>39</v>
      </c>
      <c r="T25" s="14" t="s">
        <v>40</v>
      </c>
      <c r="U25" s="16" t="s">
        <v>41</v>
      </c>
      <c r="V25" s="17">
        <v>14191000</v>
      </c>
      <c r="W25" s="18">
        <f t="shared" si="0"/>
        <v>15752010</v>
      </c>
      <c r="X25" s="465" t="s">
        <v>356</v>
      </c>
    </row>
    <row r="26" spans="2:24" ht="13.2">
      <c r="B26" s="9">
        <v>19</v>
      </c>
      <c r="C26" s="10">
        <v>2000020406</v>
      </c>
      <c r="D26" s="10">
        <v>3000020341</v>
      </c>
      <c r="E26" s="11" t="s">
        <v>99</v>
      </c>
      <c r="F26" s="12">
        <v>44931</v>
      </c>
      <c r="G26" s="13">
        <v>81612000</v>
      </c>
      <c r="H26" s="14" t="s">
        <v>31</v>
      </c>
      <c r="I26" s="11" t="s">
        <v>100</v>
      </c>
      <c r="J26" s="10" t="s">
        <v>33</v>
      </c>
      <c r="K26" s="22" t="s">
        <v>34</v>
      </c>
      <c r="L26" s="22" t="s">
        <v>101</v>
      </c>
      <c r="M26" s="12">
        <v>44931</v>
      </c>
      <c r="N26" s="14" t="s">
        <v>36</v>
      </c>
      <c r="O26" s="10" t="s">
        <v>37</v>
      </c>
      <c r="P26" s="10">
        <v>5300006600</v>
      </c>
      <c r="Q26" s="11" t="s">
        <v>102</v>
      </c>
      <c r="R26" s="21">
        <v>44932</v>
      </c>
      <c r="S26" s="11" t="s">
        <v>103</v>
      </c>
      <c r="T26" s="10" t="s">
        <v>104</v>
      </c>
      <c r="U26" s="11" t="s">
        <v>105</v>
      </c>
      <c r="V26" s="17">
        <v>81612000</v>
      </c>
      <c r="W26" s="18">
        <f t="shared" si="0"/>
        <v>90589320</v>
      </c>
      <c r="X26" s="466">
        <f>W26/6</f>
        <v>15098220</v>
      </c>
    </row>
    <row r="27" spans="2:24" ht="13.2">
      <c r="B27" s="9">
        <v>22</v>
      </c>
      <c r="C27" s="10">
        <v>2000020861</v>
      </c>
      <c r="D27" s="10">
        <v>3000020763</v>
      </c>
      <c r="E27" s="11" t="s">
        <v>114</v>
      </c>
      <c r="F27" s="12">
        <v>44950</v>
      </c>
      <c r="G27" s="13">
        <v>3500000</v>
      </c>
      <c r="H27" s="14" t="s">
        <v>31</v>
      </c>
      <c r="I27" s="11" t="s">
        <v>115</v>
      </c>
      <c r="J27" s="10" t="s">
        <v>33</v>
      </c>
      <c r="K27" s="22" t="s">
        <v>34</v>
      </c>
      <c r="L27" s="22" t="s">
        <v>35</v>
      </c>
      <c r="M27" s="12">
        <v>44950</v>
      </c>
      <c r="N27" s="14" t="s">
        <v>36</v>
      </c>
      <c r="O27" s="10" t="s">
        <v>37</v>
      </c>
      <c r="P27" s="10">
        <v>5300006863</v>
      </c>
      <c r="Q27" s="11" t="s">
        <v>116</v>
      </c>
      <c r="R27" s="21">
        <v>44951</v>
      </c>
      <c r="S27" s="11" t="s">
        <v>112</v>
      </c>
      <c r="T27" s="10" t="s">
        <v>113</v>
      </c>
      <c r="U27" s="11" t="s">
        <v>117</v>
      </c>
      <c r="V27" s="17">
        <v>3500000</v>
      </c>
      <c r="W27" s="18">
        <f t="shared" si="0"/>
        <v>3885000</v>
      </c>
      <c r="X27" s="465" t="s">
        <v>379</v>
      </c>
    </row>
    <row r="28" spans="2:24" ht="13.2">
      <c r="B28" s="9">
        <v>23</v>
      </c>
      <c r="C28" s="10">
        <v>2000020860</v>
      </c>
      <c r="D28" s="10">
        <v>3000020764</v>
      </c>
      <c r="E28" s="11" t="s">
        <v>118</v>
      </c>
      <c r="F28" s="12">
        <v>44950</v>
      </c>
      <c r="G28" s="13">
        <v>3500000</v>
      </c>
      <c r="H28" s="14" t="s">
        <v>31</v>
      </c>
      <c r="I28" s="11" t="s">
        <v>115</v>
      </c>
      <c r="J28" s="10" t="s">
        <v>33</v>
      </c>
      <c r="K28" s="22" t="s">
        <v>34</v>
      </c>
      <c r="L28" s="22" t="s">
        <v>35</v>
      </c>
      <c r="M28" s="12">
        <v>44950</v>
      </c>
      <c r="N28" s="14" t="s">
        <v>36</v>
      </c>
      <c r="O28" s="10" t="s">
        <v>37</v>
      </c>
      <c r="P28" s="10">
        <v>5300006864</v>
      </c>
      <c r="Q28" s="11" t="s">
        <v>119</v>
      </c>
      <c r="R28" s="21">
        <v>44951</v>
      </c>
      <c r="S28" s="11" t="s">
        <v>112</v>
      </c>
      <c r="T28" s="10" t="s">
        <v>113</v>
      </c>
      <c r="U28" s="11" t="s">
        <v>120</v>
      </c>
      <c r="V28" s="17">
        <v>3500000</v>
      </c>
      <c r="W28" s="18">
        <f t="shared" si="0"/>
        <v>3885000</v>
      </c>
      <c r="X28" s="465" t="s">
        <v>379</v>
      </c>
    </row>
    <row r="29" spans="2:24" ht="13.2">
      <c r="B29" s="9">
        <v>24</v>
      </c>
      <c r="C29" s="10">
        <v>2000020756</v>
      </c>
      <c r="D29" s="10">
        <v>3000020759</v>
      </c>
      <c r="E29" s="11" t="s">
        <v>121</v>
      </c>
      <c r="F29" s="12">
        <v>44942</v>
      </c>
      <c r="G29" s="13">
        <v>10455000</v>
      </c>
      <c r="H29" s="14" t="s">
        <v>31</v>
      </c>
      <c r="I29" s="19" t="s">
        <v>122</v>
      </c>
      <c r="J29" s="10" t="s">
        <v>33</v>
      </c>
      <c r="K29" s="22" t="s">
        <v>34</v>
      </c>
      <c r="L29" s="22" t="s">
        <v>35</v>
      </c>
      <c r="M29" s="12">
        <v>44942</v>
      </c>
      <c r="N29" s="14" t="s">
        <v>36</v>
      </c>
      <c r="O29" s="10" t="s">
        <v>37</v>
      </c>
      <c r="P29" s="10">
        <v>5300006859</v>
      </c>
      <c r="Q29" s="11" t="s">
        <v>123</v>
      </c>
      <c r="R29" s="21">
        <v>44943</v>
      </c>
      <c r="S29" s="11" t="s">
        <v>112</v>
      </c>
      <c r="T29" s="10" t="s">
        <v>113</v>
      </c>
      <c r="U29" s="11" t="s">
        <v>124</v>
      </c>
      <c r="V29" s="17">
        <v>10455000</v>
      </c>
      <c r="W29" s="18">
        <f t="shared" si="0"/>
        <v>11605050</v>
      </c>
      <c r="X29" s="465" t="s">
        <v>925</v>
      </c>
    </row>
    <row r="30" spans="2:24" ht="13.2">
      <c r="B30" s="9">
        <v>25</v>
      </c>
      <c r="C30" s="10">
        <v>2000020757</v>
      </c>
      <c r="D30" s="10">
        <v>3000020761</v>
      </c>
      <c r="E30" s="11" t="s">
        <v>125</v>
      </c>
      <c r="F30" s="12">
        <v>44942</v>
      </c>
      <c r="G30" s="13">
        <v>18538000</v>
      </c>
      <c r="H30" s="14" t="s">
        <v>31</v>
      </c>
      <c r="I30" s="19" t="s">
        <v>126</v>
      </c>
      <c r="J30" s="10" t="s">
        <v>33</v>
      </c>
      <c r="K30" s="22" t="s">
        <v>34</v>
      </c>
      <c r="L30" s="22" t="s">
        <v>35</v>
      </c>
      <c r="M30" s="12">
        <v>44942</v>
      </c>
      <c r="N30" s="14" t="s">
        <v>36</v>
      </c>
      <c r="O30" s="10" t="s">
        <v>37</v>
      </c>
      <c r="P30" s="10">
        <v>5300006860</v>
      </c>
      <c r="Q30" s="11" t="s">
        <v>127</v>
      </c>
      <c r="R30" s="21">
        <v>44943</v>
      </c>
      <c r="S30" s="11" t="s">
        <v>112</v>
      </c>
      <c r="T30" s="10" t="s">
        <v>113</v>
      </c>
      <c r="U30" s="11" t="s">
        <v>128</v>
      </c>
      <c r="V30" s="17">
        <v>18538000</v>
      </c>
      <c r="W30" s="18">
        <f t="shared" si="0"/>
        <v>20577180</v>
      </c>
      <c r="X30" s="465" t="s">
        <v>925</v>
      </c>
    </row>
    <row r="31" spans="2:24" ht="13.2">
      <c r="B31" s="9">
        <v>26</v>
      </c>
      <c r="C31" s="10">
        <v>2000021553</v>
      </c>
      <c r="D31" s="10">
        <v>3000021400</v>
      </c>
      <c r="E31" s="11" t="s">
        <v>129</v>
      </c>
      <c r="F31" s="12">
        <v>44946</v>
      </c>
      <c r="G31" s="13">
        <v>71400000</v>
      </c>
      <c r="H31" s="14" t="s">
        <v>31</v>
      </c>
      <c r="I31" s="19" t="s">
        <v>130</v>
      </c>
      <c r="J31" s="10" t="s">
        <v>33</v>
      </c>
      <c r="K31" s="22" t="s">
        <v>34</v>
      </c>
      <c r="L31" s="22" t="s">
        <v>35</v>
      </c>
      <c r="M31" s="12">
        <v>44946</v>
      </c>
      <c r="N31" s="14" t="s">
        <v>36</v>
      </c>
      <c r="O31" s="10" t="s">
        <v>37</v>
      </c>
      <c r="P31" s="10">
        <v>5300007237</v>
      </c>
      <c r="Q31" s="11" t="s">
        <v>131</v>
      </c>
      <c r="R31" s="21">
        <v>44947</v>
      </c>
      <c r="S31" s="11" t="s">
        <v>132</v>
      </c>
      <c r="T31" s="10" t="s">
        <v>133</v>
      </c>
      <c r="U31" s="11" t="s">
        <v>134</v>
      </c>
      <c r="V31" s="17">
        <v>71400000</v>
      </c>
      <c r="W31" s="18">
        <f t="shared" si="0"/>
        <v>79254000</v>
      </c>
      <c r="X31" s="465" t="s">
        <v>925</v>
      </c>
    </row>
    <row r="32" spans="2:24" ht="13.2">
      <c r="B32" s="9">
        <v>27</v>
      </c>
      <c r="C32" s="10">
        <v>2000021554</v>
      </c>
      <c r="D32" s="10">
        <v>3000021401</v>
      </c>
      <c r="E32" s="11" t="s">
        <v>99</v>
      </c>
      <c r="F32" s="12">
        <v>44946</v>
      </c>
      <c r="G32" s="13">
        <v>40920000</v>
      </c>
      <c r="H32" s="14" t="s">
        <v>31</v>
      </c>
      <c r="I32" s="19" t="s">
        <v>135</v>
      </c>
      <c r="J32" s="10" t="s">
        <v>33</v>
      </c>
      <c r="K32" s="22" t="s">
        <v>34</v>
      </c>
      <c r="L32" s="10" t="s">
        <v>35</v>
      </c>
      <c r="M32" s="12">
        <v>44946</v>
      </c>
      <c r="N32" s="14" t="s">
        <v>36</v>
      </c>
      <c r="O32" s="10" t="s">
        <v>37</v>
      </c>
      <c r="P32" s="10">
        <v>5300007238</v>
      </c>
      <c r="Q32" s="11" t="s">
        <v>136</v>
      </c>
      <c r="R32" s="23">
        <v>44947</v>
      </c>
      <c r="S32" s="11" t="s">
        <v>132</v>
      </c>
      <c r="T32" s="10" t="s">
        <v>133</v>
      </c>
      <c r="U32" s="11" t="s">
        <v>134</v>
      </c>
      <c r="V32" s="17">
        <v>40920000</v>
      </c>
      <c r="W32" s="18">
        <f t="shared" si="0"/>
        <v>45421200</v>
      </c>
      <c r="X32" s="465" t="s">
        <v>925</v>
      </c>
    </row>
    <row r="33" spans="2:24" ht="13.2">
      <c r="B33" s="9">
        <v>28</v>
      </c>
      <c r="C33" s="10">
        <v>2000021555</v>
      </c>
      <c r="D33" s="10">
        <v>3000021403</v>
      </c>
      <c r="E33" s="11" t="s">
        <v>137</v>
      </c>
      <c r="F33" s="12">
        <v>44950</v>
      </c>
      <c r="G33" s="13">
        <v>13260000</v>
      </c>
      <c r="H33" s="14" t="s">
        <v>31</v>
      </c>
      <c r="I33" s="19" t="s">
        <v>138</v>
      </c>
      <c r="J33" s="10" t="s">
        <v>33</v>
      </c>
      <c r="K33" s="22" t="s">
        <v>34</v>
      </c>
      <c r="L33" s="10" t="s">
        <v>35</v>
      </c>
      <c r="M33" s="12">
        <v>44950</v>
      </c>
      <c r="N33" s="14" t="s">
        <v>36</v>
      </c>
      <c r="O33" s="10" t="s">
        <v>37</v>
      </c>
      <c r="P33" s="10">
        <v>5300007239</v>
      </c>
      <c r="Q33" s="11" t="s">
        <v>139</v>
      </c>
      <c r="R33" s="23">
        <v>44951</v>
      </c>
      <c r="S33" s="11" t="s">
        <v>132</v>
      </c>
      <c r="T33" s="10" t="s">
        <v>133</v>
      </c>
      <c r="U33" s="11" t="s">
        <v>134</v>
      </c>
      <c r="V33" s="17">
        <v>13260000</v>
      </c>
      <c r="W33" s="18">
        <f t="shared" si="0"/>
        <v>14718600</v>
      </c>
      <c r="X33" s="465" t="s">
        <v>925</v>
      </c>
    </row>
    <row r="34" spans="2:24" ht="13.2">
      <c r="B34" s="9">
        <v>29</v>
      </c>
      <c r="C34" s="10">
        <v>2000021508</v>
      </c>
      <c r="D34" s="10">
        <v>3000021409</v>
      </c>
      <c r="E34" s="11" t="s">
        <v>140</v>
      </c>
      <c r="F34" s="12">
        <v>44951</v>
      </c>
      <c r="G34" s="13">
        <v>55225000</v>
      </c>
      <c r="H34" s="14" t="s">
        <v>31</v>
      </c>
      <c r="I34" s="19" t="s">
        <v>141</v>
      </c>
      <c r="J34" s="10" t="s">
        <v>33</v>
      </c>
      <c r="K34" s="22" t="s">
        <v>34</v>
      </c>
      <c r="L34" s="10" t="s">
        <v>108</v>
      </c>
      <c r="M34" s="12">
        <v>44951</v>
      </c>
      <c r="N34" s="14" t="s">
        <v>36</v>
      </c>
      <c r="O34" s="10" t="s">
        <v>37</v>
      </c>
      <c r="P34" s="10">
        <v>5300007244</v>
      </c>
      <c r="Q34" s="11" t="s">
        <v>142</v>
      </c>
      <c r="R34" s="23">
        <v>44952</v>
      </c>
      <c r="S34" s="11" t="s">
        <v>143</v>
      </c>
      <c r="T34" s="10" t="s">
        <v>144</v>
      </c>
      <c r="U34" s="11" t="s">
        <v>145</v>
      </c>
      <c r="V34" s="17">
        <v>55225000</v>
      </c>
      <c r="W34" s="18">
        <f t="shared" si="0"/>
        <v>61299750</v>
      </c>
      <c r="X34" s="465" t="s">
        <v>925</v>
      </c>
    </row>
    <row r="35" spans="2:24" ht="13.2"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  <c r="Q35" s="618"/>
      <c r="R35" s="618"/>
      <c r="S35" s="618"/>
      <c r="T35" s="618"/>
      <c r="V35" s="29">
        <f>SUM(V10:V34)</f>
        <v>1067206500</v>
      </c>
      <c r="W35" s="30">
        <f>SUM(W10:W34)</f>
        <v>1184599215</v>
      </c>
    </row>
    <row r="36" spans="2:24" ht="13.2"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V36" s="31" t="s">
        <v>151</v>
      </c>
      <c r="W36" s="32">
        <v>5.0099999999999999E-2</v>
      </c>
    </row>
    <row r="37" spans="2:24" ht="15.75" customHeight="1"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</row>
    <row r="38" spans="2:24" ht="13.2"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7" t="s">
        <v>152</v>
      </c>
      <c r="V38" s="618"/>
      <c r="W38" s="618"/>
    </row>
    <row r="39" spans="2:24" ht="13.2"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7" t="s">
        <v>153</v>
      </c>
      <c r="V39" s="618"/>
      <c r="W39" s="618"/>
    </row>
    <row r="40" spans="2:24" ht="13.2"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7" t="s">
        <v>154</v>
      </c>
      <c r="V40" s="618"/>
      <c r="W40" s="618"/>
    </row>
    <row r="41" spans="2:24" ht="13.2"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7"/>
      <c r="V41" s="618"/>
      <c r="W41" s="618"/>
    </row>
    <row r="42" spans="2:24" ht="15.75" customHeight="1"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</row>
    <row r="43" spans="2:24" ht="15.75" customHeight="1"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</row>
    <row r="44" spans="2:24" ht="15.75" customHeight="1"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</row>
    <row r="45" spans="2:24" ht="13.2"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7" t="s">
        <v>155</v>
      </c>
      <c r="V45" s="618"/>
      <c r="W45" s="618"/>
    </row>
    <row r="46" spans="2:24" ht="13.2">
      <c r="G46" s="1"/>
    </row>
    <row r="47" spans="2:24" ht="13.2">
      <c r="G47" s="1"/>
    </row>
    <row r="48" spans="2:24" ht="13.2">
      <c r="G48" s="1"/>
    </row>
    <row r="49" spans="7:7" ht="13.2">
      <c r="G49" s="1"/>
    </row>
    <row r="50" spans="7:7" ht="13.2">
      <c r="G50" s="1"/>
    </row>
    <row r="51" spans="7:7" ht="13.2">
      <c r="G51" s="1"/>
    </row>
    <row r="52" spans="7:7" ht="13.2">
      <c r="G52" s="1"/>
    </row>
    <row r="53" spans="7:7" ht="13.2">
      <c r="G53" s="1"/>
    </row>
    <row r="54" spans="7:7" ht="13.2">
      <c r="G54" s="1"/>
    </row>
    <row r="55" spans="7:7" ht="13.2">
      <c r="G55" s="1"/>
    </row>
    <row r="56" spans="7:7" ht="13.2">
      <c r="G56" s="1"/>
    </row>
    <row r="57" spans="7:7" ht="13.2">
      <c r="G57" s="1"/>
    </row>
    <row r="58" spans="7:7" ht="13.2">
      <c r="G58" s="1"/>
    </row>
    <row r="59" spans="7:7" ht="13.2">
      <c r="G59" s="1"/>
    </row>
    <row r="60" spans="7:7" ht="13.2">
      <c r="G60" s="1"/>
    </row>
    <row r="61" spans="7:7" ht="13.2">
      <c r="G61" s="1"/>
    </row>
    <row r="62" spans="7:7" ht="13.2">
      <c r="G62" s="1"/>
    </row>
    <row r="63" spans="7:7" ht="13.2">
      <c r="G63" s="1"/>
    </row>
    <row r="64" spans="7:7" ht="13.2">
      <c r="G64" s="1"/>
    </row>
    <row r="65" spans="7:7" ht="13.2">
      <c r="G65" s="1"/>
    </row>
    <row r="66" spans="7:7" ht="13.2">
      <c r="G66" s="1"/>
    </row>
    <row r="67" spans="7:7" ht="13.2">
      <c r="G67" s="1"/>
    </row>
    <row r="68" spans="7:7" ht="13.2">
      <c r="G68" s="1"/>
    </row>
    <row r="69" spans="7:7" ht="13.2">
      <c r="G69" s="1"/>
    </row>
    <row r="70" spans="7:7" ht="13.2">
      <c r="G70" s="1"/>
    </row>
    <row r="71" spans="7:7" ht="13.2">
      <c r="G71" s="1"/>
    </row>
    <row r="72" spans="7:7" ht="13.2">
      <c r="G72" s="1"/>
    </row>
    <row r="73" spans="7:7" ht="13.2">
      <c r="G73" s="1"/>
    </row>
    <row r="74" spans="7:7" ht="13.2">
      <c r="G74" s="1"/>
    </row>
    <row r="75" spans="7:7" ht="13.2">
      <c r="G75" s="1"/>
    </row>
    <row r="76" spans="7:7" ht="13.2">
      <c r="G76" s="1"/>
    </row>
    <row r="77" spans="7:7" ht="13.2">
      <c r="G77" s="1"/>
    </row>
    <row r="78" spans="7:7" ht="13.2">
      <c r="G78" s="1"/>
    </row>
    <row r="79" spans="7:7" ht="13.2">
      <c r="G79" s="1"/>
    </row>
    <row r="80" spans="7:7" ht="13.2">
      <c r="G80" s="1"/>
    </row>
    <row r="81" spans="7:7" ht="13.2">
      <c r="G81" s="1"/>
    </row>
    <row r="82" spans="7:7" ht="13.2">
      <c r="G82" s="1"/>
    </row>
    <row r="83" spans="7:7" ht="13.2">
      <c r="G83" s="1"/>
    </row>
    <row r="84" spans="7:7" ht="13.2">
      <c r="G84" s="1"/>
    </row>
    <row r="85" spans="7:7" ht="13.2">
      <c r="G85" s="1"/>
    </row>
    <row r="86" spans="7:7" ht="13.2">
      <c r="G86" s="1"/>
    </row>
    <row r="87" spans="7:7" ht="13.2">
      <c r="G87" s="1"/>
    </row>
    <row r="88" spans="7:7" ht="13.2">
      <c r="G88" s="1"/>
    </row>
    <row r="89" spans="7:7" ht="13.2">
      <c r="G89" s="1"/>
    </row>
    <row r="90" spans="7:7" ht="13.2">
      <c r="G90" s="1"/>
    </row>
    <row r="91" spans="7:7" ht="13.2">
      <c r="G91" s="1"/>
    </row>
    <row r="92" spans="7:7" ht="13.2">
      <c r="G92" s="1"/>
    </row>
    <row r="93" spans="7:7" ht="13.2">
      <c r="G93" s="1"/>
    </row>
    <row r="94" spans="7:7" ht="13.2">
      <c r="G94" s="1"/>
    </row>
    <row r="95" spans="7:7" ht="13.2">
      <c r="G95" s="1"/>
    </row>
    <row r="96" spans="7:7" ht="13.2">
      <c r="G96" s="1"/>
    </row>
    <row r="97" spans="7:7" ht="13.2">
      <c r="G97" s="1"/>
    </row>
    <row r="98" spans="7:7" ht="13.2">
      <c r="G98" s="1"/>
    </row>
    <row r="99" spans="7:7" ht="13.2">
      <c r="G99" s="1"/>
    </row>
    <row r="100" spans="7:7" ht="13.2">
      <c r="G100" s="1"/>
    </row>
    <row r="101" spans="7:7" ht="13.2">
      <c r="G101" s="1"/>
    </row>
    <row r="102" spans="7:7" ht="13.2">
      <c r="G102" s="1"/>
    </row>
    <row r="103" spans="7:7" ht="13.2">
      <c r="G103" s="1"/>
    </row>
    <row r="104" spans="7:7" ht="13.2">
      <c r="G104" s="1"/>
    </row>
    <row r="105" spans="7:7" ht="13.2">
      <c r="G105" s="1"/>
    </row>
    <row r="106" spans="7:7" ht="13.2">
      <c r="G106" s="1"/>
    </row>
    <row r="107" spans="7:7" ht="13.2">
      <c r="G107" s="1"/>
    </row>
    <row r="108" spans="7:7" ht="13.2">
      <c r="G108" s="1"/>
    </row>
    <row r="109" spans="7:7" ht="13.2">
      <c r="G109" s="1"/>
    </row>
    <row r="110" spans="7:7" ht="13.2">
      <c r="G110" s="1"/>
    </row>
    <row r="111" spans="7:7" ht="13.2">
      <c r="G111" s="1"/>
    </row>
    <row r="112" spans="7:7" ht="13.2">
      <c r="G112" s="1"/>
    </row>
    <row r="113" spans="7:7" ht="13.2">
      <c r="G113" s="1"/>
    </row>
    <row r="114" spans="7:7" ht="13.2">
      <c r="G114" s="1"/>
    </row>
    <row r="115" spans="7:7" ht="13.2">
      <c r="G115" s="1"/>
    </row>
    <row r="116" spans="7:7" ht="13.2">
      <c r="G116" s="1"/>
    </row>
    <row r="117" spans="7:7" ht="13.2">
      <c r="G117" s="1"/>
    </row>
    <row r="118" spans="7:7" ht="13.2">
      <c r="G118" s="1"/>
    </row>
    <row r="119" spans="7:7" ht="13.2">
      <c r="G119" s="1"/>
    </row>
    <row r="120" spans="7:7" ht="13.2">
      <c r="G120" s="1"/>
    </row>
    <row r="121" spans="7:7" ht="13.2">
      <c r="G121" s="1"/>
    </row>
    <row r="122" spans="7:7" ht="13.2">
      <c r="G122" s="1"/>
    </row>
    <row r="123" spans="7:7" ht="13.2">
      <c r="G123" s="1"/>
    </row>
    <row r="124" spans="7:7" ht="13.2">
      <c r="G124" s="1"/>
    </row>
    <row r="125" spans="7:7" ht="13.2">
      <c r="G125" s="1"/>
    </row>
    <row r="126" spans="7:7" ht="13.2">
      <c r="G126" s="1"/>
    </row>
    <row r="127" spans="7:7" ht="13.2">
      <c r="G127" s="1"/>
    </row>
    <row r="128" spans="7:7" ht="13.2">
      <c r="G128" s="1"/>
    </row>
    <row r="129" spans="7:7" ht="13.2">
      <c r="G129" s="1"/>
    </row>
    <row r="130" spans="7:7" ht="13.2">
      <c r="G130" s="1"/>
    </row>
    <row r="131" spans="7:7" ht="13.2">
      <c r="G131" s="1"/>
    </row>
    <row r="132" spans="7:7" ht="13.2">
      <c r="G132" s="1"/>
    </row>
    <row r="133" spans="7:7" ht="13.2">
      <c r="G133" s="1"/>
    </row>
    <row r="134" spans="7:7" ht="13.2">
      <c r="G134" s="1"/>
    </row>
    <row r="135" spans="7:7" ht="13.2">
      <c r="G135" s="1"/>
    </row>
    <row r="136" spans="7:7" ht="13.2">
      <c r="G136" s="1"/>
    </row>
    <row r="137" spans="7:7" ht="13.2">
      <c r="G137" s="1"/>
    </row>
    <row r="138" spans="7:7" ht="13.2">
      <c r="G138" s="1"/>
    </row>
    <row r="139" spans="7:7" ht="13.2">
      <c r="G139" s="1"/>
    </row>
    <row r="140" spans="7:7" ht="13.2">
      <c r="G140" s="1"/>
    </row>
    <row r="141" spans="7:7" ht="13.2">
      <c r="G141" s="1"/>
    </row>
    <row r="142" spans="7:7" ht="13.2">
      <c r="G142" s="1"/>
    </row>
    <row r="143" spans="7:7" ht="13.2">
      <c r="G143" s="1"/>
    </row>
    <row r="144" spans="7:7" ht="13.2">
      <c r="G144" s="1"/>
    </row>
    <row r="145" spans="7:7" ht="13.2">
      <c r="G145" s="1"/>
    </row>
    <row r="146" spans="7:7" ht="13.2">
      <c r="G146" s="1"/>
    </row>
    <row r="147" spans="7:7" ht="13.2">
      <c r="G147" s="1"/>
    </row>
    <row r="148" spans="7:7" ht="13.2">
      <c r="G148" s="1"/>
    </row>
    <row r="149" spans="7:7" ht="13.2">
      <c r="G149" s="1"/>
    </row>
    <row r="150" spans="7:7" ht="13.2">
      <c r="G150" s="1"/>
    </row>
    <row r="151" spans="7:7" ht="13.2">
      <c r="G151" s="1"/>
    </row>
    <row r="152" spans="7:7" ht="13.2">
      <c r="G152" s="1"/>
    </row>
    <row r="153" spans="7:7" ht="13.2">
      <c r="G153" s="1"/>
    </row>
    <row r="154" spans="7:7" ht="13.2">
      <c r="G154" s="1"/>
    </row>
    <row r="155" spans="7:7" ht="13.2">
      <c r="G155" s="1"/>
    </row>
    <row r="156" spans="7:7" ht="13.2">
      <c r="G156" s="1"/>
    </row>
    <row r="157" spans="7:7" ht="13.2">
      <c r="G157" s="1"/>
    </row>
    <row r="158" spans="7:7" ht="13.2">
      <c r="G158" s="1"/>
    </row>
    <row r="159" spans="7:7" ht="13.2">
      <c r="G159" s="1"/>
    </row>
    <row r="160" spans="7:7" ht="13.2">
      <c r="G160" s="1"/>
    </row>
    <row r="161" spans="7:7" ht="13.2">
      <c r="G161" s="1"/>
    </row>
    <row r="162" spans="7:7" ht="13.2">
      <c r="G162" s="1"/>
    </row>
    <row r="163" spans="7:7" ht="13.2">
      <c r="G163" s="1"/>
    </row>
    <row r="164" spans="7:7" ht="13.2">
      <c r="G164" s="1"/>
    </row>
    <row r="165" spans="7:7" ht="13.2">
      <c r="G165" s="1"/>
    </row>
    <row r="166" spans="7:7" ht="13.2">
      <c r="G166" s="1"/>
    </row>
    <row r="167" spans="7:7" ht="13.2">
      <c r="G167" s="1"/>
    </row>
    <row r="168" spans="7:7" ht="13.2">
      <c r="G168" s="1"/>
    </row>
    <row r="169" spans="7:7" ht="13.2">
      <c r="G169" s="1"/>
    </row>
    <row r="170" spans="7:7" ht="13.2">
      <c r="G170" s="1"/>
    </row>
    <row r="171" spans="7:7" ht="13.2">
      <c r="G171" s="1"/>
    </row>
    <row r="172" spans="7:7" ht="13.2">
      <c r="G172" s="1"/>
    </row>
    <row r="173" spans="7:7" ht="13.2">
      <c r="G173" s="1"/>
    </row>
    <row r="174" spans="7:7" ht="13.2">
      <c r="G174" s="1"/>
    </row>
    <row r="175" spans="7:7" ht="13.2">
      <c r="G175" s="1"/>
    </row>
    <row r="176" spans="7:7" ht="13.2">
      <c r="G176" s="1"/>
    </row>
    <row r="177" spans="7:7" ht="13.2">
      <c r="G177" s="1"/>
    </row>
    <row r="178" spans="7:7" ht="13.2">
      <c r="G178" s="1"/>
    </row>
    <row r="179" spans="7:7" ht="13.2">
      <c r="G179" s="1"/>
    </row>
    <row r="180" spans="7:7" ht="13.2">
      <c r="G180" s="1"/>
    </row>
    <row r="181" spans="7:7" ht="13.2">
      <c r="G181" s="1"/>
    </row>
    <row r="182" spans="7:7" ht="13.2">
      <c r="G182" s="1"/>
    </row>
    <row r="183" spans="7:7" ht="13.2">
      <c r="G183" s="1"/>
    </row>
    <row r="184" spans="7:7" ht="13.2">
      <c r="G184" s="1"/>
    </row>
    <row r="185" spans="7:7" ht="13.2">
      <c r="G185" s="1"/>
    </row>
    <row r="186" spans="7:7" ht="13.2">
      <c r="G186" s="1"/>
    </row>
    <row r="187" spans="7:7" ht="13.2">
      <c r="G187" s="1"/>
    </row>
    <row r="188" spans="7:7" ht="13.2">
      <c r="G188" s="1"/>
    </row>
    <row r="189" spans="7:7" ht="13.2">
      <c r="G189" s="1"/>
    </row>
    <row r="190" spans="7:7" ht="13.2">
      <c r="G190" s="1"/>
    </row>
    <row r="191" spans="7:7" ht="13.2">
      <c r="G191" s="1"/>
    </row>
    <row r="192" spans="7:7" ht="13.2">
      <c r="G192" s="1"/>
    </row>
    <row r="193" spans="7:7" ht="13.2">
      <c r="G193" s="1"/>
    </row>
    <row r="194" spans="7:7" ht="13.2">
      <c r="G194" s="1"/>
    </row>
    <row r="195" spans="7:7" ht="13.2">
      <c r="G195" s="1"/>
    </row>
    <row r="196" spans="7:7" ht="13.2">
      <c r="G196" s="1"/>
    </row>
    <row r="197" spans="7:7" ht="13.2">
      <c r="G197" s="1"/>
    </row>
    <row r="198" spans="7:7" ht="13.2">
      <c r="G198" s="1"/>
    </row>
    <row r="199" spans="7:7" ht="13.2">
      <c r="G199" s="1"/>
    </row>
    <row r="200" spans="7:7" ht="13.2">
      <c r="G200" s="1"/>
    </row>
    <row r="201" spans="7:7" ht="13.2">
      <c r="G201" s="1"/>
    </row>
    <row r="202" spans="7:7" ht="13.2">
      <c r="G202" s="1"/>
    </row>
    <row r="203" spans="7:7" ht="13.2">
      <c r="G203" s="1"/>
    </row>
    <row r="204" spans="7:7" ht="13.2">
      <c r="G204" s="1"/>
    </row>
    <row r="205" spans="7:7" ht="13.2">
      <c r="G205" s="1"/>
    </row>
    <row r="206" spans="7:7" ht="13.2">
      <c r="G206" s="1"/>
    </row>
    <row r="207" spans="7:7" ht="13.2">
      <c r="G207" s="1"/>
    </row>
    <row r="208" spans="7:7" ht="13.2">
      <c r="G208" s="1"/>
    </row>
    <row r="209" spans="7:7" ht="13.2">
      <c r="G209" s="1"/>
    </row>
    <row r="210" spans="7:7" ht="13.2">
      <c r="G210" s="1"/>
    </row>
    <row r="211" spans="7:7" ht="13.2">
      <c r="G211" s="1"/>
    </row>
    <row r="212" spans="7:7" ht="13.2">
      <c r="G212" s="1"/>
    </row>
    <row r="213" spans="7:7" ht="13.2">
      <c r="G213" s="1"/>
    </row>
    <row r="214" spans="7:7" ht="13.2">
      <c r="G214" s="1"/>
    </row>
    <row r="215" spans="7:7" ht="13.2">
      <c r="G215" s="1"/>
    </row>
    <row r="216" spans="7:7" ht="13.2">
      <c r="G216" s="1"/>
    </row>
    <row r="217" spans="7:7" ht="13.2">
      <c r="G217" s="1"/>
    </row>
    <row r="218" spans="7:7" ht="13.2">
      <c r="G218" s="1"/>
    </row>
    <row r="219" spans="7:7" ht="13.2">
      <c r="G219" s="1"/>
    </row>
    <row r="220" spans="7:7" ht="13.2">
      <c r="G220" s="1"/>
    </row>
    <row r="221" spans="7:7" ht="13.2">
      <c r="G221" s="1"/>
    </row>
    <row r="222" spans="7:7" ht="13.2">
      <c r="G222" s="1"/>
    </row>
    <row r="223" spans="7:7" ht="13.2">
      <c r="G223" s="1"/>
    </row>
    <row r="224" spans="7:7" ht="13.2">
      <c r="G224" s="1"/>
    </row>
    <row r="225" spans="7:7" ht="13.2">
      <c r="G225" s="1"/>
    </row>
    <row r="226" spans="7:7" ht="13.2">
      <c r="G226" s="1"/>
    </row>
    <row r="227" spans="7:7" ht="13.2">
      <c r="G227" s="1"/>
    </row>
    <row r="228" spans="7:7" ht="13.2">
      <c r="G228" s="1"/>
    </row>
    <row r="229" spans="7:7" ht="13.2">
      <c r="G229" s="1"/>
    </row>
    <row r="230" spans="7:7" ht="13.2">
      <c r="G230" s="1"/>
    </row>
    <row r="231" spans="7:7" ht="13.2">
      <c r="G231" s="1"/>
    </row>
    <row r="232" spans="7:7" ht="13.2">
      <c r="G232" s="1"/>
    </row>
    <row r="233" spans="7:7" ht="13.2">
      <c r="G233" s="1"/>
    </row>
    <row r="234" spans="7:7" ht="13.2">
      <c r="G234" s="1"/>
    </row>
    <row r="235" spans="7:7" ht="13.2">
      <c r="G235" s="1"/>
    </row>
    <row r="236" spans="7:7" ht="13.2">
      <c r="G236" s="1"/>
    </row>
    <row r="237" spans="7:7" ht="13.2">
      <c r="G237" s="1"/>
    </row>
    <row r="238" spans="7:7" ht="13.2">
      <c r="G238" s="1"/>
    </row>
    <row r="239" spans="7:7" ht="13.2">
      <c r="G239" s="1"/>
    </row>
    <row r="240" spans="7:7" ht="13.2">
      <c r="G240" s="1"/>
    </row>
    <row r="241" spans="7:7" ht="13.2">
      <c r="G241" s="1"/>
    </row>
    <row r="242" spans="7:7" ht="13.2">
      <c r="G242" s="1"/>
    </row>
    <row r="243" spans="7:7" ht="13.2">
      <c r="G243" s="1"/>
    </row>
    <row r="244" spans="7:7" ht="13.2">
      <c r="G244" s="1"/>
    </row>
    <row r="245" spans="7:7" ht="13.2">
      <c r="G245" s="1"/>
    </row>
    <row r="246" spans="7:7" ht="13.2">
      <c r="G246" s="1"/>
    </row>
    <row r="247" spans="7:7" ht="13.2">
      <c r="G247" s="1"/>
    </row>
    <row r="248" spans="7:7" ht="13.2">
      <c r="G248" s="1"/>
    </row>
    <row r="249" spans="7:7" ht="13.2">
      <c r="G249" s="1"/>
    </row>
    <row r="250" spans="7:7" ht="13.2">
      <c r="G250" s="1"/>
    </row>
    <row r="251" spans="7:7" ht="13.2">
      <c r="G251" s="1"/>
    </row>
    <row r="252" spans="7:7" ht="13.2">
      <c r="G252" s="1"/>
    </row>
    <row r="253" spans="7:7" ht="13.2">
      <c r="G253" s="1"/>
    </row>
    <row r="254" spans="7:7" ht="13.2">
      <c r="G254" s="1"/>
    </row>
    <row r="255" spans="7:7" ht="13.2">
      <c r="G255" s="1"/>
    </row>
    <row r="256" spans="7:7" ht="13.2">
      <c r="G256" s="1"/>
    </row>
    <row r="257" spans="7:7" ht="13.2">
      <c r="G257" s="1"/>
    </row>
    <row r="258" spans="7:7" ht="13.2">
      <c r="G258" s="1"/>
    </row>
    <row r="259" spans="7:7" ht="13.2">
      <c r="G259" s="1"/>
    </row>
    <row r="260" spans="7:7" ht="13.2">
      <c r="G260" s="1"/>
    </row>
    <row r="261" spans="7:7" ht="13.2">
      <c r="G261" s="1"/>
    </row>
    <row r="262" spans="7:7" ht="13.2">
      <c r="G262" s="1"/>
    </row>
    <row r="263" spans="7:7" ht="13.2">
      <c r="G263" s="1"/>
    </row>
    <row r="264" spans="7:7" ht="13.2">
      <c r="G264" s="1"/>
    </row>
    <row r="265" spans="7:7" ht="13.2">
      <c r="G265" s="1"/>
    </row>
    <row r="266" spans="7:7" ht="13.2">
      <c r="G266" s="1"/>
    </row>
    <row r="267" spans="7:7" ht="13.2">
      <c r="G267" s="1"/>
    </row>
    <row r="268" spans="7:7" ht="13.2">
      <c r="G268" s="1"/>
    </row>
    <row r="269" spans="7:7" ht="13.2">
      <c r="G269" s="1"/>
    </row>
    <row r="270" spans="7:7" ht="13.2">
      <c r="G270" s="1"/>
    </row>
    <row r="271" spans="7:7" ht="13.2">
      <c r="G271" s="1"/>
    </row>
    <row r="272" spans="7:7" ht="13.2">
      <c r="G272" s="1"/>
    </row>
    <row r="273" spans="7:7" ht="13.2">
      <c r="G273" s="1"/>
    </row>
    <row r="274" spans="7:7" ht="13.2">
      <c r="G274" s="1"/>
    </row>
    <row r="275" spans="7:7" ht="13.2">
      <c r="G275" s="1"/>
    </row>
    <row r="276" spans="7:7" ht="13.2">
      <c r="G276" s="1"/>
    </row>
    <row r="277" spans="7:7" ht="13.2">
      <c r="G277" s="1"/>
    </row>
    <row r="278" spans="7:7" ht="13.2">
      <c r="G278" s="1"/>
    </row>
    <row r="279" spans="7:7" ht="13.2">
      <c r="G279" s="1"/>
    </row>
    <row r="280" spans="7:7" ht="13.2">
      <c r="G280" s="1"/>
    </row>
    <row r="281" spans="7:7" ht="13.2">
      <c r="G281" s="1"/>
    </row>
    <row r="282" spans="7:7" ht="13.2">
      <c r="G282" s="1"/>
    </row>
    <row r="283" spans="7:7" ht="13.2">
      <c r="G283" s="1"/>
    </row>
    <row r="284" spans="7:7" ht="13.2">
      <c r="G284" s="1"/>
    </row>
    <row r="285" spans="7:7" ht="13.2">
      <c r="G285" s="1"/>
    </row>
    <row r="286" spans="7:7" ht="13.2">
      <c r="G286" s="1"/>
    </row>
    <row r="287" spans="7:7" ht="13.2">
      <c r="G287" s="1"/>
    </row>
    <row r="288" spans="7:7" ht="13.2">
      <c r="G288" s="1"/>
    </row>
    <row r="289" spans="7:7" ht="13.2">
      <c r="G289" s="1"/>
    </row>
    <row r="290" spans="7:7" ht="13.2">
      <c r="G290" s="1"/>
    </row>
    <row r="291" spans="7:7" ht="13.2">
      <c r="G291" s="1"/>
    </row>
    <row r="292" spans="7:7" ht="13.2">
      <c r="G292" s="1"/>
    </row>
    <row r="293" spans="7:7" ht="13.2">
      <c r="G293" s="1"/>
    </row>
    <row r="294" spans="7:7" ht="13.2">
      <c r="G294" s="1"/>
    </row>
    <row r="295" spans="7:7" ht="13.2">
      <c r="G295" s="1"/>
    </row>
    <row r="296" spans="7:7" ht="13.2">
      <c r="G296" s="1"/>
    </row>
    <row r="297" spans="7:7" ht="13.2">
      <c r="G297" s="1"/>
    </row>
    <row r="298" spans="7:7" ht="13.2">
      <c r="G298" s="1"/>
    </row>
    <row r="299" spans="7:7" ht="13.2">
      <c r="G299" s="1"/>
    </row>
    <row r="300" spans="7:7" ht="13.2">
      <c r="G300" s="1"/>
    </row>
    <row r="301" spans="7:7" ht="13.2">
      <c r="G301" s="1"/>
    </row>
    <row r="302" spans="7:7" ht="13.2">
      <c r="G302" s="1"/>
    </row>
    <row r="303" spans="7:7" ht="13.2">
      <c r="G303" s="1"/>
    </row>
    <row r="304" spans="7:7" ht="13.2">
      <c r="G304" s="1"/>
    </row>
    <row r="305" spans="7:7" ht="13.2">
      <c r="G305" s="1"/>
    </row>
    <row r="306" spans="7:7" ht="13.2">
      <c r="G306" s="1"/>
    </row>
    <row r="307" spans="7:7" ht="13.2">
      <c r="G307" s="1"/>
    </row>
    <row r="308" spans="7:7" ht="13.2">
      <c r="G308" s="1"/>
    </row>
    <row r="309" spans="7:7" ht="13.2">
      <c r="G309" s="1"/>
    </row>
    <row r="310" spans="7:7" ht="13.2">
      <c r="G310" s="1"/>
    </row>
    <row r="311" spans="7:7" ht="13.2">
      <c r="G311" s="1"/>
    </row>
    <row r="312" spans="7:7" ht="13.2">
      <c r="G312" s="1"/>
    </row>
    <row r="313" spans="7:7" ht="13.2">
      <c r="G313" s="1"/>
    </row>
    <row r="314" spans="7:7" ht="13.2">
      <c r="G314" s="1"/>
    </row>
    <row r="315" spans="7:7" ht="13.2">
      <c r="G315" s="1"/>
    </row>
    <row r="316" spans="7:7" ht="13.2">
      <c r="G316" s="1"/>
    </row>
    <row r="317" spans="7:7" ht="13.2">
      <c r="G317" s="1"/>
    </row>
    <row r="318" spans="7:7" ht="13.2">
      <c r="G318" s="1"/>
    </row>
    <row r="319" spans="7:7" ht="13.2">
      <c r="G319" s="1"/>
    </row>
    <row r="320" spans="7:7" ht="13.2">
      <c r="G320" s="1"/>
    </row>
    <row r="321" spans="7:7" ht="13.2">
      <c r="G321" s="1"/>
    </row>
    <row r="322" spans="7:7" ht="13.2">
      <c r="G322" s="1"/>
    </row>
    <row r="323" spans="7:7" ht="13.2">
      <c r="G323" s="1"/>
    </row>
    <row r="324" spans="7:7" ht="13.2">
      <c r="G324" s="1"/>
    </row>
    <row r="325" spans="7:7" ht="13.2">
      <c r="G325" s="1"/>
    </row>
    <row r="326" spans="7:7" ht="13.2">
      <c r="G326" s="1"/>
    </row>
    <row r="327" spans="7:7" ht="13.2">
      <c r="G327" s="1"/>
    </row>
    <row r="328" spans="7:7" ht="13.2">
      <c r="G328" s="1"/>
    </row>
    <row r="329" spans="7:7" ht="13.2">
      <c r="G329" s="1"/>
    </row>
    <row r="330" spans="7:7" ht="13.2">
      <c r="G330" s="1"/>
    </row>
    <row r="331" spans="7:7" ht="13.2">
      <c r="G331" s="1"/>
    </row>
    <row r="332" spans="7:7" ht="13.2">
      <c r="G332" s="1"/>
    </row>
    <row r="333" spans="7:7" ht="13.2">
      <c r="G333" s="1"/>
    </row>
    <row r="334" spans="7:7" ht="13.2">
      <c r="G334" s="1"/>
    </row>
    <row r="335" spans="7:7" ht="13.2">
      <c r="G335" s="1"/>
    </row>
    <row r="336" spans="7:7" ht="13.2">
      <c r="G336" s="1"/>
    </row>
    <row r="337" spans="7:7" ht="13.2">
      <c r="G337" s="1"/>
    </row>
    <row r="338" spans="7:7" ht="13.2">
      <c r="G338" s="1"/>
    </row>
    <row r="339" spans="7:7" ht="13.2">
      <c r="G339" s="1"/>
    </row>
    <row r="340" spans="7:7" ht="13.2">
      <c r="G340" s="1"/>
    </row>
    <row r="341" spans="7:7" ht="13.2">
      <c r="G341" s="1"/>
    </row>
    <row r="342" spans="7:7" ht="13.2">
      <c r="G342" s="1"/>
    </row>
    <row r="343" spans="7:7" ht="13.2">
      <c r="G343" s="1"/>
    </row>
    <row r="344" spans="7:7" ht="13.2">
      <c r="G344" s="1"/>
    </row>
    <row r="345" spans="7:7" ht="13.2">
      <c r="G345" s="1"/>
    </row>
    <row r="346" spans="7:7" ht="13.2">
      <c r="G346" s="1"/>
    </row>
    <row r="347" spans="7:7" ht="13.2">
      <c r="G347" s="1"/>
    </row>
    <row r="348" spans="7:7" ht="13.2">
      <c r="G348" s="1"/>
    </row>
    <row r="349" spans="7:7" ht="13.2">
      <c r="G349" s="1"/>
    </row>
    <row r="350" spans="7:7" ht="13.2">
      <c r="G350" s="1"/>
    </row>
    <row r="351" spans="7:7" ht="13.2">
      <c r="G351" s="1"/>
    </row>
    <row r="352" spans="7:7" ht="13.2">
      <c r="G352" s="1"/>
    </row>
    <row r="353" spans="7:7" ht="13.2">
      <c r="G353" s="1"/>
    </row>
    <row r="354" spans="7:7" ht="13.2">
      <c r="G354" s="1"/>
    </row>
    <row r="355" spans="7:7" ht="13.2">
      <c r="G355" s="1"/>
    </row>
    <row r="356" spans="7:7" ht="13.2">
      <c r="G356" s="1"/>
    </row>
    <row r="357" spans="7:7" ht="13.2">
      <c r="G357" s="1"/>
    </row>
    <row r="358" spans="7:7" ht="13.2">
      <c r="G358" s="1"/>
    </row>
    <row r="359" spans="7:7" ht="13.2">
      <c r="G359" s="1"/>
    </row>
    <row r="360" spans="7:7" ht="13.2">
      <c r="G360" s="1"/>
    </row>
    <row r="361" spans="7:7" ht="13.2">
      <c r="G361" s="1"/>
    </row>
    <row r="362" spans="7:7" ht="13.2">
      <c r="G362" s="1"/>
    </row>
    <row r="363" spans="7:7" ht="13.2">
      <c r="G363" s="1"/>
    </row>
    <row r="364" spans="7:7" ht="13.2">
      <c r="G364" s="1"/>
    </row>
    <row r="365" spans="7:7" ht="13.2">
      <c r="G365" s="1"/>
    </row>
    <row r="366" spans="7:7" ht="13.2">
      <c r="G366" s="1"/>
    </row>
    <row r="367" spans="7:7" ht="13.2">
      <c r="G367" s="1"/>
    </row>
    <row r="368" spans="7:7" ht="13.2">
      <c r="G368" s="1"/>
    </row>
    <row r="369" spans="7:7" ht="13.2">
      <c r="G369" s="1"/>
    </row>
    <row r="370" spans="7:7" ht="13.2">
      <c r="G370" s="1"/>
    </row>
    <row r="371" spans="7:7" ht="13.2">
      <c r="G371" s="1"/>
    </row>
    <row r="372" spans="7:7" ht="13.2">
      <c r="G372" s="1"/>
    </row>
    <row r="373" spans="7:7" ht="13.2">
      <c r="G373" s="1"/>
    </row>
    <row r="374" spans="7:7" ht="13.2">
      <c r="G374" s="1"/>
    </row>
    <row r="375" spans="7:7" ht="13.2">
      <c r="G375" s="1"/>
    </row>
    <row r="376" spans="7:7" ht="13.2">
      <c r="G376" s="1"/>
    </row>
    <row r="377" spans="7:7" ht="13.2">
      <c r="G377" s="1"/>
    </row>
    <row r="378" spans="7:7" ht="13.2">
      <c r="G378" s="1"/>
    </row>
    <row r="379" spans="7:7" ht="13.2">
      <c r="G379" s="1"/>
    </row>
    <row r="380" spans="7:7" ht="13.2">
      <c r="G380" s="1"/>
    </row>
    <row r="381" spans="7:7" ht="13.2">
      <c r="G381" s="1"/>
    </row>
    <row r="382" spans="7:7" ht="13.2">
      <c r="G382" s="1"/>
    </row>
    <row r="383" spans="7:7" ht="13.2">
      <c r="G383" s="1"/>
    </row>
    <row r="384" spans="7:7" ht="13.2">
      <c r="G384" s="1"/>
    </row>
    <row r="385" spans="7:7" ht="13.2">
      <c r="G385" s="1"/>
    </row>
    <row r="386" spans="7:7" ht="13.2">
      <c r="G386" s="1"/>
    </row>
    <row r="387" spans="7:7" ht="13.2">
      <c r="G387" s="1"/>
    </row>
    <row r="388" spans="7:7" ht="13.2">
      <c r="G388" s="1"/>
    </row>
    <row r="389" spans="7:7" ht="13.2">
      <c r="G389" s="1"/>
    </row>
    <row r="390" spans="7:7" ht="13.2">
      <c r="G390" s="1"/>
    </row>
    <row r="391" spans="7:7" ht="13.2">
      <c r="G391" s="1"/>
    </row>
    <row r="392" spans="7:7" ht="13.2">
      <c r="G392" s="1"/>
    </row>
    <row r="393" spans="7:7" ht="13.2">
      <c r="G393" s="1"/>
    </row>
    <row r="394" spans="7:7" ht="13.2">
      <c r="G394" s="1"/>
    </row>
    <row r="395" spans="7:7" ht="13.2">
      <c r="G395" s="1"/>
    </row>
    <row r="396" spans="7:7" ht="13.2">
      <c r="G396" s="1"/>
    </row>
    <row r="397" spans="7:7" ht="13.2">
      <c r="G397" s="1"/>
    </row>
    <row r="398" spans="7:7" ht="13.2">
      <c r="G398" s="1"/>
    </row>
    <row r="399" spans="7:7" ht="13.2">
      <c r="G399" s="1"/>
    </row>
    <row r="400" spans="7:7" ht="13.2">
      <c r="G400" s="1"/>
    </row>
    <row r="401" spans="7:7" ht="13.2">
      <c r="G401" s="1"/>
    </row>
    <row r="402" spans="7:7" ht="13.2">
      <c r="G402" s="1"/>
    </row>
    <row r="403" spans="7:7" ht="13.2">
      <c r="G403" s="1"/>
    </row>
    <row r="404" spans="7:7" ht="13.2">
      <c r="G404" s="1"/>
    </row>
    <row r="405" spans="7:7" ht="13.2">
      <c r="G405" s="1"/>
    </row>
    <row r="406" spans="7:7" ht="13.2">
      <c r="G406" s="1"/>
    </row>
    <row r="407" spans="7:7" ht="13.2">
      <c r="G407" s="1"/>
    </row>
    <row r="408" spans="7:7" ht="13.2">
      <c r="G408" s="1"/>
    </row>
    <row r="409" spans="7:7" ht="13.2">
      <c r="G409" s="1"/>
    </row>
    <row r="410" spans="7:7" ht="13.2">
      <c r="G410" s="1"/>
    </row>
    <row r="411" spans="7:7" ht="13.2">
      <c r="G411" s="1"/>
    </row>
    <row r="412" spans="7:7" ht="13.2">
      <c r="G412" s="1"/>
    </row>
    <row r="413" spans="7:7" ht="13.2">
      <c r="G413" s="1"/>
    </row>
    <row r="414" spans="7:7" ht="13.2">
      <c r="G414" s="1"/>
    </row>
    <row r="415" spans="7:7" ht="13.2">
      <c r="G415" s="1"/>
    </row>
    <row r="416" spans="7:7" ht="13.2">
      <c r="G416" s="1"/>
    </row>
    <row r="417" spans="7:7" ht="13.2">
      <c r="G417" s="1"/>
    </row>
    <row r="418" spans="7:7" ht="13.2">
      <c r="G418" s="1"/>
    </row>
    <row r="419" spans="7:7" ht="13.2">
      <c r="G419" s="1"/>
    </row>
    <row r="420" spans="7:7" ht="13.2">
      <c r="G420" s="1"/>
    </row>
    <row r="421" spans="7:7" ht="13.2">
      <c r="G421" s="1"/>
    </row>
    <row r="422" spans="7:7" ht="13.2">
      <c r="G422" s="1"/>
    </row>
    <row r="423" spans="7:7" ht="13.2">
      <c r="G423" s="1"/>
    </row>
    <row r="424" spans="7:7" ht="13.2">
      <c r="G424" s="1"/>
    </row>
    <row r="425" spans="7:7" ht="13.2">
      <c r="G425" s="1"/>
    </row>
    <row r="426" spans="7:7" ht="13.2">
      <c r="G426" s="1"/>
    </row>
    <row r="427" spans="7:7" ht="13.2">
      <c r="G427" s="1"/>
    </row>
    <row r="428" spans="7:7" ht="13.2">
      <c r="G428" s="1"/>
    </row>
    <row r="429" spans="7:7" ht="13.2">
      <c r="G429" s="1"/>
    </row>
    <row r="430" spans="7:7" ht="13.2">
      <c r="G430" s="1"/>
    </row>
    <row r="431" spans="7:7" ht="13.2">
      <c r="G431" s="1"/>
    </row>
    <row r="432" spans="7:7" ht="13.2">
      <c r="G432" s="1"/>
    </row>
    <row r="433" spans="7:7" ht="13.2">
      <c r="G433" s="1"/>
    </row>
    <row r="434" spans="7:7" ht="13.2">
      <c r="G434" s="1"/>
    </row>
    <row r="435" spans="7:7" ht="13.2">
      <c r="G435" s="1"/>
    </row>
    <row r="436" spans="7:7" ht="13.2">
      <c r="G436" s="1"/>
    </row>
    <row r="437" spans="7:7" ht="13.2">
      <c r="G437" s="1"/>
    </row>
    <row r="438" spans="7:7" ht="13.2">
      <c r="G438" s="1"/>
    </row>
    <row r="439" spans="7:7" ht="13.2">
      <c r="G439" s="1"/>
    </row>
    <row r="440" spans="7:7" ht="13.2">
      <c r="G440" s="1"/>
    </row>
    <row r="441" spans="7:7" ht="13.2">
      <c r="G441" s="1"/>
    </row>
    <row r="442" spans="7:7" ht="13.2">
      <c r="G442" s="1"/>
    </row>
    <row r="443" spans="7:7" ht="13.2">
      <c r="G443" s="1"/>
    </row>
    <row r="444" spans="7:7" ht="13.2">
      <c r="G444" s="1"/>
    </row>
    <row r="445" spans="7:7" ht="13.2">
      <c r="G445" s="1"/>
    </row>
    <row r="446" spans="7:7" ht="13.2">
      <c r="G446" s="1"/>
    </row>
    <row r="447" spans="7:7" ht="13.2">
      <c r="G447" s="1"/>
    </row>
    <row r="448" spans="7:7" ht="13.2">
      <c r="G448" s="1"/>
    </row>
    <row r="449" spans="7:7" ht="13.2">
      <c r="G449" s="1"/>
    </row>
    <row r="450" spans="7:7" ht="13.2">
      <c r="G450" s="1"/>
    </row>
    <row r="451" spans="7:7" ht="13.2">
      <c r="G451" s="1"/>
    </row>
    <row r="452" spans="7:7" ht="13.2">
      <c r="G452" s="1"/>
    </row>
    <row r="453" spans="7:7" ht="13.2">
      <c r="G453" s="1"/>
    </row>
    <row r="454" spans="7:7" ht="13.2">
      <c r="G454" s="1"/>
    </row>
    <row r="455" spans="7:7" ht="13.2">
      <c r="G455" s="1"/>
    </row>
    <row r="456" spans="7:7" ht="13.2">
      <c r="G456" s="1"/>
    </row>
    <row r="457" spans="7:7" ht="13.2">
      <c r="G457" s="1"/>
    </row>
    <row r="458" spans="7:7" ht="13.2">
      <c r="G458" s="1"/>
    </row>
    <row r="459" spans="7:7" ht="13.2">
      <c r="G459" s="1"/>
    </row>
    <row r="460" spans="7:7" ht="13.2">
      <c r="G460" s="1"/>
    </row>
    <row r="461" spans="7:7" ht="13.2">
      <c r="G461" s="1"/>
    </row>
    <row r="462" spans="7:7" ht="13.2">
      <c r="G462" s="1"/>
    </row>
    <row r="463" spans="7:7" ht="13.2">
      <c r="G463" s="1"/>
    </row>
    <row r="464" spans="7:7" ht="13.2">
      <c r="G464" s="1"/>
    </row>
    <row r="465" spans="7:7" ht="13.2">
      <c r="G465" s="1"/>
    </row>
    <row r="466" spans="7:7" ht="13.2">
      <c r="G466" s="1"/>
    </row>
    <row r="467" spans="7:7" ht="13.2">
      <c r="G467" s="1"/>
    </row>
    <row r="468" spans="7:7" ht="13.2">
      <c r="G468" s="1"/>
    </row>
    <row r="469" spans="7:7" ht="13.2">
      <c r="G469" s="1"/>
    </row>
    <row r="470" spans="7:7" ht="13.2">
      <c r="G470" s="1"/>
    </row>
    <row r="471" spans="7:7" ht="13.2">
      <c r="G471" s="1"/>
    </row>
    <row r="472" spans="7:7" ht="13.2">
      <c r="G472" s="1"/>
    </row>
    <row r="473" spans="7:7" ht="13.2">
      <c r="G473" s="1"/>
    </row>
    <row r="474" spans="7:7" ht="13.2">
      <c r="G474" s="1"/>
    </row>
    <row r="475" spans="7:7" ht="13.2">
      <c r="G475" s="1"/>
    </row>
    <row r="476" spans="7:7" ht="13.2">
      <c r="G476" s="1"/>
    </row>
    <row r="477" spans="7:7" ht="13.2">
      <c r="G477" s="1"/>
    </row>
    <row r="478" spans="7:7" ht="13.2">
      <c r="G478" s="1"/>
    </row>
    <row r="479" spans="7:7" ht="13.2">
      <c r="G479" s="1"/>
    </row>
    <row r="480" spans="7:7" ht="13.2">
      <c r="G480" s="1"/>
    </row>
    <row r="481" spans="7:7" ht="13.2">
      <c r="G481" s="1"/>
    </row>
    <row r="482" spans="7:7" ht="13.2">
      <c r="G482" s="1"/>
    </row>
    <row r="483" spans="7:7" ht="13.2">
      <c r="G483" s="1"/>
    </row>
    <row r="484" spans="7:7" ht="13.2">
      <c r="G484" s="1"/>
    </row>
    <row r="485" spans="7:7" ht="13.2">
      <c r="G485" s="1"/>
    </row>
    <row r="486" spans="7:7" ht="13.2">
      <c r="G486" s="1"/>
    </row>
    <row r="487" spans="7:7" ht="13.2">
      <c r="G487" s="1"/>
    </row>
    <row r="488" spans="7:7" ht="13.2">
      <c r="G488" s="1"/>
    </row>
    <row r="489" spans="7:7" ht="13.2">
      <c r="G489" s="1"/>
    </row>
    <row r="490" spans="7:7" ht="13.2">
      <c r="G490" s="1"/>
    </row>
    <row r="491" spans="7:7" ht="13.2">
      <c r="G491" s="1"/>
    </row>
    <row r="492" spans="7:7" ht="13.2">
      <c r="G492" s="1"/>
    </row>
    <row r="493" spans="7:7" ht="13.2">
      <c r="G493" s="1"/>
    </row>
    <row r="494" spans="7:7" ht="13.2">
      <c r="G494" s="1"/>
    </row>
    <row r="495" spans="7:7" ht="13.2">
      <c r="G495" s="1"/>
    </row>
    <row r="496" spans="7:7" ht="13.2">
      <c r="G496" s="1"/>
    </row>
    <row r="497" spans="7:7" ht="13.2">
      <c r="G497" s="1"/>
    </row>
    <row r="498" spans="7:7" ht="13.2">
      <c r="G498" s="1"/>
    </row>
    <row r="499" spans="7:7" ht="13.2">
      <c r="G499" s="1"/>
    </row>
    <row r="500" spans="7:7" ht="13.2">
      <c r="G500" s="1"/>
    </row>
    <row r="501" spans="7:7" ht="13.2">
      <c r="G501" s="1"/>
    </row>
    <row r="502" spans="7:7" ht="13.2">
      <c r="G502" s="1"/>
    </row>
    <row r="503" spans="7:7" ht="13.2">
      <c r="G503" s="1"/>
    </row>
    <row r="504" spans="7:7" ht="13.2">
      <c r="G504" s="1"/>
    </row>
    <row r="505" spans="7:7" ht="13.2">
      <c r="G505" s="1"/>
    </row>
    <row r="506" spans="7:7" ht="13.2">
      <c r="G506" s="1"/>
    </row>
    <row r="507" spans="7:7" ht="13.2">
      <c r="G507" s="1"/>
    </row>
    <row r="508" spans="7:7" ht="13.2">
      <c r="G508" s="1"/>
    </row>
    <row r="509" spans="7:7" ht="13.2">
      <c r="G509" s="1"/>
    </row>
    <row r="510" spans="7:7" ht="13.2">
      <c r="G510" s="1"/>
    </row>
    <row r="511" spans="7:7" ht="13.2">
      <c r="G511" s="1"/>
    </row>
    <row r="512" spans="7:7" ht="13.2">
      <c r="G512" s="1"/>
    </row>
    <row r="513" spans="7:7" ht="13.2">
      <c r="G513" s="1"/>
    </row>
    <row r="514" spans="7:7" ht="13.2">
      <c r="G514" s="1"/>
    </row>
    <row r="515" spans="7:7" ht="13.2">
      <c r="G515" s="1"/>
    </row>
    <row r="516" spans="7:7" ht="13.2">
      <c r="G516" s="1"/>
    </row>
    <row r="517" spans="7:7" ht="13.2">
      <c r="G517" s="1"/>
    </row>
    <row r="518" spans="7:7" ht="13.2">
      <c r="G518" s="1"/>
    </row>
    <row r="519" spans="7:7" ht="13.2">
      <c r="G519" s="1"/>
    </row>
    <row r="520" spans="7:7" ht="13.2">
      <c r="G520" s="1"/>
    </row>
    <row r="521" spans="7:7" ht="13.2">
      <c r="G521" s="1"/>
    </row>
    <row r="522" spans="7:7" ht="13.2">
      <c r="G522" s="1"/>
    </row>
    <row r="523" spans="7:7" ht="13.2">
      <c r="G523" s="1"/>
    </row>
    <row r="524" spans="7:7" ht="13.2">
      <c r="G524" s="1"/>
    </row>
    <row r="525" spans="7:7" ht="13.2">
      <c r="G525" s="1"/>
    </row>
    <row r="526" spans="7:7" ht="13.2">
      <c r="G526" s="1"/>
    </row>
    <row r="527" spans="7:7" ht="13.2">
      <c r="G527" s="1"/>
    </row>
    <row r="528" spans="7:7" ht="13.2">
      <c r="G528" s="1"/>
    </row>
    <row r="529" spans="7:7" ht="13.2">
      <c r="G529" s="1"/>
    </row>
    <row r="530" spans="7:7" ht="13.2">
      <c r="G530" s="1"/>
    </row>
    <row r="531" spans="7:7" ht="13.2">
      <c r="G531" s="1"/>
    </row>
    <row r="532" spans="7:7" ht="13.2">
      <c r="G532" s="1"/>
    </row>
    <row r="533" spans="7:7" ht="13.2">
      <c r="G533" s="1"/>
    </row>
    <row r="534" spans="7:7" ht="13.2">
      <c r="G534" s="1"/>
    </row>
    <row r="535" spans="7:7" ht="13.2">
      <c r="G535" s="1"/>
    </row>
    <row r="536" spans="7:7" ht="13.2">
      <c r="G536" s="1"/>
    </row>
    <row r="537" spans="7:7" ht="13.2">
      <c r="G537" s="1"/>
    </row>
    <row r="538" spans="7:7" ht="13.2">
      <c r="G538" s="1"/>
    </row>
    <row r="539" spans="7:7" ht="13.2">
      <c r="G539" s="1"/>
    </row>
    <row r="540" spans="7:7" ht="13.2">
      <c r="G540" s="1"/>
    </row>
    <row r="541" spans="7:7" ht="13.2">
      <c r="G541" s="1"/>
    </row>
    <row r="542" spans="7:7" ht="13.2">
      <c r="G542" s="1"/>
    </row>
    <row r="543" spans="7:7" ht="13.2">
      <c r="G543" s="1"/>
    </row>
    <row r="544" spans="7:7" ht="13.2">
      <c r="G544" s="1"/>
    </row>
    <row r="545" spans="7:7" ht="13.2">
      <c r="G545" s="1"/>
    </row>
    <row r="546" spans="7:7" ht="13.2">
      <c r="G546" s="1"/>
    </row>
    <row r="547" spans="7:7" ht="13.2">
      <c r="G547" s="1"/>
    </row>
    <row r="548" spans="7:7" ht="13.2">
      <c r="G548" s="1"/>
    </row>
    <row r="549" spans="7:7" ht="13.2">
      <c r="G549" s="1"/>
    </row>
    <row r="550" spans="7:7" ht="13.2">
      <c r="G550" s="1"/>
    </row>
    <row r="551" spans="7:7" ht="13.2">
      <c r="G551" s="1"/>
    </row>
    <row r="552" spans="7:7" ht="13.2">
      <c r="G552" s="1"/>
    </row>
    <row r="553" spans="7:7" ht="13.2">
      <c r="G553" s="1"/>
    </row>
    <row r="554" spans="7:7" ht="13.2">
      <c r="G554" s="1"/>
    </row>
    <row r="555" spans="7:7" ht="13.2">
      <c r="G555" s="1"/>
    </row>
    <row r="556" spans="7:7" ht="13.2">
      <c r="G556" s="1"/>
    </row>
    <row r="557" spans="7:7" ht="13.2">
      <c r="G557" s="1"/>
    </row>
    <row r="558" spans="7:7" ht="13.2">
      <c r="G558" s="1"/>
    </row>
    <row r="559" spans="7:7" ht="13.2">
      <c r="G559" s="1"/>
    </row>
    <row r="560" spans="7:7" ht="13.2">
      <c r="G560" s="1"/>
    </row>
    <row r="561" spans="7:7" ht="13.2">
      <c r="G561" s="1"/>
    </row>
    <row r="562" spans="7:7" ht="13.2">
      <c r="G562" s="1"/>
    </row>
    <row r="563" spans="7:7" ht="13.2">
      <c r="G563" s="1"/>
    </row>
    <row r="564" spans="7:7" ht="13.2">
      <c r="G564" s="1"/>
    </row>
    <row r="565" spans="7:7" ht="13.2">
      <c r="G565" s="1"/>
    </row>
    <row r="566" spans="7:7" ht="13.2">
      <c r="G566" s="1"/>
    </row>
    <row r="567" spans="7:7" ht="13.2">
      <c r="G567" s="1"/>
    </row>
    <row r="568" spans="7:7" ht="13.2">
      <c r="G568" s="1"/>
    </row>
    <row r="569" spans="7:7" ht="13.2">
      <c r="G569" s="1"/>
    </row>
    <row r="570" spans="7:7" ht="13.2">
      <c r="G570" s="1"/>
    </row>
    <row r="571" spans="7:7" ht="13.2">
      <c r="G571" s="1"/>
    </row>
    <row r="572" spans="7:7" ht="13.2">
      <c r="G572" s="1"/>
    </row>
    <row r="573" spans="7:7" ht="13.2">
      <c r="G573" s="1"/>
    </row>
    <row r="574" spans="7:7" ht="13.2">
      <c r="G574" s="1"/>
    </row>
    <row r="575" spans="7:7" ht="13.2">
      <c r="G575" s="1"/>
    </row>
    <row r="576" spans="7:7" ht="13.2">
      <c r="G576" s="1"/>
    </row>
    <row r="577" spans="7:7" ht="13.2">
      <c r="G577" s="1"/>
    </row>
    <row r="578" spans="7:7" ht="13.2">
      <c r="G578" s="1"/>
    </row>
    <row r="579" spans="7:7" ht="13.2">
      <c r="G579" s="1"/>
    </row>
    <row r="580" spans="7:7" ht="13.2">
      <c r="G580" s="1"/>
    </row>
    <row r="581" spans="7:7" ht="13.2">
      <c r="G581" s="1"/>
    </row>
    <row r="582" spans="7:7" ht="13.2">
      <c r="G582" s="1"/>
    </row>
    <row r="583" spans="7:7" ht="13.2">
      <c r="G583" s="1"/>
    </row>
    <row r="584" spans="7:7" ht="13.2">
      <c r="G584" s="1"/>
    </row>
    <row r="585" spans="7:7" ht="13.2">
      <c r="G585" s="1"/>
    </row>
    <row r="586" spans="7:7" ht="13.2">
      <c r="G586" s="1"/>
    </row>
    <row r="587" spans="7:7" ht="13.2">
      <c r="G587" s="1"/>
    </row>
    <row r="588" spans="7:7" ht="13.2">
      <c r="G588" s="1"/>
    </row>
    <row r="589" spans="7:7" ht="13.2">
      <c r="G589" s="1"/>
    </row>
    <row r="590" spans="7:7" ht="13.2">
      <c r="G590" s="1"/>
    </row>
    <row r="591" spans="7:7" ht="13.2">
      <c r="G591" s="1"/>
    </row>
    <row r="592" spans="7:7" ht="13.2">
      <c r="G592" s="1"/>
    </row>
    <row r="593" spans="7:7" ht="13.2">
      <c r="G593" s="1"/>
    </row>
    <row r="594" spans="7:7" ht="13.2">
      <c r="G594" s="1"/>
    </row>
    <row r="595" spans="7:7" ht="13.2">
      <c r="G595" s="1"/>
    </row>
    <row r="596" spans="7:7" ht="13.2">
      <c r="G596" s="1"/>
    </row>
    <row r="597" spans="7:7" ht="13.2">
      <c r="G597" s="1"/>
    </row>
    <row r="598" spans="7:7" ht="13.2">
      <c r="G598" s="1"/>
    </row>
    <row r="599" spans="7:7" ht="13.2">
      <c r="G599" s="1"/>
    </row>
    <row r="600" spans="7:7" ht="13.2">
      <c r="G600" s="1"/>
    </row>
    <row r="601" spans="7:7" ht="13.2">
      <c r="G601" s="1"/>
    </row>
    <row r="602" spans="7:7" ht="13.2">
      <c r="G602" s="1"/>
    </row>
    <row r="603" spans="7:7" ht="13.2">
      <c r="G603" s="1"/>
    </row>
    <row r="604" spans="7:7" ht="13.2">
      <c r="G604" s="1"/>
    </row>
    <row r="605" spans="7:7" ht="13.2">
      <c r="G605" s="1"/>
    </row>
    <row r="606" spans="7:7" ht="13.2">
      <c r="G606" s="1"/>
    </row>
    <row r="607" spans="7:7" ht="13.2">
      <c r="G607" s="1"/>
    </row>
    <row r="608" spans="7:7" ht="13.2">
      <c r="G608" s="1"/>
    </row>
    <row r="609" spans="7:7" ht="13.2">
      <c r="G609" s="1"/>
    </row>
    <row r="610" spans="7:7" ht="13.2">
      <c r="G610" s="1"/>
    </row>
    <row r="611" spans="7:7" ht="13.2">
      <c r="G611" s="1"/>
    </row>
    <row r="612" spans="7:7" ht="13.2">
      <c r="G612" s="1"/>
    </row>
    <row r="613" spans="7:7" ht="13.2">
      <c r="G613" s="1"/>
    </row>
    <row r="614" spans="7:7" ht="13.2">
      <c r="G614" s="1"/>
    </row>
    <row r="615" spans="7:7" ht="13.2">
      <c r="G615" s="1"/>
    </row>
    <row r="616" spans="7:7" ht="13.2">
      <c r="G616" s="1"/>
    </row>
    <row r="617" spans="7:7" ht="13.2">
      <c r="G617" s="1"/>
    </row>
    <row r="618" spans="7:7" ht="13.2">
      <c r="G618" s="1"/>
    </row>
    <row r="619" spans="7:7" ht="13.2">
      <c r="G619" s="1"/>
    </row>
    <row r="620" spans="7:7" ht="13.2">
      <c r="G620" s="1"/>
    </row>
    <row r="621" spans="7:7" ht="13.2">
      <c r="G621" s="1"/>
    </row>
    <row r="622" spans="7:7" ht="13.2">
      <c r="G622" s="1"/>
    </row>
    <row r="623" spans="7:7" ht="13.2">
      <c r="G623" s="1"/>
    </row>
    <row r="624" spans="7:7" ht="13.2">
      <c r="G624" s="1"/>
    </row>
    <row r="625" spans="7:7" ht="13.2">
      <c r="G625" s="1"/>
    </row>
    <row r="626" spans="7:7" ht="13.2">
      <c r="G626" s="1"/>
    </row>
    <row r="627" spans="7:7" ht="13.2">
      <c r="G627" s="1"/>
    </row>
    <row r="628" spans="7:7" ht="13.2">
      <c r="G628" s="1"/>
    </row>
    <row r="629" spans="7:7" ht="13.2">
      <c r="G629" s="1"/>
    </row>
    <row r="630" spans="7:7" ht="13.2">
      <c r="G630" s="1"/>
    </row>
    <row r="631" spans="7:7" ht="13.2">
      <c r="G631" s="1"/>
    </row>
    <row r="632" spans="7:7" ht="13.2">
      <c r="G632" s="1"/>
    </row>
    <row r="633" spans="7:7" ht="13.2">
      <c r="G633" s="1"/>
    </row>
    <row r="634" spans="7:7" ht="13.2">
      <c r="G634" s="1"/>
    </row>
    <row r="635" spans="7:7" ht="13.2">
      <c r="G635" s="1"/>
    </row>
    <row r="636" spans="7:7" ht="13.2">
      <c r="G636" s="1"/>
    </row>
    <row r="637" spans="7:7" ht="13.2">
      <c r="G637" s="1"/>
    </row>
    <row r="638" spans="7:7" ht="13.2">
      <c r="G638" s="1"/>
    </row>
    <row r="639" spans="7:7" ht="13.2">
      <c r="G639" s="1"/>
    </row>
    <row r="640" spans="7:7" ht="13.2">
      <c r="G640" s="1"/>
    </row>
    <row r="641" spans="7:7" ht="13.2">
      <c r="G641" s="1"/>
    </row>
    <row r="642" spans="7:7" ht="13.2">
      <c r="G642" s="1"/>
    </row>
    <row r="643" spans="7:7" ht="13.2">
      <c r="G643" s="1"/>
    </row>
    <row r="644" spans="7:7" ht="13.2">
      <c r="G644" s="1"/>
    </row>
    <row r="645" spans="7:7" ht="13.2">
      <c r="G645" s="1"/>
    </row>
    <row r="646" spans="7:7" ht="13.2">
      <c r="G646" s="1"/>
    </row>
    <row r="647" spans="7:7" ht="13.2">
      <c r="G647" s="1"/>
    </row>
    <row r="648" spans="7:7" ht="13.2">
      <c r="G648" s="1"/>
    </row>
    <row r="649" spans="7:7" ht="13.2">
      <c r="G649" s="1"/>
    </row>
    <row r="650" spans="7:7" ht="13.2">
      <c r="G650" s="1"/>
    </row>
    <row r="651" spans="7:7" ht="13.2">
      <c r="G651" s="1"/>
    </row>
    <row r="652" spans="7:7" ht="13.2">
      <c r="G652" s="1"/>
    </row>
    <row r="653" spans="7:7" ht="13.2">
      <c r="G653" s="1"/>
    </row>
    <row r="654" spans="7:7" ht="13.2">
      <c r="G654" s="1"/>
    </row>
    <row r="655" spans="7:7" ht="13.2">
      <c r="G655" s="1"/>
    </row>
    <row r="656" spans="7:7" ht="13.2">
      <c r="G656" s="1"/>
    </row>
    <row r="657" spans="7:7" ht="13.2">
      <c r="G657" s="1"/>
    </row>
    <row r="658" spans="7:7" ht="13.2">
      <c r="G658" s="1"/>
    </row>
    <row r="659" spans="7:7" ht="13.2">
      <c r="G659" s="1"/>
    </row>
    <row r="660" spans="7:7" ht="13.2">
      <c r="G660" s="1"/>
    </row>
    <row r="661" spans="7:7" ht="13.2">
      <c r="G661" s="1"/>
    </row>
    <row r="662" spans="7:7" ht="13.2">
      <c r="G662" s="1"/>
    </row>
    <row r="663" spans="7:7" ht="13.2">
      <c r="G663" s="1"/>
    </row>
    <row r="664" spans="7:7" ht="13.2">
      <c r="G664" s="1"/>
    </row>
    <row r="665" spans="7:7" ht="13.2">
      <c r="G665" s="1"/>
    </row>
    <row r="666" spans="7:7" ht="13.2">
      <c r="G666" s="1"/>
    </row>
    <row r="667" spans="7:7" ht="13.2">
      <c r="G667" s="1"/>
    </row>
    <row r="668" spans="7:7" ht="13.2">
      <c r="G668" s="1"/>
    </row>
    <row r="669" spans="7:7" ht="13.2">
      <c r="G669" s="1"/>
    </row>
    <row r="670" spans="7:7" ht="13.2">
      <c r="G670" s="1"/>
    </row>
    <row r="671" spans="7:7" ht="13.2">
      <c r="G671" s="1"/>
    </row>
    <row r="672" spans="7:7" ht="13.2">
      <c r="G672" s="1"/>
    </row>
    <row r="673" spans="7:7" ht="13.2">
      <c r="G673" s="1"/>
    </row>
    <row r="674" spans="7:7" ht="13.2">
      <c r="G674" s="1"/>
    </row>
    <row r="675" spans="7:7" ht="13.2">
      <c r="G675" s="1"/>
    </row>
    <row r="676" spans="7:7" ht="13.2">
      <c r="G676" s="1"/>
    </row>
    <row r="677" spans="7:7" ht="13.2">
      <c r="G677" s="1"/>
    </row>
    <row r="678" spans="7:7" ht="13.2">
      <c r="G678" s="1"/>
    </row>
    <row r="679" spans="7:7" ht="13.2">
      <c r="G679" s="1"/>
    </row>
    <row r="680" spans="7:7" ht="13.2">
      <c r="G680" s="1"/>
    </row>
    <row r="681" spans="7:7" ht="13.2">
      <c r="G681" s="1"/>
    </row>
    <row r="682" spans="7:7" ht="13.2">
      <c r="G682" s="1"/>
    </row>
    <row r="683" spans="7:7" ht="13.2">
      <c r="G683" s="1"/>
    </row>
    <row r="684" spans="7:7" ht="13.2">
      <c r="G684" s="1"/>
    </row>
    <row r="685" spans="7:7" ht="13.2">
      <c r="G685" s="1"/>
    </row>
    <row r="686" spans="7:7" ht="13.2">
      <c r="G686" s="1"/>
    </row>
    <row r="687" spans="7:7" ht="13.2">
      <c r="G687" s="1"/>
    </row>
    <row r="688" spans="7:7" ht="13.2">
      <c r="G688" s="1"/>
    </row>
    <row r="689" spans="7:7" ht="13.2">
      <c r="G689" s="1"/>
    </row>
    <row r="690" spans="7:7" ht="13.2">
      <c r="G690" s="1"/>
    </row>
    <row r="691" spans="7:7" ht="13.2">
      <c r="G691" s="1"/>
    </row>
    <row r="692" spans="7:7" ht="13.2">
      <c r="G692" s="1"/>
    </row>
    <row r="693" spans="7:7" ht="13.2">
      <c r="G693" s="1"/>
    </row>
    <row r="694" spans="7:7" ht="13.2">
      <c r="G694" s="1"/>
    </row>
    <row r="695" spans="7:7" ht="13.2">
      <c r="G695" s="1"/>
    </row>
    <row r="696" spans="7:7" ht="13.2">
      <c r="G696" s="1"/>
    </row>
    <row r="697" spans="7:7" ht="13.2">
      <c r="G697" s="1"/>
    </row>
    <row r="698" spans="7:7" ht="13.2">
      <c r="G698" s="1"/>
    </row>
    <row r="699" spans="7:7" ht="13.2">
      <c r="G699" s="1"/>
    </row>
    <row r="700" spans="7:7" ht="13.2">
      <c r="G700" s="1"/>
    </row>
    <row r="701" spans="7:7" ht="13.2">
      <c r="G701" s="1"/>
    </row>
    <row r="702" spans="7:7" ht="13.2">
      <c r="G702" s="1"/>
    </row>
    <row r="703" spans="7:7" ht="13.2">
      <c r="G703" s="1"/>
    </row>
    <row r="704" spans="7:7" ht="13.2">
      <c r="G704" s="1"/>
    </row>
    <row r="705" spans="7:7" ht="13.2">
      <c r="G705" s="1"/>
    </row>
    <row r="706" spans="7:7" ht="13.2">
      <c r="G706" s="1"/>
    </row>
    <row r="707" spans="7:7" ht="13.2">
      <c r="G707" s="1"/>
    </row>
    <row r="708" spans="7:7" ht="13.2">
      <c r="G708" s="1"/>
    </row>
    <row r="709" spans="7:7" ht="13.2">
      <c r="G709" s="1"/>
    </row>
    <row r="710" spans="7:7" ht="13.2">
      <c r="G710" s="1"/>
    </row>
    <row r="711" spans="7:7" ht="13.2">
      <c r="G711" s="1"/>
    </row>
    <row r="712" spans="7:7" ht="13.2">
      <c r="G712" s="1"/>
    </row>
    <row r="713" spans="7:7" ht="13.2">
      <c r="G713" s="1"/>
    </row>
    <row r="714" spans="7:7" ht="13.2">
      <c r="G714" s="1"/>
    </row>
    <row r="715" spans="7:7" ht="13.2">
      <c r="G715" s="1"/>
    </row>
    <row r="716" spans="7:7" ht="13.2">
      <c r="G716" s="1"/>
    </row>
    <row r="717" spans="7:7" ht="13.2">
      <c r="G717" s="1"/>
    </row>
    <row r="718" spans="7:7" ht="13.2">
      <c r="G718" s="1"/>
    </row>
    <row r="719" spans="7:7" ht="13.2">
      <c r="G719" s="1"/>
    </row>
    <row r="720" spans="7:7" ht="13.2">
      <c r="G720" s="1"/>
    </row>
    <row r="721" spans="7:7" ht="13.2">
      <c r="G721" s="1"/>
    </row>
    <row r="722" spans="7:7" ht="13.2">
      <c r="G722" s="1"/>
    </row>
    <row r="723" spans="7:7" ht="13.2">
      <c r="G723" s="1"/>
    </row>
    <row r="724" spans="7:7" ht="13.2">
      <c r="G724" s="1"/>
    </row>
    <row r="725" spans="7:7" ht="13.2">
      <c r="G725" s="1"/>
    </row>
    <row r="726" spans="7:7" ht="13.2">
      <c r="G726" s="1"/>
    </row>
    <row r="727" spans="7:7" ht="13.2">
      <c r="G727" s="1"/>
    </row>
    <row r="728" spans="7:7" ht="13.2">
      <c r="G728" s="1"/>
    </row>
    <row r="729" spans="7:7" ht="13.2">
      <c r="G729" s="1"/>
    </row>
    <row r="730" spans="7:7" ht="13.2">
      <c r="G730" s="1"/>
    </row>
    <row r="731" spans="7:7" ht="13.2">
      <c r="G731" s="1"/>
    </row>
    <row r="732" spans="7:7" ht="13.2">
      <c r="G732" s="1"/>
    </row>
    <row r="733" spans="7:7" ht="13.2">
      <c r="G733" s="1"/>
    </row>
    <row r="734" spans="7:7" ht="13.2">
      <c r="G734" s="1"/>
    </row>
    <row r="735" spans="7:7" ht="13.2">
      <c r="G735" s="1"/>
    </row>
    <row r="736" spans="7:7" ht="13.2">
      <c r="G736" s="1"/>
    </row>
    <row r="737" spans="7:7" ht="13.2">
      <c r="G737" s="1"/>
    </row>
    <row r="738" spans="7:7" ht="13.2">
      <c r="G738" s="1"/>
    </row>
    <row r="739" spans="7:7" ht="13.2">
      <c r="G739" s="1"/>
    </row>
    <row r="740" spans="7:7" ht="13.2">
      <c r="G740" s="1"/>
    </row>
    <row r="741" spans="7:7" ht="13.2">
      <c r="G741" s="1"/>
    </row>
    <row r="742" spans="7:7" ht="13.2">
      <c r="G742" s="1"/>
    </row>
    <row r="743" spans="7:7" ht="13.2">
      <c r="G743" s="1"/>
    </row>
    <row r="744" spans="7:7" ht="13.2">
      <c r="G744" s="1"/>
    </row>
    <row r="745" spans="7:7" ht="13.2">
      <c r="G745" s="1"/>
    </row>
    <row r="746" spans="7:7" ht="13.2">
      <c r="G746" s="1"/>
    </row>
    <row r="747" spans="7:7" ht="13.2">
      <c r="G747" s="1"/>
    </row>
    <row r="748" spans="7:7" ht="13.2">
      <c r="G748" s="1"/>
    </row>
    <row r="749" spans="7:7" ht="13.2">
      <c r="G749" s="1"/>
    </row>
    <row r="750" spans="7:7" ht="13.2">
      <c r="G750" s="1"/>
    </row>
    <row r="751" spans="7:7" ht="13.2">
      <c r="G751" s="1"/>
    </row>
    <row r="752" spans="7:7" ht="13.2">
      <c r="G752" s="1"/>
    </row>
    <row r="753" spans="7:7" ht="13.2">
      <c r="G753" s="1"/>
    </row>
    <row r="754" spans="7:7" ht="13.2">
      <c r="G754" s="1"/>
    </row>
    <row r="755" spans="7:7" ht="13.2">
      <c r="G755" s="1"/>
    </row>
    <row r="756" spans="7:7" ht="13.2">
      <c r="G756" s="1"/>
    </row>
    <row r="757" spans="7:7" ht="13.2">
      <c r="G757" s="1"/>
    </row>
    <row r="758" spans="7:7" ht="13.2">
      <c r="G758" s="1"/>
    </row>
    <row r="759" spans="7:7" ht="13.2">
      <c r="G759" s="1"/>
    </row>
    <row r="760" spans="7:7" ht="13.2">
      <c r="G760" s="1"/>
    </row>
    <row r="761" spans="7:7" ht="13.2">
      <c r="G761" s="1"/>
    </row>
    <row r="762" spans="7:7" ht="13.2">
      <c r="G762" s="1"/>
    </row>
    <row r="763" spans="7:7" ht="13.2">
      <c r="G763" s="1"/>
    </row>
    <row r="764" spans="7:7" ht="13.2">
      <c r="G764" s="1"/>
    </row>
    <row r="765" spans="7:7" ht="13.2">
      <c r="G765" s="1"/>
    </row>
    <row r="766" spans="7:7" ht="13.2">
      <c r="G766" s="1"/>
    </row>
    <row r="767" spans="7:7" ht="13.2">
      <c r="G767" s="1"/>
    </row>
    <row r="768" spans="7:7" ht="13.2">
      <c r="G768" s="1"/>
    </row>
    <row r="769" spans="7:7" ht="13.2">
      <c r="G769" s="1"/>
    </row>
    <row r="770" spans="7:7" ht="13.2">
      <c r="G770" s="1"/>
    </row>
    <row r="771" spans="7:7" ht="13.2">
      <c r="G771" s="1"/>
    </row>
    <row r="772" spans="7:7" ht="13.2">
      <c r="G772" s="1"/>
    </row>
    <row r="773" spans="7:7" ht="13.2">
      <c r="G773" s="1"/>
    </row>
    <row r="774" spans="7:7" ht="13.2">
      <c r="G774" s="1"/>
    </row>
    <row r="775" spans="7:7" ht="13.2">
      <c r="G775" s="1"/>
    </row>
    <row r="776" spans="7:7" ht="13.2">
      <c r="G776" s="1"/>
    </row>
    <row r="777" spans="7:7" ht="13.2">
      <c r="G777" s="1"/>
    </row>
    <row r="778" spans="7:7" ht="13.2">
      <c r="G778" s="1"/>
    </row>
    <row r="779" spans="7:7" ht="13.2">
      <c r="G779" s="1"/>
    </row>
    <row r="780" spans="7:7" ht="13.2">
      <c r="G780" s="1"/>
    </row>
    <row r="781" spans="7:7" ht="13.2">
      <c r="G781" s="1"/>
    </row>
    <row r="782" spans="7:7" ht="13.2">
      <c r="G782" s="1"/>
    </row>
    <row r="783" spans="7:7" ht="13.2">
      <c r="G783" s="1"/>
    </row>
    <row r="784" spans="7:7" ht="13.2">
      <c r="G784" s="1"/>
    </row>
    <row r="785" spans="7:7" ht="13.2">
      <c r="G785" s="1"/>
    </row>
    <row r="786" spans="7:7" ht="13.2">
      <c r="G786" s="1"/>
    </row>
    <row r="787" spans="7:7" ht="13.2">
      <c r="G787" s="1"/>
    </row>
    <row r="788" spans="7:7" ht="13.2">
      <c r="G788" s="1"/>
    </row>
    <row r="789" spans="7:7" ht="13.2">
      <c r="G789" s="1"/>
    </row>
    <row r="790" spans="7:7" ht="13.2">
      <c r="G790" s="1"/>
    </row>
    <row r="791" spans="7:7" ht="13.2">
      <c r="G791" s="1"/>
    </row>
    <row r="792" spans="7:7" ht="13.2">
      <c r="G792" s="1"/>
    </row>
    <row r="793" spans="7:7" ht="13.2">
      <c r="G793" s="1"/>
    </row>
    <row r="794" spans="7:7" ht="13.2">
      <c r="G794" s="1"/>
    </row>
    <row r="795" spans="7:7" ht="13.2">
      <c r="G795" s="1"/>
    </row>
    <row r="796" spans="7:7" ht="13.2">
      <c r="G796" s="1"/>
    </row>
    <row r="797" spans="7:7" ht="13.2">
      <c r="G797" s="1"/>
    </row>
    <row r="798" spans="7:7" ht="13.2">
      <c r="G798" s="1"/>
    </row>
    <row r="799" spans="7:7" ht="13.2">
      <c r="G799" s="1"/>
    </row>
    <row r="800" spans="7:7" ht="13.2">
      <c r="G800" s="1"/>
    </row>
    <row r="801" spans="7:7" ht="13.2">
      <c r="G801" s="1"/>
    </row>
    <row r="802" spans="7:7" ht="13.2">
      <c r="G802" s="1"/>
    </row>
    <row r="803" spans="7:7" ht="13.2">
      <c r="G803" s="1"/>
    </row>
    <row r="804" spans="7:7" ht="13.2">
      <c r="G804" s="1"/>
    </row>
    <row r="805" spans="7:7" ht="13.2">
      <c r="G805" s="1"/>
    </row>
    <row r="806" spans="7:7" ht="13.2">
      <c r="G806" s="1"/>
    </row>
    <row r="807" spans="7:7" ht="13.2">
      <c r="G807" s="1"/>
    </row>
    <row r="808" spans="7:7" ht="13.2">
      <c r="G808" s="1"/>
    </row>
    <row r="809" spans="7:7" ht="13.2">
      <c r="G809" s="1"/>
    </row>
    <row r="810" spans="7:7" ht="13.2">
      <c r="G810" s="1"/>
    </row>
    <row r="811" spans="7:7" ht="13.2">
      <c r="G811" s="1"/>
    </row>
    <row r="812" spans="7:7" ht="13.2">
      <c r="G812" s="1"/>
    </row>
    <row r="813" spans="7:7" ht="13.2">
      <c r="G813" s="1"/>
    </row>
    <row r="814" spans="7:7" ht="13.2">
      <c r="G814" s="1"/>
    </row>
    <row r="815" spans="7:7" ht="13.2">
      <c r="G815" s="1"/>
    </row>
    <row r="816" spans="7:7" ht="13.2">
      <c r="G816" s="1"/>
    </row>
    <row r="817" spans="7:7" ht="13.2">
      <c r="G817" s="1"/>
    </row>
    <row r="818" spans="7:7" ht="13.2">
      <c r="G818" s="1"/>
    </row>
    <row r="819" spans="7:7" ht="13.2">
      <c r="G819" s="1"/>
    </row>
    <row r="820" spans="7:7" ht="13.2">
      <c r="G820" s="1"/>
    </row>
    <row r="821" spans="7:7" ht="13.2">
      <c r="G821" s="1"/>
    </row>
    <row r="822" spans="7:7" ht="13.2">
      <c r="G822" s="1"/>
    </row>
    <row r="823" spans="7:7" ht="13.2">
      <c r="G823" s="1"/>
    </row>
    <row r="824" spans="7:7" ht="13.2">
      <c r="G824" s="1"/>
    </row>
    <row r="825" spans="7:7" ht="13.2">
      <c r="G825" s="1"/>
    </row>
    <row r="826" spans="7:7" ht="13.2">
      <c r="G826" s="1"/>
    </row>
    <row r="827" spans="7:7" ht="13.2">
      <c r="G827" s="1"/>
    </row>
    <row r="828" spans="7:7" ht="13.2">
      <c r="G828" s="1"/>
    </row>
    <row r="829" spans="7:7" ht="13.2">
      <c r="G829" s="1"/>
    </row>
    <row r="830" spans="7:7" ht="13.2">
      <c r="G830" s="1"/>
    </row>
    <row r="831" spans="7:7" ht="13.2">
      <c r="G831" s="1"/>
    </row>
    <row r="832" spans="7:7" ht="13.2">
      <c r="G832" s="1"/>
    </row>
    <row r="833" spans="7:7" ht="13.2">
      <c r="G833" s="1"/>
    </row>
    <row r="834" spans="7:7" ht="13.2">
      <c r="G834" s="1"/>
    </row>
    <row r="835" spans="7:7" ht="13.2">
      <c r="G835" s="1"/>
    </row>
    <row r="836" spans="7:7" ht="13.2">
      <c r="G836" s="1"/>
    </row>
    <row r="837" spans="7:7" ht="13.2">
      <c r="G837" s="1"/>
    </row>
    <row r="838" spans="7:7" ht="13.2">
      <c r="G838" s="1"/>
    </row>
    <row r="839" spans="7:7" ht="13.2">
      <c r="G839" s="1"/>
    </row>
    <row r="840" spans="7:7" ht="13.2">
      <c r="G840" s="1"/>
    </row>
    <row r="841" spans="7:7" ht="13.2">
      <c r="G841" s="1"/>
    </row>
    <row r="842" spans="7:7" ht="13.2">
      <c r="G842" s="1"/>
    </row>
    <row r="843" spans="7:7" ht="13.2">
      <c r="G843" s="1"/>
    </row>
    <row r="844" spans="7:7" ht="13.2">
      <c r="G844" s="1"/>
    </row>
    <row r="845" spans="7:7" ht="13.2">
      <c r="G845" s="1"/>
    </row>
    <row r="846" spans="7:7" ht="13.2">
      <c r="G846" s="1"/>
    </row>
    <row r="847" spans="7:7" ht="13.2">
      <c r="G847" s="1"/>
    </row>
    <row r="848" spans="7:7" ht="13.2">
      <c r="G848" s="1"/>
    </row>
    <row r="849" spans="7:7" ht="13.2">
      <c r="G849" s="1"/>
    </row>
    <row r="850" spans="7:7" ht="13.2">
      <c r="G850" s="1"/>
    </row>
    <row r="851" spans="7:7" ht="13.2">
      <c r="G851" s="1"/>
    </row>
    <row r="852" spans="7:7" ht="13.2">
      <c r="G852" s="1"/>
    </row>
    <row r="853" spans="7:7" ht="13.2">
      <c r="G853" s="1"/>
    </row>
    <row r="854" spans="7:7" ht="13.2">
      <c r="G854" s="1"/>
    </row>
    <row r="855" spans="7:7" ht="13.2">
      <c r="G855" s="1"/>
    </row>
    <row r="856" spans="7:7" ht="13.2">
      <c r="G856" s="1"/>
    </row>
    <row r="857" spans="7:7" ht="13.2">
      <c r="G857" s="1"/>
    </row>
    <row r="858" spans="7:7" ht="13.2">
      <c r="G858" s="1"/>
    </row>
    <row r="859" spans="7:7" ht="13.2">
      <c r="G859" s="1"/>
    </row>
    <row r="860" spans="7:7" ht="13.2">
      <c r="G860" s="1"/>
    </row>
    <row r="861" spans="7:7" ht="13.2">
      <c r="G861" s="1"/>
    </row>
    <row r="862" spans="7:7" ht="13.2">
      <c r="G862" s="1"/>
    </row>
    <row r="863" spans="7:7" ht="13.2">
      <c r="G863" s="1"/>
    </row>
    <row r="864" spans="7:7" ht="13.2">
      <c r="G864" s="1"/>
    </row>
    <row r="865" spans="7:7" ht="13.2">
      <c r="G865" s="1"/>
    </row>
    <row r="866" spans="7:7" ht="13.2">
      <c r="G866" s="1"/>
    </row>
    <row r="867" spans="7:7" ht="13.2">
      <c r="G867" s="1"/>
    </row>
    <row r="868" spans="7:7" ht="13.2">
      <c r="G868" s="1"/>
    </row>
    <row r="869" spans="7:7" ht="13.2">
      <c r="G869" s="1"/>
    </row>
    <row r="870" spans="7:7" ht="13.2">
      <c r="G870" s="1"/>
    </row>
    <row r="871" spans="7:7" ht="13.2">
      <c r="G871" s="1"/>
    </row>
    <row r="872" spans="7:7" ht="13.2">
      <c r="G872" s="1"/>
    </row>
    <row r="873" spans="7:7" ht="13.2">
      <c r="G873" s="1"/>
    </row>
    <row r="874" spans="7:7" ht="13.2">
      <c r="G874" s="1"/>
    </row>
    <row r="875" spans="7:7" ht="13.2">
      <c r="G875" s="1"/>
    </row>
    <row r="876" spans="7:7" ht="13.2">
      <c r="G876" s="1"/>
    </row>
    <row r="877" spans="7:7" ht="13.2">
      <c r="G877" s="1"/>
    </row>
    <row r="878" spans="7:7" ht="13.2">
      <c r="G878" s="1"/>
    </row>
    <row r="879" spans="7:7" ht="13.2">
      <c r="G879" s="1"/>
    </row>
    <row r="880" spans="7:7" ht="13.2">
      <c r="G880" s="1"/>
    </row>
    <row r="881" spans="7:7" ht="13.2">
      <c r="G881" s="1"/>
    </row>
    <row r="882" spans="7:7" ht="13.2">
      <c r="G882" s="1"/>
    </row>
    <row r="883" spans="7:7" ht="13.2">
      <c r="G883" s="1"/>
    </row>
    <row r="884" spans="7:7" ht="13.2">
      <c r="G884" s="1"/>
    </row>
    <row r="885" spans="7:7" ht="13.2">
      <c r="G885" s="1"/>
    </row>
    <row r="886" spans="7:7" ht="13.2">
      <c r="G886" s="1"/>
    </row>
    <row r="887" spans="7:7" ht="13.2">
      <c r="G887" s="1"/>
    </row>
    <row r="888" spans="7:7" ht="13.2">
      <c r="G888" s="1"/>
    </row>
    <row r="889" spans="7:7" ht="13.2">
      <c r="G889" s="1"/>
    </row>
    <row r="890" spans="7:7" ht="13.2">
      <c r="G890" s="1"/>
    </row>
    <row r="891" spans="7:7" ht="13.2">
      <c r="G891" s="1"/>
    </row>
    <row r="892" spans="7:7" ht="13.2">
      <c r="G892" s="1"/>
    </row>
    <row r="893" spans="7:7" ht="13.2">
      <c r="G893" s="1"/>
    </row>
    <row r="894" spans="7:7" ht="13.2">
      <c r="G894" s="1"/>
    </row>
    <row r="895" spans="7:7" ht="13.2">
      <c r="G895" s="1"/>
    </row>
    <row r="896" spans="7:7" ht="13.2">
      <c r="G896" s="1"/>
    </row>
    <row r="897" spans="7:7" ht="13.2">
      <c r="G897" s="1"/>
    </row>
    <row r="898" spans="7:7" ht="13.2">
      <c r="G898" s="1"/>
    </row>
    <row r="899" spans="7:7" ht="13.2">
      <c r="G899" s="1"/>
    </row>
    <row r="900" spans="7:7" ht="13.2">
      <c r="G900" s="1"/>
    </row>
    <row r="901" spans="7:7" ht="13.2">
      <c r="G901" s="1"/>
    </row>
    <row r="902" spans="7:7" ht="13.2">
      <c r="G902" s="1"/>
    </row>
    <row r="903" spans="7:7" ht="13.2">
      <c r="G903" s="1"/>
    </row>
    <row r="904" spans="7:7" ht="13.2">
      <c r="G904" s="1"/>
    </row>
    <row r="905" spans="7:7" ht="13.2">
      <c r="G905" s="1"/>
    </row>
    <row r="906" spans="7:7" ht="13.2">
      <c r="G906" s="1"/>
    </row>
    <row r="907" spans="7:7" ht="13.2">
      <c r="G907" s="1"/>
    </row>
    <row r="908" spans="7:7" ht="13.2">
      <c r="G908" s="1"/>
    </row>
    <row r="909" spans="7:7" ht="13.2">
      <c r="G909" s="1"/>
    </row>
    <row r="910" spans="7:7" ht="13.2">
      <c r="G910" s="1"/>
    </row>
    <row r="911" spans="7:7" ht="13.2">
      <c r="G911" s="1"/>
    </row>
    <row r="912" spans="7:7" ht="13.2">
      <c r="G912" s="1"/>
    </row>
    <row r="913" spans="7:7" ht="13.2">
      <c r="G913" s="1"/>
    </row>
    <row r="914" spans="7:7" ht="13.2">
      <c r="G914" s="1"/>
    </row>
    <row r="915" spans="7:7" ht="13.2">
      <c r="G915" s="1"/>
    </row>
    <row r="916" spans="7:7" ht="13.2">
      <c r="G916" s="1"/>
    </row>
    <row r="917" spans="7:7" ht="13.2">
      <c r="G917" s="1"/>
    </row>
    <row r="918" spans="7:7" ht="13.2">
      <c r="G918" s="1"/>
    </row>
    <row r="919" spans="7:7" ht="13.2">
      <c r="G919" s="1"/>
    </row>
    <row r="920" spans="7:7" ht="13.2">
      <c r="G920" s="1"/>
    </row>
    <row r="921" spans="7:7" ht="13.2">
      <c r="G921" s="1"/>
    </row>
    <row r="922" spans="7:7" ht="13.2">
      <c r="G922" s="1"/>
    </row>
    <row r="923" spans="7:7" ht="13.2">
      <c r="G923" s="1"/>
    </row>
    <row r="924" spans="7:7" ht="13.2">
      <c r="G924" s="1"/>
    </row>
    <row r="925" spans="7:7" ht="13.2">
      <c r="G925" s="1"/>
    </row>
    <row r="926" spans="7:7" ht="13.2">
      <c r="G926" s="1"/>
    </row>
    <row r="927" spans="7:7" ht="13.2">
      <c r="G927" s="1"/>
    </row>
    <row r="928" spans="7:7" ht="13.2">
      <c r="G928" s="1"/>
    </row>
    <row r="929" spans="7:7" ht="13.2">
      <c r="G929" s="1"/>
    </row>
    <row r="930" spans="7:7" ht="13.2">
      <c r="G930" s="1"/>
    </row>
    <row r="931" spans="7:7" ht="13.2">
      <c r="G931" s="1"/>
    </row>
    <row r="932" spans="7:7" ht="13.2">
      <c r="G932" s="1"/>
    </row>
    <row r="933" spans="7:7" ht="13.2">
      <c r="G933" s="1"/>
    </row>
    <row r="934" spans="7:7" ht="13.2">
      <c r="G934" s="1"/>
    </row>
    <row r="935" spans="7:7" ht="13.2">
      <c r="G935" s="1"/>
    </row>
    <row r="936" spans="7:7" ht="13.2">
      <c r="G936" s="1"/>
    </row>
    <row r="937" spans="7:7" ht="13.2">
      <c r="G937" s="1"/>
    </row>
    <row r="938" spans="7:7" ht="13.2">
      <c r="G938" s="1"/>
    </row>
    <row r="939" spans="7:7" ht="13.2">
      <c r="G939" s="1"/>
    </row>
    <row r="940" spans="7:7" ht="13.2">
      <c r="G940" s="1"/>
    </row>
    <row r="941" spans="7:7" ht="13.2">
      <c r="G941" s="1"/>
    </row>
    <row r="942" spans="7:7" ht="13.2">
      <c r="G942" s="1"/>
    </row>
    <row r="943" spans="7:7" ht="13.2">
      <c r="G943" s="1"/>
    </row>
    <row r="944" spans="7:7" ht="13.2">
      <c r="G944" s="1"/>
    </row>
    <row r="945" spans="7:7" ht="13.2">
      <c r="G945" s="1"/>
    </row>
    <row r="946" spans="7:7" ht="13.2">
      <c r="G946" s="1"/>
    </row>
    <row r="947" spans="7:7" ht="13.2">
      <c r="G947" s="1"/>
    </row>
    <row r="948" spans="7:7" ht="13.2">
      <c r="G948" s="1"/>
    </row>
    <row r="949" spans="7:7" ht="13.2">
      <c r="G949" s="1"/>
    </row>
    <row r="950" spans="7:7" ht="13.2">
      <c r="G950" s="1"/>
    </row>
    <row r="951" spans="7:7" ht="13.2">
      <c r="G951" s="1"/>
    </row>
    <row r="952" spans="7:7" ht="13.2">
      <c r="G952" s="1"/>
    </row>
    <row r="953" spans="7:7" ht="13.2">
      <c r="G953" s="1"/>
    </row>
    <row r="954" spans="7:7" ht="13.2">
      <c r="G954" s="1"/>
    </row>
    <row r="955" spans="7:7" ht="13.2">
      <c r="G955" s="1"/>
    </row>
    <row r="956" spans="7:7" ht="13.2">
      <c r="G956" s="1"/>
    </row>
    <row r="957" spans="7:7" ht="13.2">
      <c r="G957" s="1"/>
    </row>
    <row r="958" spans="7:7" ht="13.2">
      <c r="G958" s="1"/>
    </row>
    <row r="959" spans="7:7" ht="13.2">
      <c r="G959" s="1"/>
    </row>
    <row r="960" spans="7:7" ht="13.2">
      <c r="G960" s="1"/>
    </row>
    <row r="961" spans="7:7" ht="13.2">
      <c r="G961" s="1"/>
    </row>
    <row r="962" spans="7:7" ht="13.2">
      <c r="G962" s="1"/>
    </row>
    <row r="963" spans="7:7" ht="13.2">
      <c r="G963" s="1"/>
    </row>
    <row r="964" spans="7:7" ht="13.2">
      <c r="G964" s="1"/>
    </row>
    <row r="965" spans="7:7" ht="13.2">
      <c r="G965" s="1"/>
    </row>
    <row r="966" spans="7:7" ht="13.2">
      <c r="G966" s="1"/>
    </row>
    <row r="967" spans="7:7" ht="13.2">
      <c r="G967" s="1"/>
    </row>
    <row r="968" spans="7:7" ht="13.2">
      <c r="G968" s="1"/>
    </row>
    <row r="969" spans="7:7" ht="13.2">
      <c r="G969" s="1"/>
    </row>
    <row r="970" spans="7:7" ht="13.2">
      <c r="G970" s="1"/>
    </row>
    <row r="971" spans="7:7" ht="13.2">
      <c r="G971" s="1"/>
    </row>
    <row r="972" spans="7:7" ht="13.2">
      <c r="G972" s="1"/>
    </row>
    <row r="973" spans="7:7" ht="13.2">
      <c r="G973" s="1"/>
    </row>
    <row r="974" spans="7:7" ht="13.2">
      <c r="G974" s="1"/>
    </row>
    <row r="975" spans="7:7" ht="13.2">
      <c r="G975" s="1"/>
    </row>
    <row r="976" spans="7:7" ht="13.2">
      <c r="G976" s="1"/>
    </row>
    <row r="977" spans="7:7" ht="13.2">
      <c r="G977" s="1"/>
    </row>
    <row r="978" spans="7:7" ht="13.2">
      <c r="G978" s="1"/>
    </row>
    <row r="979" spans="7:7" ht="13.2">
      <c r="G979" s="1"/>
    </row>
    <row r="980" spans="7:7" ht="13.2">
      <c r="G980" s="1"/>
    </row>
    <row r="981" spans="7:7" ht="13.2">
      <c r="G981" s="1"/>
    </row>
    <row r="982" spans="7:7" ht="13.2">
      <c r="G982" s="1"/>
    </row>
    <row r="983" spans="7:7" ht="13.2">
      <c r="G983" s="1"/>
    </row>
    <row r="984" spans="7:7" ht="13.2">
      <c r="G984" s="1"/>
    </row>
    <row r="985" spans="7:7" ht="13.2">
      <c r="G985" s="1"/>
    </row>
    <row r="986" spans="7:7" ht="13.2">
      <c r="G986" s="1"/>
    </row>
    <row r="987" spans="7:7" ht="13.2">
      <c r="G987" s="1"/>
    </row>
    <row r="988" spans="7:7" ht="13.2">
      <c r="G988" s="1"/>
    </row>
    <row r="989" spans="7:7" ht="13.2">
      <c r="G989" s="1"/>
    </row>
    <row r="990" spans="7:7" ht="13.2">
      <c r="G990" s="1"/>
    </row>
    <row r="991" spans="7:7" ht="13.2">
      <c r="G991" s="1"/>
    </row>
    <row r="992" spans="7:7" ht="13.2">
      <c r="G992" s="1"/>
    </row>
    <row r="993" spans="7:7" ht="13.2">
      <c r="G993" s="1"/>
    </row>
    <row r="994" spans="7:7" ht="13.2">
      <c r="G994" s="1"/>
    </row>
  </sheetData>
  <mergeCells count="31"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  <mergeCell ref="B3:J6"/>
    <mergeCell ref="K3:V4"/>
    <mergeCell ref="W3:W4"/>
    <mergeCell ref="K5:V6"/>
    <mergeCell ref="W5:W6"/>
    <mergeCell ref="U41:W44"/>
    <mergeCell ref="U45:W45"/>
    <mergeCell ref="P7:P8"/>
    <mergeCell ref="Q7:Q8"/>
    <mergeCell ref="B35:T45"/>
    <mergeCell ref="U37:W37"/>
    <mergeCell ref="U38:W38"/>
    <mergeCell ref="U39:W39"/>
    <mergeCell ref="U40:W40"/>
    <mergeCell ref="J7:J8"/>
    <mergeCell ref="K7:K8"/>
    <mergeCell ref="L7:L8"/>
    <mergeCell ref="M7:M8"/>
    <mergeCell ref="N7:N8"/>
    <mergeCell ref="R7:R8"/>
    <mergeCell ref="S7:U7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Y996"/>
  <sheetViews>
    <sheetView topLeftCell="A19" zoomScale="70" zoomScaleNormal="70" workbookViewId="0">
      <selection activeCell="X35" sqref="X35"/>
    </sheetView>
  </sheetViews>
  <sheetFormatPr defaultColWidth="12.6640625" defaultRowHeight="15.75" customHeight="1"/>
  <cols>
    <col min="3" max="8" width="0" hidden="1" customWidth="1"/>
    <col min="9" max="9" width="48.21875" customWidth="1"/>
    <col min="10" max="10" width="0" hidden="1" customWidth="1"/>
    <col min="11" max="13" width="12.6640625" hidden="1" customWidth="1"/>
    <col min="14" max="14" width="16.88671875" hidden="1" customWidth="1"/>
    <col min="15" max="21" width="12.6640625" hidden="1" customWidth="1"/>
    <col min="22" max="22" width="13.77734375" hidden="1" customWidth="1"/>
    <col min="23" max="23" width="17.77734375" customWidth="1"/>
    <col min="25" max="25" width="17.77734375" bestFit="1" customWidth="1"/>
  </cols>
  <sheetData>
    <row r="1" spans="2:25" ht="15.75" customHeight="1">
      <c r="G1" s="1"/>
    </row>
    <row r="2" spans="2:25" ht="15.75" customHeight="1">
      <c r="G2" s="1"/>
    </row>
    <row r="3" spans="2:25" ht="15.75" customHeight="1">
      <c r="B3" s="618"/>
      <c r="C3" s="618"/>
      <c r="D3" s="618"/>
      <c r="E3" s="618"/>
      <c r="F3" s="618"/>
      <c r="G3" s="618"/>
      <c r="H3" s="618"/>
      <c r="I3" s="618"/>
      <c r="J3" s="618"/>
      <c r="K3" s="626" t="s">
        <v>0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29"/>
    </row>
    <row r="4" spans="2:25" ht="15.75" customHeight="1">
      <c r="B4" s="618"/>
      <c r="C4" s="618"/>
      <c r="D4" s="618"/>
      <c r="E4" s="618"/>
      <c r="F4" s="618"/>
      <c r="G4" s="618"/>
      <c r="H4" s="618"/>
      <c r="I4" s="618"/>
      <c r="J4" s="618"/>
      <c r="K4" s="625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20"/>
    </row>
    <row r="5" spans="2:25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30" t="s">
        <v>156</v>
      </c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31"/>
      <c r="W5" s="632"/>
    </row>
    <row r="6" spans="2:25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20"/>
    </row>
    <row r="7" spans="2:25" ht="15.75" customHeight="1">
      <c r="B7" s="633" t="s">
        <v>2</v>
      </c>
      <c r="C7" s="619" t="s">
        <v>3</v>
      </c>
      <c r="D7" s="619" t="s">
        <v>4</v>
      </c>
      <c r="E7" s="619" t="s">
        <v>5</v>
      </c>
      <c r="F7" s="622" t="s">
        <v>6</v>
      </c>
      <c r="G7" s="636" t="s">
        <v>7</v>
      </c>
      <c r="H7" s="621" t="s">
        <v>8</v>
      </c>
      <c r="I7" s="621" t="s">
        <v>9</v>
      </c>
      <c r="J7" s="621" t="s">
        <v>10</v>
      </c>
      <c r="K7" s="621" t="s">
        <v>11</v>
      </c>
      <c r="L7" s="621" t="s">
        <v>12</v>
      </c>
      <c r="M7" s="622" t="s">
        <v>13</v>
      </c>
      <c r="N7" s="621" t="s">
        <v>14</v>
      </c>
      <c r="O7" s="621" t="s">
        <v>15</v>
      </c>
      <c r="P7" s="619" t="s">
        <v>16</v>
      </c>
      <c r="Q7" s="619" t="s">
        <v>17</v>
      </c>
      <c r="R7" s="623" t="s">
        <v>18</v>
      </c>
      <c r="S7" s="624" t="s">
        <v>19</v>
      </c>
      <c r="T7" s="625"/>
      <c r="U7" s="620"/>
      <c r="V7" s="635" t="s">
        <v>20</v>
      </c>
      <c r="W7" s="2" t="s">
        <v>21</v>
      </c>
    </row>
    <row r="8" spans="2:25" ht="15.75" customHeight="1">
      <c r="B8" s="634"/>
      <c r="C8" s="620"/>
      <c r="D8" s="620"/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0"/>
      <c r="P8" s="620"/>
      <c r="Q8" s="620"/>
      <c r="R8" s="620"/>
      <c r="S8" s="3" t="s">
        <v>22</v>
      </c>
      <c r="T8" s="3" t="s">
        <v>23</v>
      </c>
      <c r="U8" s="3" t="s">
        <v>24</v>
      </c>
      <c r="V8" s="620"/>
      <c r="W8" s="4" t="s">
        <v>25</v>
      </c>
    </row>
    <row r="9" spans="2:25" ht="15.7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7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157</v>
      </c>
      <c r="W9" s="8" t="s">
        <v>28</v>
      </c>
    </row>
    <row r="10" spans="2:25" ht="13.2">
      <c r="B10" s="9">
        <v>2</v>
      </c>
      <c r="C10" s="10">
        <v>2000020631</v>
      </c>
      <c r="D10" s="10">
        <v>3000020537</v>
      </c>
      <c r="E10" s="11" t="s">
        <v>159</v>
      </c>
      <c r="F10" s="12">
        <v>44964</v>
      </c>
      <c r="G10" s="13">
        <v>21220000</v>
      </c>
      <c r="H10" s="14" t="s">
        <v>31</v>
      </c>
      <c r="I10" s="19" t="s">
        <v>160</v>
      </c>
      <c r="J10" s="10" t="s">
        <v>33</v>
      </c>
      <c r="K10" s="10" t="s">
        <v>34</v>
      </c>
      <c r="L10" s="22" t="s">
        <v>35</v>
      </c>
      <c r="M10" s="12">
        <v>44964</v>
      </c>
      <c r="N10" s="14" t="s">
        <v>36</v>
      </c>
      <c r="O10" s="14" t="s">
        <v>37</v>
      </c>
      <c r="P10" s="10">
        <v>5300006726</v>
      </c>
      <c r="Q10" s="11" t="s">
        <v>161</v>
      </c>
      <c r="R10" s="15">
        <v>44965</v>
      </c>
      <c r="S10" s="11" t="s">
        <v>109</v>
      </c>
      <c r="T10" s="14" t="s">
        <v>110</v>
      </c>
      <c r="U10" s="16" t="s">
        <v>111</v>
      </c>
      <c r="V10" s="17">
        <v>21220000</v>
      </c>
      <c r="W10" s="18">
        <f t="shared" ref="W10:W39" si="0">V10+(V10*11%)</f>
        <v>23554200</v>
      </c>
      <c r="X10" s="465" t="s">
        <v>396</v>
      </c>
      <c r="Y10" s="466">
        <f>W10+W16+W27+W28+W29+W30+W34+W37+W39</f>
        <v>587579610</v>
      </c>
    </row>
    <row r="11" spans="2:25" ht="13.2">
      <c r="B11" s="9">
        <v>3</v>
      </c>
      <c r="C11" s="10">
        <v>2000020632</v>
      </c>
      <c r="D11" s="10">
        <v>3000020539</v>
      </c>
      <c r="E11" s="11" t="s">
        <v>162</v>
      </c>
      <c r="F11" s="12">
        <v>44966</v>
      </c>
      <c r="G11" s="13">
        <v>3800000</v>
      </c>
      <c r="H11" s="14" t="s">
        <v>31</v>
      </c>
      <c r="I11" s="11" t="s">
        <v>163</v>
      </c>
      <c r="J11" s="10" t="s">
        <v>33</v>
      </c>
      <c r="K11" s="10" t="s">
        <v>34</v>
      </c>
      <c r="L11" s="22" t="s">
        <v>35</v>
      </c>
      <c r="M11" s="12">
        <v>44966</v>
      </c>
      <c r="N11" s="14" t="s">
        <v>36</v>
      </c>
      <c r="O11" s="14" t="s">
        <v>37</v>
      </c>
      <c r="P11" s="10">
        <v>5300006727</v>
      </c>
      <c r="Q11" s="11" t="s">
        <v>164</v>
      </c>
      <c r="R11" s="15">
        <v>44967</v>
      </c>
      <c r="S11" s="11" t="s">
        <v>39</v>
      </c>
      <c r="T11" s="14" t="s">
        <v>40</v>
      </c>
      <c r="U11" s="16" t="s">
        <v>41</v>
      </c>
      <c r="V11" s="17">
        <v>3800000</v>
      </c>
      <c r="W11" s="18">
        <f t="shared" si="0"/>
        <v>4218000</v>
      </c>
      <c r="X11" s="465" t="s">
        <v>374</v>
      </c>
    </row>
    <row r="12" spans="2:25" ht="13.2">
      <c r="B12" s="9">
        <v>4</v>
      </c>
      <c r="C12" s="10">
        <v>2000020633</v>
      </c>
      <c r="D12" s="10">
        <v>3000020540</v>
      </c>
      <c r="E12" s="11" t="s">
        <v>165</v>
      </c>
      <c r="F12" s="12">
        <v>44966</v>
      </c>
      <c r="G12" s="13">
        <v>1300000</v>
      </c>
      <c r="H12" s="14" t="s">
        <v>31</v>
      </c>
      <c r="I12" s="11" t="s">
        <v>166</v>
      </c>
      <c r="J12" s="10" t="s">
        <v>33</v>
      </c>
      <c r="K12" s="10" t="s">
        <v>34</v>
      </c>
      <c r="L12" s="22" t="s">
        <v>35</v>
      </c>
      <c r="M12" s="12">
        <v>44966</v>
      </c>
      <c r="N12" s="14" t="s">
        <v>36</v>
      </c>
      <c r="O12" s="14" t="s">
        <v>37</v>
      </c>
      <c r="P12" s="10">
        <v>5300006728</v>
      </c>
      <c r="Q12" s="11" t="s">
        <v>167</v>
      </c>
      <c r="R12" s="15">
        <v>44967</v>
      </c>
      <c r="S12" s="11" t="s">
        <v>39</v>
      </c>
      <c r="T12" s="14" t="s">
        <v>40</v>
      </c>
      <c r="U12" s="16" t="s">
        <v>41</v>
      </c>
      <c r="V12" s="17">
        <v>1300000</v>
      </c>
      <c r="W12" s="18">
        <f t="shared" si="0"/>
        <v>1443000</v>
      </c>
      <c r="X12" s="465" t="s">
        <v>374</v>
      </c>
    </row>
    <row r="13" spans="2:25" ht="13.2">
      <c r="B13" s="9">
        <v>5</v>
      </c>
      <c r="C13" s="10">
        <v>2000020894</v>
      </c>
      <c r="D13" s="10">
        <v>3000020814</v>
      </c>
      <c r="E13" s="11" t="s">
        <v>168</v>
      </c>
      <c r="F13" s="12">
        <v>44971</v>
      </c>
      <c r="G13" s="13">
        <v>5100000</v>
      </c>
      <c r="H13" s="14" t="s">
        <v>31</v>
      </c>
      <c r="I13" s="11" t="s">
        <v>169</v>
      </c>
      <c r="J13" s="10" t="s">
        <v>33</v>
      </c>
      <c r="K13" s="10" t="s">
        <v>34</v>
      </c>
      <c r="L13" s="22" t="s">
        <v>35</v>
      </c>
      <c r="M13" s="12">
        <v>44971</v>
      </c>
      <c r="N13" s="14" t="s">
        <v>36</v>
      </c>
      <c r="O13" s="14" t="s">
        <v>37</v>
      </c>
      <c r="P13" s="10">
        <v>5300006893</v>
      </c>
      <c r="Q13" s="11" t="s">
        <v>170</v>
      </c>
      <c r="R13" s="15">
        <v>44972</v>
      </c>
      <c r="S13" s="11" t="s">
        <v>39</v>
      </c>
      <c r="T13" s="14" t="s">
        <v>40</v>
      </c>
      <c r="U13" s="16" t="s">
        <v>41</v>
      </c>
      <c r="V13" s="17">
        <v>5100000</v>
      </c>
      <c r="W13" s="18">
        <f t="shared" si="0"/>
        <v>5661000</v>
      </c>
      <c r="X13" s="465" t="s">
        <v>396</v>
      </c>
    </row>
    <row r="14" spans="2:25" ht="13.2">
      <c r="B14" s="9">
        <v>6</v>
      </c>
      <c r="C14" s="10">
        <v>2000020895</v>
      </c>
      <c r="D14" s="10">
        <v>3000020817</v>
      </c>
      <c r="E14" s="11" t="s">
        <v>171</v>
      </c>
      <c r="F14" s="12">
        <v>44972</v>
      </c>
      <c r="G14" s="13">
        <v>10200000</v>
      </c>
      <c r="H14" s="14" t="s">
        <v>31</v>
      </c>
      <c r="I14" s="11" t="s">
        <v>172</v>
      </c>
      <c r="J14" s="10" t="s">
        <v>33</v>
      </c>
      <c r="K14" s="10" t="s">
        <v>34</v>
      </c>
      <c r="L14" s="22" t="s">
        <v>35</v>
      </c>
      <c r="M14" s="12">
        <v>44972</v>
      </c>
      <c r="N14" s="14" t="s">
        <v>36</v>
      </c>
      <c r="O14" s="14" t="s">
        <v>37</v>
      </c>
      <c r="P14" s="10">
        <v>5300006896</v>
      </c>
      <c r="Q14" s="11" t="s">
        <v>173</v>
      </c>
      <c r="R14" s="15">
        <v>44973</v>
      </c>
      <c r="S14" s="11" t="s">
        <v>39</v>
      </c>
      <c r="T14" s="14" t="s">
        <v>40</v>
      </c>
      <c r="U14" s="16" t="s">
        <v>41</v>
      </c>
      <c r="V14" s="17">
        <v>10200000</v>
      </c>
      <c r="W14" s="18">
        <f t="shared" si="0"/>
        <v>11322000</v>
      </c>
      <c r="X14" s="465" t="s">
        <v>374</v>
      </c>
    </row>
    <row r="15" spans="2:25" ht="13.2">
      <c r="B15" s="9">
        <v>7</v>
      </c>
      <c r="C15" s="10">
        <v>2000021076</v>
      </c>
      <c r="D15" s="10">
        <v>3000021015</v>
      </c>
      <c r="E15" s="11" t="s">
        <v>174</v>
      </c>
      <c r="F15" s="12">
        <v>44973</v>
      </c>
      <c r="G15" s="13">
        <v>8928000</v>
      </c>
      <c r="H15" s="14" t="s">
        <v>31</v>
      </c>
      <c r="I15" s="11" t="s">
        <v>175</v>
      </c>
      <c r="J15" s="10" t="s">
        <v>33</v>
      </c>
      <c r="K15" s="10" t="s">
        <v>34</v>
      </c>
      <c r="L15" s="22" t="s">
        <v>35</v>
      </c>
      <c r="M15" s="12">
        <v>44973</v>
      </c>
      <c r="N15" s="14" t="s">
        <v>36</v>
      </c>
      <c r="O15" s="14" t="s">
        <v>37</v>
      </c>
      <c r="P15" s="10">
        <v>5300007023</v>
      </c>
      <c r="Q15" s="11" t="s">
        <v>176</v>
      </c>
      <c r="R15" s="15">
        <v>44974</v>
      </c>
      <c r="S15" s="11" t="s">
        <v>177</v>
      </c>
      <c r="T15" s="14" t="s">
        <v>178</v>
      </c>
      <c r="U15" s="16" t="s">
        <v>179</v>
      </c>
      <c r="V15" s="17">
        <v>8928000</v>
      </c>
      <c r="W15" s="18">
        <f t="shared" si="0"/>
        <v>9910080</v>
      </c>
      <c r="X15" s="465" t="s">
        <v>379</v>
      </c>
    </row>
    <row r="16" spans="2:25" ht="13.2">
      <c r="B16" s="9">
        <v>8</v>
      </c>
      <c r="C16" s="10">
        <v>2000021077</v>
      </c>
      <c r="D16" s="10">
        <v>3000021016</v>
      </c>
      <c r="E16" s="11" t="s">
        <v>180</v>
      </c>
      <c r="F16" s="12">
        <v>44964</v>
      </c>
      <c r="G16" s="13">
        <v>6240000</v>
      </c>
      <c r="H16" s="14" t="s">
        <v>31</v>
      </c>
      <c r="I16" s="19" t="s">
        <v>181</v>
      </c>
      <c r="J16" s="10" t="s">
        <v>33</v>
      </c>
      <c r="K16" s="10" t="s">
        <v>34</v>
      </c>
      <c r="L16" s="22" t="s">
        <v>35</v>
      </c>
      <c r="M16" s="12">
        <v>44964</v>
      </c>
      <c r="N16" s="14" t="s">
        <v>36</v>
      </c>
      <c r="O16" s="14" t="s">
        <v>37</v>
      </c>
      <c r="P16" s="10">
        <v>5300007024</v>
      </c>
      <c r="Q16" s="11" t="s">
        <v>182</v>
      </c>
      <c r="R16" s="15">
        <v>44965</v>
      </c>
      <c r="S16" s="11" t="s">
        <v>183</v>
      </c>
      <c r="T16" s="14"/>
      <c r="U16" s="16"/>
      <c r="V16" s="17">
        <v>6240000</v>
      </c>
      <c r="W16" s="18">
        <f t="shared" si="0"/>
        <v>6926400</v>
      </c>
      <c r="X16" s="465" t="s">
        <v>396</v>
      </c>
    </row>
    <row r="17" spans="2:24" ht="13.2">
      <c r="B17" s="9">
        <v>9</v>
      </c>
      <c r="C17" s="10">
        <v>2000021057</v>
      </c>
      <c r="D17" s="10">
        <v>3000021002</v>
      </c>
      <c r="E17" s="11" t="s">
        <v>184</v>
      </c>
      <c r="F17" s="12">
        <v>44979</v>
      </c>
      <c r="G17" s="13">
        <v>7800000</v>
      </c>
      <c r="H17" s="14" t="s">
        <v>31</v>
      </c>
      <c r="I17" s="20" t="s">
        <v>185</v>
      </c>
      <c r="J17" s="10" t="s">
        <v>33</v>
      </c>
      <c r="K17" s="10" t="s">
        <v>34</v>
      </c>
      <c r="L17" s="22" t="s">
        <v>35</v>
      </c>
      <c r="M17" s="12">
        <v>44979</v>
      </c>
      <c r="N17" s="14" t="s">
        <v>36</v>
      </c>
      <c r="O17" s="14" t="s">
        <v>37</v>
      </c>
      <c r="P17" s="10">
        <v>5300007006</v>
      </c>
      <c r="Q17" s="11" t="s">
        <v>186</v>
      </c>
      <c r="R17" s="15">
        <v>44980</v>
      </c>
      <c r="S17" s="11" t="s">
        <v>109</v>
      </c>
      <c r="T17" s="14" t="s">
        <v>110</v>
      </c>
      <c r="U17" s="16" t="s">
        <v>111</v>
      </c>
      <c r="V17" s="17">
        <v>7800000</v>
      </c>
      <c r="W17" s="18">
        <f t="shared" si="0"/>
        <v>8658000</v>
      </c>
      <c r="X17" s="465" t="s">
        <v>348</v>
      </c>
    </row>
    <row r="18" spans="2:24" ht="13.2">
      <c r="B18" s="9">
        <v>10</v>
      </c>
      <c r="C18" s="10">
        <v>2000021058</v>
      </c>
      <c r="D18" s="10">
        <v>3000021003</v>
      </c>
      <c r="E18" s="11" t="s">
        <v>187</v>
      </c>
      <c r="F18" s="12">
        <v>44979</v>
      </c>
      <c r="G18" s="13">
        <v>4900000</v>
      </c>
      <c r="H18" s="14" t="s">
        <v>31</v>
      </c>
      <c r="I18" s="20" t="s">
        <v>188</v>
      </c>
      <c r="J18" s="10" t="s">
        <v>33</v>
      </c>
      <c r="K18" s="10" t="s">
        <v>34</v>
      </c>
      <c r="L18" s="22" t="s">
        <v>35</v>
      </c>
      <c r="M18" s="12">
        <v>44979</v>
      </c>
      <c r="N18" s="14" t="s">
        <v>36</v>
      </c>
      <c r="O18" s="14" t="s">
        <v>37</v>
      </c>
      <c r="P18" s="10">
        <v>5300007008</v>
      </c>
      <c r="Q18" s="11" t="s">
        <v>189</v>
      </c>
      <c r="R18" s="15">
        <v>44980</v>
      </c>
      <c r="S18" s="11" t="s">
        <v>39</v>
      </c>
      <c r="T18" s="14" t="s">
        <v>40</v>
      </c>
      <c r="U18" s="16" t="s">
        <v>41</v>
      </c>
      <c r="V18" s="17">
        <v>4900000</v>
      </c>
      <c r="W18" s="18">
        <f t="shared" si="0"/>
        <v>5439000</v>
      </c>
      <c r="X18" s="465" t="s">
        <v>348</v>
      </c>
    </row>
    <row r="19" spans="2:24" ht="13.2">
      <c r="B19" s="9">
        <v>11</v>
      </c>
      <c r="C19" s="10">
        <v>2000021059</v>
      </c>
      <c r="D19" s="10">
        <v>3000021005</v>
      </c>
      <c r="E19" s="11" t="s">
        <v>190</v>
      </c>
      <c r="F19" s="12">
        <v>6692390</v>
      </c>
      <c r="G19" s="13">
        <v>7300000</v>
      </c>
      <c r="H19" s="14" t="s">
        <v>31</v>
      </c>
      <c r="I19" s="20" t="s">
        <v>191</v>
      </c>
      <c r="J19" s="10" t="s">
        <v>33</v>
      </c>
      <c r="K19" s="10" t="s">
        <v>34</v>
      </c>
      <c r="L19" s="14" t="s">
        <v>101</v>
      </c>
      <c r="M19" s="12">
        <v>6692390</v>
      </c>
      <c r="N19" s="14" t="s">
        <v>36</v>
      </c>
      <c r="O19" s="14" t="s">
        <v>37</v>
      </c>
      <c r="P19" s="10">
        <v>5300007010</v>
      </c>
      <c r="Q19" s="11" t="s">
        <v>192</v>
      </c>
      <c r="R19" s="15">
        <v>44978</v>
      </c>
      <c r="S19" s="11" t="s">
        <v>109</v>
      </c>
      <c r="T19" s="14" t="s">
        <v>110</v>
      </c>
      <c r="U19" s="16" t="s">
        <v>111</v>
      </c>
      <c r="V19" s="17">
        <v>7300000</v>
      </c>
      <c r="W19" s="18">
        <f t="shared" si="0"/>
        <v>8103000</v>
      </c>
      <c r="X19" s="465" t="s">
        <v>348</v>
      </c>
    </row>
    <row r="20" spans="2:24" ht="13.2">
      <c r="B20" s="9">
        <v>12</v>
      </c>
      <c r="C20" s="10">
        <v>2000021070</v>
      </c>
      <c r="D20" s="10">
        <v>3000021006</v>
      </c>
      <c r="E20" s="11" t="s">
        <v>193</v>
      </c>
      <c r="F20" s="12">
        <v>44979</v>
      </c>
      <c r="G20" s="13">
        <v>7800000</v>
      </c>
      <c r="H20" s="14" t="s">
        <v>31</v>
      </c>
      <c r="I20" s="11" t="s">
        <v>194</v>
      </c>
      <c r="J20" s="10" t="s">
        <v>33</v>
      </c>
      <c r="K20" s="10" t="s">
        <v>34</v>
      </c>
      <c r="L20" s="22" t="s">
        <v>35</v>
      </c>
      <c r="M20" s="12">
        <v>44979</v>
      </c>
      <c r="N20" s="14" t="s">
        <v>36</v>
      </c>
      <c r="O20" s="14" t="s">
        <v>37</v>
      </c>
      <c r="P20" s="10">
        <v>5300007012</v>
      </c>
      <c r="Q20" s="11" t="s">
        <v>195</v>
      </c>
      <c r="R20" s="21">
        <v>44980</v>
      </c>
      <c r="S20" s="11" t="s">
        <v>109</v>
      </c>
      <c r="T20" s="14" t="s">
        <v>110</v>
      </c>
      <c r="U20" s="16" t="s">
        <v>111</v>
      </c>
      <c r="V20" s="17">
        <v>7800000</v>
      </c>
      <c r="W20" s="18">
        <f t="shared" si="0"/>
        <v>8658000</v>
      </c>
      <c r="X20" s="465" t="s">
        <v>374</v>
      </c>
    </row>
    <row r="21" spans="2:24" ht="13.2">
      <c r="B21" s="9">
        <v>13</v>
      </c>
      <c r="C21" s="10">
        <v>2000021071</v>
      </c>
      <c r="D21" s="10">
        <v>3000021009</v>
      </c>
      <c r="E21" s="11" t="s">
        <v>196</v>
      </c>
      <c r="F21" s="12">
        <v>6692390</v>
      </c>
      <c r="G21" s="13">
        <v>1200000</v>
      </c>
      <c r="H21" s="14" t="s">
        <v>31</v>
      </c>
      <c r="I21" s="11" t="s">
        <v>197</v>
      </c>
      <c r="J21" s="10" t="s">
        <v>33</v>
      </c>
      <c r="K21" s="10" t="s">
        <v>34</v>
      </c>
      <c r="L21" s="22" t="s">
        <v>35</v>
      </c>
      <c r="M21" s="12">
        <v>6692390</v>
      </c>
      <c r="N21" s="14" t="s">
        <v>36</v>
      </c>
      <c r="O21" s="14" t="s">
        <v>37</v>
      </c>
      <c r="P21" s="10">
        <v>5300007013</v>
      </c>
      <c r="Q21" s="11" t="s">
        <v>198</v>
      </c>
      <c r="R21" s="21">
        <v>44978</v>
      </c>
      <c r="S21" s="11" t="s">
        <v>39</v>
      </c>
      <c r="T21" s="14" t="s">
        <v>40</v>
      </c>
      <c r="U21" s="16" t="s">
        <v>41</v>
      </c>
      <c r="V21" s="17">
        <v>1200000</v>
      </c>
      <c r="W21" s="18">
        <f t="shared" si="0"/>
        <v>1332000</v>
      </c>
      <c r="X21" s="465" t="s">
        <v>374</v>
      </c>
    </row>
    <row r="22" spans="2:24" ht="24">
      <c r="B22" s="9">
        <v>14</v>
      </c>
      <c r="C22" s="10">
        <v>2000021072</v>
      </c>
      <c r="D22" s="10">
        <v>3000021010</v>
      </c>
      <c r="E22" s="11" t="s">
        <v>199</v>
      </c>
      <c r="F22" s="12">
        <v>6692390</v>
      </c>
      <c r="G22" s="13">
        <v>1400000</v>
      </c>
      <c r="H22" s="14" t="s">
        <v>31</v>
      </c>
      <c r="I22" s="11" t="s">
        <v>200</v>
      </c>
      <c r="J22" s="10" t="s">
        <v>33</v>
      </c>
      <c r="K22" s="10" t="s">
        <v>34</v>
      </c>
      <c r="L22" s="22" t="s">
        <v>47</v>
      </c>
      <c r="M22" s="12">
        <v>6692390</v>
      </c>
      <c r="N22" s="14" t="s">
        <v>36</v>
      </c>
      <c r="O22" s="14" t="s">
        <v>37</v>
      </c>
      <c r="P22" s="10">
        <v>5300007016</v>
      </c>
      <c r="Q22" s="11" t="s">
        <v>201</v>
      </c>
      <c r="R22" s="21">
        <v>44978</v>
      </c>
      <c r="S22" s="11" t="s">
        <v>39</v>
      </c>
      <c r="T22" s="14" t="s">
        <v>40</v>
      </c>
      <c r="U22" s="16" t="s">
        <v>41</v>
      </c>
      <c r="V22" s="17">
        <v>1400000</v>
      </c>
      <c r="W22" s="18">
        <f t="shared" si="0"/>
        <v>1554000</v>
      </c>
      <c r="X22" s="465" t="s">
        <v>379</v>
      </c>
    </row>
    <row r="23" spans="2:24" ht="24">
      <c r="B23" s="9">
        <v>15</v>
      </c>
      <c r="C23" s="10">
        <v>2000021073</v>
      </c>
      <c r="D23" s="10">
        <v>3000021012</v>
      </c>
      <c r="E23" s="11" t="s">
        <v>202</v>
      </c>
      <c r="F23" s="12">
        <v>44963</v>
      </c>
      <c r="G23" s="13">
        <v>4468000</v>
      </c>
      <c r="H23" s="14" t="s">
        <v>31</v>
      </c>
      <c r="I23" s="11" t="s">
        <v>203</v>
      </c>
      <c r="J23" s="10" t="s">
        <v>33</v>
      </c>
      <c r="K23" s="10" t="s">
        <v>34</v>
      </c>
      <c r="L23" s="22" t="s">
        <v>158</v>
      </c>
      <c r="M23" s="12">
        <v>44963</v>
      </c>
      <c r="N23" s="14" t="s">
        <v>36</v>
      </c>
      <c r="O23" s="14" t="s">
        <v>37</v>
      </c>
      <c r="P23" s="10">
        <v>5300007017</v>
      </c>
      <c r="Q23" s="11" t="s">
        <v>204</v>
      </c>
      <c r="R23" s="21">
        <v>44964</v>
      </c>
      <c r="S23" s="11" t="s">
        <v>177</v>
      </c>
      <c r="T23" s="14" t="s">
        <v>178</v>
      </c>
      <c r="U23" s="16" t="s">
        <v>179</v>
      </c>
      <c r="V23" s="17">
        <v>4468000</v>
      </c>
      <c r="W23" s="18">
        <f t="shared" si="0"/>
        <v>4959480</v>
      </c>
      <c r="X23" s="465" t="s">
        <v>367</v>
      </c>
    </row>
    <row r="24" spans="2:24" ht="24">
      <c r="B24" s="9">
        <v>16</v>
      </c>
      <c r="C24" s="10">
        <v>2000021074</v>
      </c>
      <c r="D24" s="10">
        <v>3000021013</v>
      </c>
      <c r="E24" s="11" t="s">
        <v>205</v>
      </c>
      <c r="F24" s="12">
        <v>44963</v>
      </c>
      <c r="G24" s="13">
        <v>8280000</v>
      </c>
      <c r="H24" s="14" t="s">
        <v>31</v>
      </c>
      <c r="I24" s="20" t="s">
        <v>206</v>
      </c>
      <c r="J24" s="10" t="s">
        <v>33</v>
      </c>
      <c r="K24" s="10" t="s">
        <v>34</v>
      </c>
      <c r="L24" s="22" t="s">
        <v>158</v>
      </c>
      <c r="M24" s="12">
        <v>44963</v>
      </c>
      <c r="N24" s="14" t="s">
        <v>36</v>
      </c>
      <c r="O24" s="14" t="s">
        <v>37</v>
      </c>
      <c r="P24" s="10">
        <v>5300007021</v>
      </c>
      <c r="Q24" s="11" t="s">
        <v>207</v>
      </c>
      <c r="R24" s="21">
        <v>44964</v>
      </c>
      <c r="S24" s="11" t="s">
        <v>177</v>
      </c>
      <c r="T24" s="14" t="s">
        <v>178</v>
      </c>
      <c r="U24" s="16" t="s">
        <v>179</v>
      </c>
      <c r="V24" s="17">
        <v>8280000</v>
      </c>
      <c r="W24" s="18">
        <f t="shared" si="0"/>
        <v>9190800</v>
      </c>
      <c r="X24" s="465" t="s">
        <v>348</v>
      </c>
    </row>
    <row r="25" spans="2:24" ht="13.2">
      <c r="B25" s="9">
        <v>17</v>
      </c>
      <c r="C25" s="10">
        <v>2000021075</v>
      </c>
      <c r="D25" s="10">
        <v>3000021014</v>
      </c>
      <c r="E25" s="11" t="s">
        <v>208</v>
      </c>
      <c r="F25" s="12">
        <v>44963</v>
      </c>
      <c r="G25" s="13">
        <v>14280000</v>
      </c>
      <c r="H25" s="14" t="s">
        <v>31</v>
      </c>
      <c r="I25" s="11" t="s">
        <v>209</v>
      </c>
      <c r="J25" s="10" t="s">
        <v>33</v>
      </c>
      <c r="K25" s="10" t="s">
        <v>34</v>
      </c>
      <c r="L25" s="22" t="s">
        <v>35</v>
      </c>
      <c r="M25" s="12">
        <v>44963</v>
      </c>
      <c r="N25" s="14" t="s">
        <v>36</v>
      </c>
      <c r="O25" s="14" t="s">
        <v>37</v>
      </c>
      <c r="P25" s="10">
        <v>5300007022</v>
      </c>
      <c r="Q25" s="11" t="s">
        <v>210</v>
      </c>
      <c r="R25" s="21">
        <v>44964</v>
      </c>
      <c r="S25" s="11" t="s">
        <v>177</v>
      </c>
      <c r="T25" s="14" t="s">
        <v>178</v>
      </c>
      <c r="U25" s="16" t="s">
        <v>179</v>
      </c>
      <c r="V25" s="17">
        <v>14280000</v>
      </c>
      <c r="W25" s="18">
        <f t="shared" si="0"/>
        <v>15850800</v>
      </c>
      <c r="X25" s="465" t="s">
        <v>374</v>
      </c>
    </row>
    <row r="26" spans="2:24" ht="24">
      <c r="B26" s="9">
        <v>18</v>
      </c>
      <c r="C26" s="10">
        <v>2000021783</v>
      </c>
      <c r="D26" s="10">
        <v>3000021635</v>
      </c>
      <c r="E26" s="11" t="s">
        <v>211</v>
      </c>
      <c r="F26" s="12">
        <v>44978</v>
      </c>
      <c r="G26" s="13">
        <v>505583000</v>
      </c>
      <c r="H26" s="14" t="s">
        <v>31</v>
      </c>
      <c r="I26" s="34" t="s">
        <v>212</v>
      </c>
      <c r="J26" s="10" t="s">
        <v>60</v>
      </c>
      <c r="K26" s="10" t="s">
        <v>61</v>
      </c>
      <c r="L26" s="22" t="s">
        <v>47</v>
      </c>
      <c r="M26" s="12">
        <v>44979</v>
      </c>
      <c r="N26" s="14" t="s">
        <v>36</v>
      </c>
      <c r="O26" s="14" t="s">
        <v>37</v>
      </c>
      <c r="P26" s="35">
        <v>5200012546</v>
      </c>
      <c r="Q26" s="11" t="s">
        <v>213</v>
      </c>
      <c r="R26" s="21">
        <v>44988</v>
      </c>
      <c r="S26" s="11" t="s">
        <v>64</v>
      </c>
      <c r="T26" s="10" t="s">
        <v>65</v>
      </c>
      <c r="U26" s="16" t="s">
        <v>66</v>
      </c>
      <c r="V26" s="17">
        <v>457480000</v>
      </c>
      <c r="W26" s="18">
        <f t="shared" si="0"/>
        <v>507802800</v>
      </c>
      <c r="X26" s="465" t="s">
        <v>356</v>
      </c>
    </row>
    <row r="27" spans="2:24" ht="24">
      <c r="B27" s="9">
        <v>20</v>
      </c>
      <c r="C27" s="10">
        <v>2000021044</v>
      </c>
      <c r="D27" s="10">
        <v>3000021067</v>
      </c>
      <c r="E27" s="11" t="s">
        <v>215</v>
      </c>
      <c r="F27" s="12">
        <v>44983</v>
      </c>
      <c r="G27" s="13">
        <v>186800000</v>
      </c>
      <c r="H27" s="14" t="s">
        <v>31</v>
      </c>
      <c r="I27" s="34" t="s">
        <v>216</v>
      </c>
      <c r="J27" s="10" t="s">
        <v>217</v>
      </c>
      <c r="K27" s="22" t="s">
        <v>70</v>
      </c>
      <c r="L27" s="22" t="s">
        <v>71</v>
      </c>
      <c r="M27" s="12">
        <v>44983</v>
      </c>
      <c r="N27" s="22" t="s">
        <v>62</v>
      </c>
      <c r="O27" s="14" t="s">
        <v>37</v>
      </c>
      <c r="P27" s="10">
        <v>5300007057</v>
      </c>
      <c r="Q27" s="11" t="s">
        <v>218</v>
      </c>
      <c r="R27" s="21">
        <v>44984</v>
      </c>
      <c r="S27" s="11" t="s">
        <v>219</v>
      </c>
      <c r="T27" s="22" t="s">
        <v>74</v>
      </c>
      <c r="U27" s="27" t="s">
        <v>75</v>
      </c>
      <c r="V27" s="17">
        <v>186800000</v>
      </c>
      <c r="W27" s="18">
        <f t="shared" si="0"/>
        <v>207348000</v>
      </c>
      <c r="X27" s="465" t="s">
        <v>396</v>
      </c>
    </row>
    <row r="28" spans="2:24" ht="13.2">
      <c r="B28" s="9">
        <v>22</v>
      </c>
      <c r="C28" s="10">
        <v>2000020421</v>
      </c>
      <c r="D28" s="10">
        <v>3000020315</v>
      </c>
      <c r="E28" s="11" t="s">
        <v>221</v>
      </c>
      <c r="F28" s="12">
        <v>44960</v>
      </c>
      <c r="G28" s="13">
        <v>14191000</v>
      </c>
      <c r="H28" s="14" t="s">
        <v>31</v>
      </c>
      <c r="I28" s="11" t="s">
        <v>43</v>
      </c>
      <c r="J28" s="10" t="s">
        <v>33</v>
      </c>
      <c r="K28" s="10" t="s">
        <v>34</v>
      </c>
      <c r="L28" s="22" t="s">
        <v>35</v>
      </c>
      <c r="M28" s="12">
        <v>44960</v>
      </c>
      <c r="N28" s="14" t="s">
        <v>36</v>
      </c>
      <c r="O28" s="14" t="s">
        <v>37</v>
      </c>
      <c r="P28" s="10">
        <v>5300006591</v>
      </c>
      <c r="Q28" s="11" t="s">
        <v>222</v>
      </c>
      <c r="R28" s="21">
        <v>44961</v>
      </c>
      <c r="S28" s="11" t="s">
        <v>39</v>
      </c>
      <c r="T28" s="14" t="s">
        <v>40</v>
      </c>
      <c r="U28" s="16" t="s">
        <v>41</v>
      </c>
      <c r="V28" s="17">
        <v>14191000</v>
      </c>
      <c r="W28" s="18">
        <f t="shared" si="0"/>
        <v>15752010</v>
      </c>
      <c r="X28" s="465" t="s">
        <v>396</v>
      </c>
    </row>
    <row r="29" spans="2:24" ht="13.2">
      <c r="B29" s="9">
        <v>23</v>
      </c>
      <c r="C29" s="10">
        <v>2000020420</v>
      </c>
      <c r="D29" s="10">
        <v>3000020314</v>
      </c>
      <c r="E29" s="11" t="s">
        <v>95</v>
      </c>
      <c r="F29" s="12">
        <v>44959</v>
      </c>
      <c r="G29" s="13">
        <v>13735000</v>
      </c>
      <c r="H29" s="14" t="s">
        <v>31</v>
      </c>
      <c r="I29" s="11" t="s">
        <v>32</v>
      </c>
      <c r="J29" s="10" t="s">
        <v>33</v>
      </c>
      <c r="K29" s="10" t="s">
        <v>34</v>
      </c>
      <c r="L29" s="22" t="s">
        <v>35</v>
      </c>
      <c r="M29" s="12">
        <v>44959</v>
      </c>
      <c r="N29" s="14" t="s">
        <v>36</v>
      </c>
      <c r="O29" s="14" t="s">
        <v>37</v>
      </c>
      <c r="P29" s="10">
        <v>5300006590</v>
      </c>
      <c r="Q29" s="11" t="s">
        <v>223</v>
      </c>
      <c r="R29" s="21">
        <v>44960</v>
      </c>
      <c r="S29" s="11" t="s">
        <v>39</v>
      </c>
      <c r="T29" s="14" t="s">
        <v>40</v>
      </c>
      <c r="U29" s="16" t="s">
        <v>41</v>
      </c>
      <c r="V29" s="17">
        <v>13735000</v>
      </c>
      <c r="W29" s="18">
        <f t="shared" si="0"/>
        <v>15245850</v>
      </c>
      <c r="X29" s="465" t="s">
        <v>396</v>
      </c>
    </row>
    <row r="30" spans="2:24" ht="24">
      <c r="B30" s="9">
        <v>24</v>
      </c>
      <c r="C30" s="10">
        <v>2000021565</v>
      </c>
      <c r="D30" s="10">
        <v>3000021398</v>
      </c>
      <c r="E30" s="11" t="s">
        <v>224</v>
      </c>
      <c r="F30" s="12">
        <v>44970</v>
      </c>
      <c r="G30" s="13">
        <v>28350000</v>
      </c>
      <c r="H30" s="14" t="s">
        <v>31</v>
      </c>
      <c r="I30" s="19" t="s">
        <v>225</v>
      </c>
      <c r="J30" s="10" t="s">
        <v>33</v>
      </c>
      <c r="K30" s="36" t="s">
        <v>61</v>
      </c>
      <c r="L30" s="22" t="s">
        <v>47</v>
      </c>
      <c r="M30" s="12">
        <v>44970</v>
      </c>
      <c r="N30" s="14" t="s">
        <v>36</v>
      </c>
      <c r="O30" s="14" t="s">
        <v>37</v>
      </c>
      <c r="P30" s="10">
        <v>5300007235</v>
      </c>
      <c r="Q30" s="11" t="s">
        <v>226</v>
      </c>
      <c r="R30" s="21">
        <v>44971</v>
      </c>
      <c r="S30" s="11" t="s">
        <v>109</v>
      </c>
      <c r="T30" s="14" t="s">
        <v>110</v>
      </c>
      <c r="U30" s="16" t="s">
        <v>111</v>
      </c>
      <c r="V30" s="17">
        <v>28350000</v>
      </c>
      <c r="W30" s="18">
        <f t="shared" si="0"/>
        <v>31468500</v>
      </c>
      <c r="X30" s="465" t="s">
        <v>396</v>
      </c>
    </row>
    <row r="31" spans="2:24" ht="13.2">
      <c r="B31" s="9">
        <v>26</v>
      </c>
      <c r="C31" s="10">
        <v>2000021986</v>
      </c>
      <c r="D31" s="10">
        <v>3000021844</v>
      </c>
      <c r="E31" s="11" t="s">
        <v>228</v>
      </c>
      <c r="F31" s="12">
        <v>44979</v>
      </c>
      <c r="G31" s="38">
        <v>40920000</v>
      </c>
      <c r="H31" s="14" t="s">
        <v>31</v>
      </c>
      <c r="I31" s="34" t="s">
        <v>229</v>
      </c>
      <c r="J31" s="10" t="s">
        <v>33</v>
      </c>
      <c r="K31" s="10" t="s">
        <v>34</v>
      </c>
      <c r="L31" s="22" t="s">
        <v>35</v>
      </c>
      <c r="M31" s="39">
        <v>44979</v>
      </c>
      <c r="N31" s="14" t="s">
        <v>36</v>
      </c>
      <c r="O31" s="10" t="s">
        <v>37</v>
      </c>
      <c r="P31" s="10">
        <v>5300007496</v>
      </c>
      <c r="Q31" s="11" t="s">
        <v>230</v>
      </c>
      <c r="R31" s="23">
        <v>44980</v>
      </c>
      <c r="S31" s="11" t="s">
        <v>132</v>
      </c>
      <c r="T31" s="10" t="s">
        <v>133</v>
      </c>
      <c r="U31" s="16" t="s">
        <v>134</v>
      </c>
      <c r="V31" s="40">
        <v>40920000</v>
      </c>
      <c r="W31" s="18">
        <f t="shared" si="0"/>
        <v>45421200</v>
      </c>
      <c r="X31" s="465" t="s">
        <v>356</v>
      </c>
    </row>
    <row r="32" spans="2:24" ht="13.2">
      <c r="B32" s="9">
        <v>27</v>
      </c>
      <c r="C32" s="10">
        <v>2000021987</v>
      </c>
      <c r="D32" s="10">
        <v>3000021845</v>
      </c>
      <c r="E32" s="11" t="s">
        <v>231</v>
      </c>
      <c r="F32" s="12">
        <v>44979</v>
      </c>
      <c r="G32" s="38">
        <v>71760000</v>
      </c>
      <c r="H32" s="14" t="s">
        <v>31</v>
      </c>
      <c r="I32" s="34" t="s">
        <v>232</v>
      </c>
      <c r="J32" s="10" t="s">
        <v>33</v>
      </c>
      <c r="K32" s="10" t="s">
        <v>34</v>
      </c>
      <c r="L32" s="22" t="s">
        <v>35</v>
      </c>
      <c r="M32" s="39">
        <v>44979</v>
      </c>
      <c r="N32" s="14" t="s">
        <v>36</v>
      </c>
      <c r="O32" s="10" t="s">
        <v>37</v>
      </c>
      <c r="P32" s="10">
        <v>5300007497</v>
      </c>
      <c r="Q32" s="11" t="s">
        <v>233</v>
      </c>
      <c r="R32" s="23">
        <v>44980</v>
      </c>
      <c r="S32" s="11" t="s">
        <v>132</v>
      </c>
      <c r="T32" s="10" t="s">
        <v>133</v>
      </c>
      <c r="U32" s="16" t="s">
        <v>134</v>
      </c>
      <c r="V32" s="40">
        <v>71760000</v>
      </c>
      <c r="W32" s="18">
        <f t="shared" si="0"/>
        <v>79653600</v>
      </c>
      <c r="X32" s="465" t="s">
        <v>356</v>
      </c>
    </row>
    <row r="33" spans="2:25" ht="13.2">
      <c r="B33" s="9">
        <v>28</v>
      </c>
      <c r="C33" s="10">
        <v>2000021988</v>
      </c>
      <c r="D33" s="10">
        <v>3000021846</v>
      </c>
      <c r="E33" s="11" t="s">
        <v>234</v>
      </c>
      <c r="F33" s="12">
        <v>44979</v>
      </c>
      <c r="G33" s="38">
        <v>12140000</v>
      </c>
      <c r="H33" s="14" t="s">
        <v>31</v>
      </c>
      <c r="I33" s="34" t="s">
        <v>235</v>
      </c>
      <c r="J33" s="10" t="s">
        <v>33</v>
      </c>
      <c r="K33" s="10" t="s">
        <v>34</v>
      </c>
      <c r="L33" s="22" t="s">
        <v>35</v>
      </c>
      <c r="M33" s="39">
        <v>44979</v>
      </c>
      <c r="N33" s="14" t="s">
        <v>36</v>
      </c>
      <c r="O33" s="10" t="s">
        <v>37</v>
      </c>
      <c r="P33" s="10">
        <v>5300007498</v>
      </c>
      <c r="Q33" s="11" t="s">
        <v>236</v>
      </c>
      <c r="R33" s="23">
        <v>44980</v>
      </c>
      <c r="S33" s="11" t="s">
        <v>132</v>
      </c>
      <c r="T33" s="10" t="s">
        <v>133</v>
      </c>
      <c r="U33" s="16" t="s">
        <v>134</v>
      </c>
      <c r="V33" s="40">
        <v>12140000</v>
      </c>
      <c r="W33" s="18">
        <f t="shared" si="0"/>
        <v>13475400</v>
      </c>
      <c r="X33" s="465" t="s">
        <v>356</v>
      </c>
    </row>
    <row r="34" spans="2:25" ht="24">
      <c r="B34" s="9">
        <v>29</v>
      </c>
      <c r="C34" s="10">
        <v>2000032762</v>
      </c>
      <c r="D34" s="10">
        <v>3000021667</v>
      </c>
      <c r="E34" s="11" t="s">
        <v>237</v>
      </c>
      <c r="F34" s="12">
        <v>44970</v>
      </c>
      <c r="G34" s="38">
        <v>171500000</v>
      </c>
      <c r="H34" s="10" t="s">
        <v>31</v>
      </c>
      <c r="I34" s="11" t="s">
        <v>238</v>
      </c>
      <c r="J34" s="10" t="s">
        <v>33</v>
      </c>
      <c r="K34" s="36" t="s">
        <v>61</v>
      </c>
      <c r="L34" s="22" t="s">
        <v>47</v>
      </c>
      <c r="M34" s="39">
        <v>44970</v>
      </c>
      <c r="N34" s="14" t="s">
        <v>36</v>
      </c>
      <c r="O34" s="10" t="s">
        <v>37</v>
      </c>
      <c r="P34" s="10">
        <v>5300007404</v>
      </c>
      <c r="Q34" s="11" t="s">
        <v>239</v>
      </c>
      <c r="R34" s="23">
        <v>44971</v>
      </c>
      <c r="S34" s="11" t="s">
        <v>240</v>
      </c>
      <c r="T34" s="10" t="s">
        <v>241</v>
      </c>
      <c r="U34" s="11" t="s">
        <v>242</v>
      </c>
      <c r="V34" s="17">
        <v>159100000</v>
      </c>
      <c r="W34" s="18">
        <f t="shared" si="0"/>
        <v>176601000</v>
      </c>
      <c r="X34" s="465" t="s">
        <v>396</v>
      </c>
    </row>
    <row r="35" spans="2:25" ht="13.2">
      <c r="B35" s="9">
        <v>30</v>
      </c>
      <c r="C35" s="10">
        <v>2000021763</v>
      </c>
      <c r="D35" s="10">
        <v>3000021668</v>
      </c>
      <c r="E35" s="11" t="s">
        <v>243</v>
      </c>
      <c r="F35" s="12">
        <v>44984</v>
      </c>
      <c r="G35" s="38">
        <v>3250000</v>
      </c>
      <c r="H35" s="10" t="s">
        <v>31</v>
      </c>
      <c r="I35" s="11" t="s">
        <v>115</v>
      </c>
      <c r="J35" s="10" t="s">
        <v>33</v>
      </c>
      <c r="K35" s="10" t="s">
        <v>34</v>
      </c>
      <c r="L35" s="22" t="s">
        <v>35</v>
      </c>
      <c r="M35" s="39">
        <v>44984</v>
      </c>
      <c r="N35" s="14" t="s">
        <v>36</v>
      </c>
      <c r="O35" s="10" t="s">
        <v>37</v>
      </c>
      <c r="P35" s="10">
        <v>5300007405</v>
      </c>
      <c r="Q35" s="11" t="s">
        <v>244</v>
      </c>
      <c r="R35" s="23">
        <v>44985</v>
      </c>
      <c r="S35" s="11" t="s">
        <v>240</v>
      </c>
      <c r="T35" s="10" t="s">
        <v>241</v>
      </c>
      <c r="U35" s="11" t="s">
        <v>242</v>
      </c>
      <c r="V35" s="17">
        <v>3250000</v>
      </c>
      <c r="W35" s="18">
        <f t="shared" si="0"/>
        <v>3607500</v>
      </c>
      <c r="X35" s="465" t="s">
        <v>367</v>
      </c>
    </row>
    <row r="36" spans="2:25" ht="24">
      <c r="B36" s="9">
        <v>31</v>
      </c>
      <c r="C36" s="10">
        <v>2000022063</v>
      </c>
      <c r="D36" s="10">
        <v>3000021896</v>
      </c>
      <c r="E36" s="11" t="s">
        <v>245</v>
      </c>
      <c r="F36" s="39">
        <v>44968</v>
      </c>
      <c r="G36" s="13">
        <v>179111088</v>
      </c>
      <c r="H36" s="10" t="s">
        <v>31</v>
      </c>
      <c r="I36" s="28" t="s">
        <v>246</v>
      </c>
      <c r="J36" s="10" t="s">
        <v>33</v>
      </c>
      <c r="K36" s="14" t="s">
        <v>61</v>
      </c>
      <c r="L36" s="22" t="s">
        <v>47</v>
      </c>
      <c r="M36" s="41">
        <v>44968</v>
      </c>
      <c r="N36" s="14" t="s">
        <v>36</v>
      </c>
      <c r="O36" s="10" t="s">
        <v>37</v>
      </c>
      <c r="P36" s="10">
        <v>5300007526</v>
      </c>
      <c r="Q36" s="28" t="s">
        <v>247</v>
      </c>
      <c r="R36" s="23">
        <v>44972</v>
      </c>
      <c r="S36" s="11" t="s">
        <v>64</v>
      </c>
      <c r="T36" s="10" t="s">
        <v>65</v>
      </c>
      <c r="U36" s="14" t="s">
        <v>66</v>
      </c>
      <c r="V36" s="17"/>
      <c r="W36" s="18">
        <f t="shared" si="0"/>
        <v>0</v>
      </c>
      <c r="X36" s="17" t="s">
        <v>396</v>
      </c>
      <c r="Y36" s="18" t="e">
        <f>X36-G36</f>
        <v>#VALUE!</v>
      </c>
    </row>
    <row r="37" spans="2:25" ht="13.2">
      <c r="B37" s="9">
        <v>32</v>
      </c>
      <c r="C37" s="22">
        <v>2000022156</v>
      </c>
      <c r="D37" s="22">
        <v>3000021959</v>
      </c>
      <c r="E37" s="11" t="s">
        <v>248</v>
      </c>
      <c r="F37" s="24">
        <v>44984</v>
      </c>
      <c r="G37" s="25">
        <v>44800000</v>
      </c>
      <c r="H37" s="22" t="s">
        <v>31</v>
      </c>
      <c r="I37" s="28" t="s">
        <v>43</v>
      </c>
      <c r="J37" s="10" t="s">
        <v>33</v>
      </c>
      <c r="K37" s="10" t="s">
        <v>34</v>
      </c>
      <c r="L37" s="14" t="s">
        <v>35</v>
      </c>
      <c r="M37" s="24">
        <v>44984</v>
      </c>
      <c r="N37" s="14" t="s">
        <v>36</v>
      </c>
      <c r="O37" s="14" t="s">
        <v>37</v>
      </c>
      <c r="P37" s="22">
        <v>5300007579</v>
      </c>
      <c r="Q37" s="11" t="s">
        <v>249</v>
      </c>
      <c r="R37" s="21">
        <v>44986</v>
      </c>
      <c r="S37" s="11" t="s">
        <v>250</v>
      </c>
      <c r="T37" s="10" t="s">
        <v>241</v>
      </c>
      <c r="U37" s="10" t="s">
        <v>242</v>
      </c>
      <c r="V37" s="26">
        <v>44800000</v>
      </c>
      <c r="W37" s="18">
        <f t="shared" si="0"/>
        <v>49728000</v>
      </c>
      <c r="X37" s="465" t="s">
        <v>396</v>
      </c>
    </row>
    <row r="38" spans="2:25" ht="13.2">
      <c r="B38" s="9">
        <v>33</v>
      </c>
      <c r="C38" s="10">
        <v>2000022259</v>
      </c>
      <c r="D38" s="10">
        <v>3000022102</v>
      </c>
      <c r="E38" s="11" t="s">
        <v>251</v>
      </c>
      <c r="F38" s="39">
        <v>44959</v>
      </c>
      <c r="G38" s="13">
        <v>5028000</v>
      </c>
      <c r="H38" s="10" t="s">
        <v>31</v>
      </c>
      <c r="I38" s="20" t="s">
        <v>252</v>
      </c>
      <c r="J38" s="10" t="s">
        <v>33</v>
      </c>
      <c r="K38" s="10" t="s">
        <v>34</v>
      </c>
      <c r="L38" s="14" t="s">
        <v>35</v>
      </c>
      <c r="M38" s="39">
        <v>44960</v>
      </c>
      <c r="N38" s="14" t="s">
        <v>36</v>
      </c>
      <c r="O38" s="14" t="s">
        <v>37</v>
      </c>
      <c r="P38" s="22">
        <v>5300007662</v>
      </c>
      <c r="Q38" s="11" t="s">
        <v>253</v>
      </c>
      <c r="R38" s="23">
        <v>44960</v>
      </c>
      <c r="S38" s="11" t="s">
        <v>254</v>
      </c>
      <c r="T38" s="10" t="s">
        <v>149</v>
      </c>
      <c r="U38" s="28" t="s">
        <v>150</v>
      </c>
      <c r="V38" s="17">
        <v>5028000</v>
      </c>
      <c r="W38" s="18">
        <f t="shared" si="0"/>
        <v>5581080</v>
      </c>
      <c r="X38" s="465" t="s">
        <v>348</v>
      </c>
    </row>
    <row r="39" spans="2:25" ht="13.2">
      <c r="B39" s="9">
        <v>34</v>
      </c>
      <c r="C39" s="42">
        <v>2000022155</v>
      </c>
      <c r="D39" s="43">
        <v>3000021956</v>
      </c>
      <c r="E39" s="11" t="s">
        <v>159</v>
      </c>
      <c r="F39" s="39">
        <v>44963</v>
      </c>
      <c r="G39" s="13">
        <v>54915000</v>
      </c>
      <c r="H39" s="10" t="s">
        <v>31</v>
      </c>
      <c r="I39" s="20" t="s">
        <v>255</v>
      </c>
      <c r="J39" s="10" t="s">
        <v>33</v>
      </c>
      <c r="K39" s="10" t="s">
        <v>34</v>
      </c>
      <c r="L39" s="14" t="s">
        <v>35</v>
      </c>
      <c r="M39" s="39">
        <v>44963</v>
      </c>
      <c r="N39" s="14" t="s">
        <v>36</v>
      </c>
      <c r="O39" s="14" t="s">
        <v>37</v>
      </c>
      <c r="P39" s="22">
        <v>5300007577</v>
      </c>
      <c r="Q39" s="11" t="s">
        <v>227</v>
      </c>
      <c r="R39" s="23">
        <v>44974</v>
      </c>
      <c r="S39" s="11" t="s">
        <v>256</v>
      </c>
      <c r="T39" s="10" t="s">
        <v>257</v>
      </c>
      <c r="U39" s="28"/>
      <c r="V39" s="17">
        <v>54915000</v>
      </c>
      <c r="W39" s="18">
        <f t="shared" si="0"/>
        <v>60955650</v>
      </c>
      <c r="X39" s="465" t="s">
        <v>396</v>
      </c>
    </row>
    <row r="40" spans="2:25" ht="13.2"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V40" s="44">
        <f>SUM(V10:V39)</f>
        <v>1206685000</v>
      </c>
      <c r="W40" s="44">
        <f>SUM(W10:W39)</f>
        <v>1339420350</v>
      </c>
    </row>
    <row r="41" spans="2:25" ht="13.2"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V41" s="31" t="s">
        <v>151</v>
      </c>
      <c r="W41" s="45">
        <v>7.5399999999999995E-2</v>
      </c>
    </row>
    <row r="42" spans="2:25" ht="15.75" customHeight="1"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</row>
    <row r="43" spans="2:25" ht="13.2"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7" t="s">
        <v>258</v>
      </c>
      <c r="V43" s="618"/>
      <c r="W43" s="618"/>
    </row>
    <row r="44" spans="2:25" ht="13.2"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7" t="s">
        <v>153</v>
      </c>
      <c r="V44" s="618"/>
      <c r="W44" s="618"/>
    </row>
    <row r="45" spans="2:25" ht="13.2"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7" t="s">
        <v>154</v>
      </c>
      <c r="V45" s="618"/>
      <c r="W45" s="618"/>
    </row>
    <row r="46" spans="2:25" ht="15.75" customHeight="1"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</row>
    <row r="47" spans="2:25" ht="15.75" customHeight="1"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</row>
    <row r="48" spans="2:25" ht="15.75" customHeight="1"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618"/>
      <c r="V48" s="618"/>
      <c r="W48" s="618"/>
    </row>
    <row r="49" spans="2:23" ht="15.75" customHeight="1"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8"/>
      <c r="V49" s="618"/>
      <c r="W49" s="618"/>
    </row>
    <row r="50" spans="2:23" ht="13.2"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7" t="s">
        <v>155</v>
      </c>
      <c r="V50" s="618"/>
      <c r="W50" s="618"/>
    </row>
    <row r="51" spans="2:23" ht="13.2">
      <c r="G51" s="1"/>
    </row>
    <row r="52" spans="2:23" ht="13.2">
      <c r="G52" s="1"/>
    </row>
    <row r="53" spans="2:23" ht="13.2">
      <c r="G53" s="1"/>
    </row>
    <row r="54" spans="2:23" ht="13.2">
      <c r="G54" s="1"/>
    </row>
    <row r="55" spans="2:23" ht="13.2">
      <c r="G55" s="1"/>
    </row>
    <row r="56" spans="2:23" ht="13.2">
      <c r="G56" s="1"/>
    </row>
    <row r="57" spans="2:23" ht="13.2">
      <c r="G57" s="1"/>
    </row>
    <row r="58" spans="2:23" ht="13.2">
      <c r="G58" s="1"/>
    </row>
    <row r="59" spans="2:23" ht="13.2">
      <c r="G59" s="1"/>
    </row>
    <row r="60" spans="2:23" ht="13.2">
      <c r="G60" s="1"/>
    </row>
    <row r="61" spans="2:23" ht="13.2">
      <c r="G61" s="1"/>
    </row>
    <row r="62" spans="2:23" ht="13.2">
      <c r="G62" s="1"/>
    </row>
    <row r="63" spans="2:23" ht="13.2">
      <c r="G63" s="1"/>
    </row>
    <row r="64" spans="2:23" ht="13.2">
      <c r="G64" s="1"/>
    </row>
    <row r="65" spans="7:7" ht="13.2">
      <c r="G65" s="1"/>
    </row>
    <row r="66" spans="7:7" ht="13.2">
      <c r="G66" s="1"/>
    </row>
    <row r="67" spans="7:7" ht="13.2">
      <c r="G67" s="1"/>
    </row>
    <row r="68" spans="7:7" ht="13.2">
      <c r="G68" s="1"/>
    </row>
    <row r="69" spans="7:7" ht="13.2">
      <c r="G69" s="1"/>
    </row>
    <row r="70" spans="7:7" ht="13.2">
      <c r="G70" s="1"/>
    </row>
    <row r="71" spans="7:7" ht="13.2">
      <c r="G71" s="1"/>
    </row>
    <row r="72" spans="7:7" ht="13.2">
      <c r="G72" s="1"/>
    </row>
    <row r="73" spans="7:7" ht="13.2">
      <c r="G73" s="1"/>
    </row>
    <row r="74" spans="7:7" ht="13.2">
      <c r="G74" s="1"/>
    </row>
    <row r="75" spans="7:7" ht="13.2">
      <c r="G75" s="1"/>
    </row>
    <row r="76" spans="7:7" ht="13.2">
      <c r="G76" s="1"/>
    </row>
    <row r="77" spans="7:7" ht="13.2">
      <c r="G77" s="1"/>
    </row>
    <row r="78" spans="7:7" ht="13.2">
      <c r="G78" s="1"/>
    </row>
    <row r="79" spans="7:7" ht="13.2">
      <c r="G79" s="1"/>
    </row>
    <row r="80" spans="7:7" ht="13.2">
      <c r="G80" s="1"/>
    </row>
    <row r="81" spans="7:7" ht="13.2">
      <c r="G81" s="1"/>
    </row>
    <row r="82" spans="7:7" ht="13.2">
      <c r="G82" s="1"/>
    </row>
    <row r="83" spans="7:7" ht="13.2">
      <c r="G83" s="1"/>
    </row>
    <row r="84" spans="7:7" ht="13.2">
      <c r="G84" s="1"/>
    </row>
    <row r="85" spans="7:7" ht="13.2">
      <c r="G85" s="1"/>
    </row>
    <row r="86" spans="7:7" ht="13.2">
      <c r="G86" s="1"/>
    </row>
    <row r="87" spans="7:7" ht="13.2">
      <c r="G87" s="1"/>
    </row>
    <row r="88" spans="7:7" ht="13.2">
      <c r="G88" s="1"/>
    </row>
    <row r="89" spans="7:7" ht="13.2">
      <c r="G89" s="1"/>
    </row>
    <row r="90" spans="7:7" ht="13.2">
      <c r="G90" s="1"/>
    </row>
    <row r="91" spans="7:7" ht="13.2">
      <c r="G91" s="1"/>
    </row>
    <row r="92" spans="7:7" ht="13.2">
      <c r="G92" s="1"/>
    </row>
    <row r="93" spans="7:7" ht="13.2">
      <c r="G93" s="1"/>
    </row>
    <row r="94" spans="7:7" ht="13.2">
      <c r="G94" s="1"/>
    </row>
    <row r="95" spans="7:7" ht="13.2">
      <c r="G95" s="1"/>
    </row>
    <row r="96" spans="7:7" ht="13.2">
      <c r="G96" s="1"/>
    </row>
    <row r="97" spans="7:7" ht="13.2">
      <c r="G97" s="1"/>
    </row>
    <row r="98" spans="7:7" ht="13.2">
      <c r="G98" s="1"/>
    </row>
    <row r="99" spans="7:7" ht="13.2">
      <c r="G99" s="1"/>
    </row>
    <row r="100" spans="7:7" ht="13.2">
      <c r="G100" s="1"/>
    </row>
    <row r="101" spans="7:7" ht="13.2">
      <c r="G101" s="1"/>
    </row>
    <row r="102" spans="7:7" ht="13.2">
      <c r="G102" s="1"/>
    </row>
    <row r="103" spans="7:7" ht="13.2">
      <c r="G103" s="1"/>
    </row>
    <row r="104" spans="7:7" ht="13.2">
      <c r="G104" s="1"/>
    </row>
    <row r="105" spans="7:7" ht="13.2">
      <c r="G105" s="1"/>
    </row>
    <row r="106" spans="7:7" ht="13.2">
      <c r="G106" s="1"/>
    </row>
    <row r="107" spans="7:7" ht="13.2">
      <c r="G107" s="1"/>
    </row>
    <row r="108" spans="7:7" ht="13.2">
      <c r="G108" s="1"/>
    </row>
    <row r="109" spans="7:7" ht="13.2">
      <c r="G109" s="1"/>
    </row>
    <row r="110" spans="7:7" ht="13.2">
      <c r="G110" s="1"/>
    </row>
    <row r="111" spans="7:7" ht="13.2">
      <c r="G111" s="1"/>
    </row>
    <row r="112" spans="7:7" ht="13.2">
      <c r="G112" s="1"/>
    </row>
    <row r="113" spans="7:7" ht="13.2">
      <c r="G113" s="1"/>
    </row>
    <row r="114" spans="7:7" ht="13.2">
      <c r="G114" s="1"/>
    </row>
    <row r="115" spans="7:7" ht="13.2">
      <c r="G115" s="1"/>
    </row>
    <row r="116" spans="7:7" ht="13.2">
      <c r="G116" s="1"/>
    </row>
    <row r="117" spans="7:7" ht="13.2">
      <c r="G117" s="1"/>
    </row>
    <row r="118" spans="7:7" ht="13.2">
      <c r="G118" s="1"/>
    </row>
    <row r="119" spans="7:7" ht="13.2">
      <c r="G119" s="1"/>
    </row>
    <row r="120" spans="7:7" ht="13.2">
      <c r="G120" s="1"/>
    </row>
    <row r="121" spans="7:7" ht="13.2">
      <c r="G121" s="1"/>
    </row>
    <row r="122" spans="7:7" ht="13.2">
      <c r="G122" s="1"/>
    </row>
    <row r="123" spans="7:7" ht="13.2">
      <c r="G123" s="1"/>
    </row>
    <row r="124" spans="7:7" ht="13.2">
      <c r="G124" s="1"/>
    </row>
    <row r="125" spans="7:7" ht="13.2">
      <c r="G125" s="1"/>
    </row>
    <row r="126" spans="7:7" ht="13.2">
      <c r="G126" s="1"/>
    </row>
    <row r="127" spans="7:7" ht="13.2">
      <c r="G127" s="1"/>
    </row>
    <row r="128" spans="7:7" ht="13.2">
      <c r="G128" s="1"/>
    </row>
    <row r="129" spans="7:7" ht="13.2">
      <c r="G129" s="1"/>
    </row>
    <row r="130" spans="7:7" ht="13.2">
      <c r="G130" s="1"/>
    </row>
    <row r="131" spans="7:7" ht="13.2">
      <c r="G131" s="1"/>
    </row>
    <row r="132" spans="7:7" ht="13.2">
      <c r="G132" s="1"/>
    </row>
    <row r="133" spans="7:7" ht="13.2">
      <c r="G133" s="1"/>
    </row>
    <row r="134" spans="7:7" ht="13.2">
      <c r="G134" s="1"/>
    </row>
    <row r="135" spans="7:7" ht="13.2">
      <c r="G135" s="1"/>
    </row>
    <row r="136" spans="7:7" ht="13.2">
      <c r="G136" s="1"/>
    </row>
    <row r="137" spans="7:7" ht="13.2">
      <c r="G137" s="1"/>
    </row>
    <row r="138" spans="7:7" ht="13.2">
      <c r="G138" s="1"/>
    </row>
    <row r="139" spans="7:7" ht="13.2">
      <c r="G139" s="1"/>
    </row>
    <row r="140" spans="7:7" ht="13.2">
      <c r="G140" s="1"/>
    </row>
    <row r="141" spans="7:7" ht="13.2">
      <c r="G141" s="1"/>
    </row>
    <row r="142" spans="7:7" ht="13.2">
      <c r="G142" s="1"/>
    </row>
    <row r="143" spans="7:7" ht="13.2">
      <c r="G143" s="1"/>
    </row>
    <row r="144" spans="7:7" ht="13.2">
      <c r="G144" s="1"/>
    </row>
    <row r="145" spans="7:7" ht="13.2">
      <c r="G145" s="1"/>
    </row>
    <row r="146" spans="7:7" ht="13.2">
      <c r="G146" s="1"/>
    </row>
    <row r="147" spans="7:7" ht="13.2">
      <c r="G147" s="1"/>
    </row>
    <row r="148" spans="7:7" ht="13.2">
      <c r="G148" s="1"/>
    </row>
    <row r="149" spans="7:7" ht="13.2">
      <c r="G149" s="1"/>
    </row>
    <row r="150" spans="7:7" ht="13.2">
      <c r="G150" s="1"/>
    </row>
    <row r="151" spans="7:7" ht="13.2">
      <c r="G151" s="1"/>
    </row>
    <row r="152" spans="7:7" ht="13.2">
      <c r="G152" s="1"/>
    </row>
    <row r="153" spans="7:7" ht="13.2">
      <c r="G153" s="1"/>
    </row>
    <row r="154" spans="7:7" ht="13.2">
      <c r="G154" s="1"/>
    </row>
    <row r="155" spans="7:7" ht="13.2">
      <c r="G155" s="1"/>
    </row>
    <row r="156" spans="7:7" ht="13.2">
      <c r="G156" s="1"/>
    </row>
    <row r="157" spans="7:7" ht="13.2">
      <c r="G157" s="1"/>
    </row>
    <row r="158" spans="7:7" ht="13.2">
      <c r="G158" s="1"/>
    </row>
    <row r="159" spans="7:7" ht="13.2">
      <c r="G159" s="1"/>
    </row>
    <row r="160" spans="7:7" ht="13.2">
      <c r="G160" s="1"/>
    </row>
    <row r="161" spans="7:7" ht="13.2">
      <c r="G161" s="1"/>
    </row>
    <row r="162" spans="7:7" ht="13.2">
      <c r="G162" s="1"/>
    </row>
    <row r="163" spans="7:7" ht="13.2">
      <c r="G163" s="1"/>
    </row>
    <row r="164" spans="7:7" ht="13.2">
      <c r="G164" s="1"/>
    </row>
    <row r="165" spans="7:7" ht="13.2">
      <c r="G165" s="1"/>
    </row>
    <row r="166" spans="7:7" ht="13.2">
      <c r="G166" s="1"/>
    </row>
    <row r="167" spans="7:7" ht="13.2">
      <c r="G167" s="1"/>
    </row>
    <row r="168" spans="7:7" ht="13.2">
      <c r="G168" s="1"/>
    </row>
    <row r="169" spans="7:7" ht="13.2">
      <c r="G169" s="1"/>
    </row>
    <row r="170" spans="7:7" ht="13.2">
      <c r="G170" s="1"/>
    </row>
    <row r="171" spans="7:7" ht="13.2">
      <c r="G171" s="1"/>
    </row>
    <row r="172" spans="7:7" ht="13.2">
      <c r="G172" s="1"/>
    </row>
    <row r="173" spans="7:7" ht="13.2">
      <c r="G173" s="1"/>
    </row>
    <row r="174" spans="7:7" ht="13.2">
      <c r="G174" s="1"/>
    </row>
    <row r="175" spans="7:7" ht="13.2">
      <c r="G175" s="1"/>
    </row>
    <row r="176" spans="7:7" ht="13.2">
      <c r="G176" s="1"/>
    </row>
    <row r="177" spans="7:7" ht="13.2">
      <c r="G177" s="1"/>
    </row>
    <row r="178" spans="7:7" ht="13.2">
      <c r="G178" s="1"/>
    </row>
    <row r="179" spans="7:7" ht="13.2">
      <c r="G179" s="1"/>
    </row>
    <row r="180" spans="7:7" ht="13.2">
      <c r="G180" s="1"/>
    </row>
    <row r="181" spans="7:7" ht="13.2">
      <c r="G181" s="1"/>
    </row>
    <row r="182" spans="7:7" ht="13.2">
      <c r="G182" s="1"/>
    </row>
    <row r="183" spans="7:7" ht="13.2">
      <c r="G183" s="1"/>
    </row>
    <row r="184" spans="7:7" ht="13.2">
      <c r="G184" s="1"/>
    </row>
    <row r="185" spans="7:7" ht="13.2">
      <c r="G185" s="1"/>
    </row>
    <row r="186" spans="7:7" ht="13.2">
      <c r="G186" s="1"/>
    </row>
    <row r="187" spans="7:7" ht="13.2">
      <c r="G187" s="1"/>
    </row>
    <row r="188" spans="7:7" ht="13.2">
      <c r="G188" s="1"/>
    </row>
    <row r="189" spans="7:7" ht="13.2">
      <c r="G189" s="1"/>
    </row>
    <row r="190" spans="7:7" ht="13.2">
      <c r="G190" s="1"/>
    </row>
    <row r="191" spans="7:7" ht="13.2">
      <c r="G191" s="1"/>
    </row>
    <row r="192" spans="7:7" ht="13.2">
      <c r="G192" s="1"/>
    </row>
    <row r="193" spans="7:7" ht="13.2">
      <c r="G193" s="1"/>
    </row>
    <row r="194" spans="7:7" ht="13.2">
      <c r="G194" s="1"/>
    </row>
    <row r="195" spans="7:7" ht="13.2">
      <c r="G195" s="1"/>
    </row>
    <row r="196" spans="7:7" ht="13.2">
      <c r="G196" s="1"/>
    </row>
    <row r="197" spans="7:7" ht="13.2">
      <c r="G197" s="1"/>
    </row>
    <row r="198" spans="7:7" ht="13.2">
      <c r="G198" s="1"/>
    </row>
    <row r="199" spans="7:7" ht="13.2">
      <c r="G199" s="1"/>
    </row>
    <row r="200" spans="7:7" ht="13.2">
      <c r="G200" s="1"/>
    </row>
    <row r="201" spans="7:7" ht="13.2">
      <c r="G201" s="1"/>
    </row>
    <row r="202" spans="7:7" ht="13.2">
      <c r="G202" s="1"/>
    </row>
    <row r="203" spans="7:7" ht="13.2">
      <c r="G203" s="1"/>
    </row>
    <row r="204" spans="7:7" ht="13.2">
      <c r="G204" s="1"/>
    </row>
    <row r="205" spans="7:7" ht="13.2">
      <c r="G205" s="1"/>
    </row>
    <row r="206" spans="7:7" ht="13.2">
      <c r="G206" s="1"/>
    </row>
    <row r="207" spans="7:7" ht="13.2">
      <c r="G207" s="1"/>
    </row>
    <row r="208" spans="7:7" ht="13.2">
      <c r="G208" s="1"/>
    </row>
    <row r="209" spans="7:7" ht="13.2">
      <c r="G209" s="1"/>
    </row>
    <row r="210" spans="7:7" ht="13.2">
      <c r="G210" s="1"/>
    </row>
    <row r="211" spans="7:7" ht="13.2">
      <c r="G211" s="1"/>
    </row>
    <row r="212" spans="7:7" ht="13.2">
      <c r="G212" s="1"/>
    </row>
    <row r="213" spans="7:7" ht="13.2">
      <c r="G213" s="1"/>
    </row>
    <row r="214" spans="7:7" ht="13.2">
      <c r="G214" s="1"/>
    </row>
    <row r="215" spans="7:7" ht="13.2">
      <c r="G215" s="1"/>
    </row>
    <row r="216" spans="7:7" ht="13.2">
      <c r="G216" s="1"/>
    </row>
    <row r="217" spans="7:7" ht="13.2">
      <c r="G217" s="1"/>
    </row>
    <row r="218" spans="7:7" ht="13.2">
      <c r="G218" s="1"/>
    </row>
    <row r="219" spans="7:7" ht="13.2">
      <c r="G219" s="1"/>
    </row>
    <row r="220" spans="7:7" ht="13.2">
      <c r="G220" s="1"/>
    </row>
    <row r="221" spans="7:7" ht="13.2">
      <c r="G221" s="1"/>
    </row>
    <row r="222" spans="7:7" ht="13.2">
      <c r="G222" s="1"/>
    </row>
    <row r="223" spans="7:7" ht="13.2">
      <c r="G223" s="1"/>
    </row>
    <row r="224" spans="7:7" ht="13.2">
      <c r="G224" s="1"/>
    </row>
    <row r="225" spans="7:7" ht="13.2">
      <c r="G225" s="1"/>
    </row>
    <row r="226" spans="7:7" ht="13.2">
      <c r="G226" s="1"/>
    </row>
    <row r="227" spans="7:7" ht="13.2">
      <c r="G227" s="1"/>
    </row>
    <row r="228" spans="7:7" ht="13.2">
      <c r="G228" s="1"/>
    </row>
    <row r="229" spans="7:7" ht="13.2">
      <c r="G229" s="1"/>
    </row>
    <row r="230" spans="7:7" ht="13.2">
      <c r="G230" s="1"/>
    </row>
    <row r="231" spans="7:7" ht="13.2">
      <c r="G231" s="1"/>
    </row>
    <row r="232" spans="7:7" ht="13.2">
      <c r="G232" s="1"/>
    </row>
    <row r="233" spans="7:7" ht="13.2">
      <c r="G233" s="1"/>
    </row>
    <row r="234" spans="7:7" ht="13.2">
      <c r="G234" s="1"/>
    </row>
    <row r="235" spans="7:7" ht="13.2">
      <c r="G235" s="1"/>
    </row>
    <row r="236" spans="7:7" ht="13.2">
      <c r="G236" s="1"/>
    </row>
    <row r="237" spans="7:7" ht="13.2">
      <c r="G237" s="1"/>
    </row>
    <row r="238" spans="7:7" ht="13.2">
      <c r="G238" s="1"/>
    </row>
    <row r="239" spans="7:7" ht="13.2">
      <c r="G239" s="1"/>
    </row>
    <row r="240" spans="7:7" ht="13.2">
      <c r="G240" s="1"/>
    </row>
    <row r="241" spans="7:7" ht="13.2">
      <c r="G241" s="1"/>
    </row>
    <row r="242" spans="7:7" ht="13.2">
      <c r="G242" s="1"/>
    </row>
    <row r="243" spans="7:7" ht="13.2">
      <c r="G243" s="1"/>
    </row>
    <row r="244" spans="7:7" ht="13.2">
      <c r="G244" s="1"/>
    </row>
    <row r="245" spans="7:7" ht="13.2">
      <c r="G245" s="1"/>
    </row>
    <row r="246" spans="7:7" ht="13.2">
      <c r="G246" s="1"/>
    </row>
    <row r="247" spans="7:7" ht="13.2">
      <c r="G247" s="1"/>
    </row>
    <row r="248" spans="7:7" ht="13.2">
      <c r="G248" s="1"/>
    </row>
    <row r="249" spans="7:7" ht="13.2">
      <c r="G249" s="1"/>
    </row>
    <row r="250" spans="7:7" ht="13.2">
      <c r="G250" s="1"/>
    </row>
    <row r="251" spans="7:7" ht="13.2">
      <c r="G251" s="1"/>
    </row>
    <row r="252" spans="7:7" ht="13.2">
      <c r="G252" s="1"/>
    </row>
    <row r="253" spans="7:7" ht="13.2">
      <c r="G253" s="1"/>
    </row>
    <row r="254" spans="7:7" ht="13.2">
      <c r="G254" s="1"/>
    </row>
    <row r="255" spans="7:7" ht="13.2">
      <c r="G255" s="1"/>
    </row>
    <row r="256" spans="7:7" ht="13.2">
      <c r="G256" s="1"/>
    </row>
    <row r="257" spans="7:7" ht="13.2">
      <c r="G257" s="1"/>
    </row>
    <row r="258" spans="7:7" ht="13.2">
      <c r="G258" s="1"/>
    </row>
    <row r="259" spans="7:7" ht="13.2">
      <c r="G259" s="1"/>
    </row>
    <row r="260" spans="7:7" ht="13.2">
      <c r="G260" s="1"/>
    </row>
    <row r="261" spans="7:7" ht="13.2">
      <c r="G261" s="1"/>
    </row>
    <row r="262" spans="7:7" ht="13.2">
      <c r="G262" s="1"/>
    </row>
    <row r="263" spans="7:7" ht="13.2">
      <c r="G263" s="1"/>
    </row>
    <row r="264" spans="7:7" ht="13.2">
      <c r="G264" s="1"/>
    </row>
    <row r="265" spans="7:7" ht="13.2">
      <c r="G265" s="1"/>
    </row>
    <row r="266" spans="7:7" ht="13.2">
      <c r="G266" s="1"/>
    </row>
    <row r="267" spans="7:7" ht="13.2">
      <c r="G267" s="1"/>
    </row>
    <row r="268" spans="7:7" ht="13.2">
      <c r="G268" s="1"/>
    </row>
    <row r="269" spans="7:7" ht="13.2">
      <c r="G269" s="1"/>
    </row>
    <row r="270" spans="7:7" ht="13.2">
      <c r="G270" s="1"/>
    </row>
    <row r="271" spans="7:7" ht="13.2">
      <c r="G271" s="1"/>
    </row>
    <row r="272" spans="7:7" ht="13.2">
      <c r="G272" s="1"/>
    </row>
    <row r="273" spans="7:7" ht="13.2">
      <c r="G273" s="1"/>
    </row>
    <row r="274" spans="7:7" ht="13.2">
      <c r="G274" s="1"/>
    </row>
    <row r="275" spans="7:7" ht="13.2">
      <c r="G275" s="1"/>
    </row>
    <row r="276" spans="7:7" ht="13.2">
      <c r="G276" s="1"/>
    </row>
    <row r="277" spans="7:7" ht="13.2">
      <c r="G277" s="1"/>
    </row>
    <row r="278" spans="7:7" ht="13.2">
      <c r="G278" s="1"/>
    </row>
    <row r="279" spans="7:7" ht="13.2">
      <c r="G279" s="1"/>
    </row>
    <row r="280" spans="7:7" ht="13.2">
      <c r="G280" s="1"/>
    </row>
    <row r="281" spans="7:7" ht="13.2">
      <c r="G281" s="1"/>
    </row>
    <row r="282" spans="7:7" ht="13.2">
      <c r="G282" s="1"/>
    </row>
    <row r="283" spans="7:7" ht="13.2">
      <c r="G283" s="1"/>
    </row>
    <row r="284" spans="7:7" ht="13.2">
      <c r="G284" s="1"/>
    </row>
    <row r="285" spans="7:7" ht="13.2">
      <c r="G285" s="1"/>
    </row>
    <row r="286" spans="7:7" ht="13.2">
      <c r="G286" s="1"/>
    </row>
    <row r="287" spans="7:7" ht="13.2">
      <c r="G287" s="1"/>
    </row>
    <row r="288" spans="7:7" ht="13.2">
      <c r="G288" s="1"/>
    </row>
    <row r="289" spans="7:7" ht="13.2">
      <c r="G289" s="1"/>
    </row>
    <row r="290" spans="7:7" ht="13.2">
      <c r="G290" s="1"/>
    </row>
    <row r="291" spans="7:7" ht="13.2">
      <c r="G291" s="1"/>
    </row>
    <row r="292" spans="7:7" ht="13.2">
      <c r="G292" s="1"/>
    </row>
    <row r="293" spans="7:7" ht="13.2">
      <c r="G293" s="1"/>
    </row>
    <row r="294" spans="7:7" ht="13.2">
      <c r="G294" s="1"/>
    </row>
    <row r="295" spans="7:7" ht="13.2">
      <c r="G295" s="1"/>
    </row>
    <row r="296" spans="7:7" ht="13.2">
      <c r="G296" s="1"/>
    </row>
    <row r="297" spans="7:7" ht="13.2">
      <c r="G297" s="1"/>
    </row>
    <row r="298" spans="7:7" ht="13.2">
      <c r="G298" s="1"/>
    </row>
    <row r="299" spans="7:7" ht="13.2">
      <c r="G299" s="1"/>
    </row>
    <row r="300" spans="7:7" ht="13.2">
      <c r="G300" s="1"/>
    </row>
    <row r="301" spans="7:7" ht="13.2">
      <c r="G301" s="1"/>
    </row>
    <row r="302" spans="7:7" ht="13.2">
      <c r="G302" s="1"/>
    </row>
    <row r="303" spans="7:7" ht="13.2">
      <c r="G303" s="1"/>
    </row>
    <row r="304" spans="7:7" ht="13.2">
      <c r="G304" s="1"/>
    </row>
    <row r="305" spans="7:7" ht="13.2">
      <c r="G305" s="1"/>
    </row>
    <row r="306" spans="7:7" ht="13.2">
      <c r="G306" s="1"/>
    </row>
    <row r="307" spans="7:7" ht="13.2">
      <c r="G307" s="1"/>
    </row>
    <row r="308" spans="7:7" ht="13.2">
      <c r="G308" s="1"/>
    </row>
    <row r="309" spans="7:7" ht="13.2">
      <c r="G309" s="1"/>
    </row>
    <row r="310" spans="7:7" ht="13.2">
      <c r="G310" s="1"/>
    </row>
    <row r="311" spans="7:7" ht="13.2">
      <c r="G311" s="1"/>
    </row>
    <row r="312" spans="7:7" ht="13.2">
      <c r="G312" s="1"/>
    </row>
    <row r="313" spans="7:7" ht="13.2">
      <c r="G313" s="1"/>
    </row>
    <row r="314" spans="7:7" ht="13.2">
      <c r="G314" s="1"/>
    </row>
    <row r="315" spans="7:7" ht="13.2">
      <c r="G315" s="1"/>
    </row>
    <row r="316" spans="7:7" ht="13.2">
      <c r="G316" s="1"/>
    </row>
    <row r="317" spans="7:7" ht="13.2">
      <c r="G317" s="1"/>
    </row>
    <row r="318" spans="7:7" ht="13.2">
      <c r="G318" s="1"/>
    </row>
    <row r="319" spans="7:7" ht="13.2">
      <c r="G319" s="1"/>
    </row>
    <row r="320" spans="7:7" ht="13.2">
      <c r="G320" s="1"/>
    </row>
    <row r="321" spans="7:7" ht="13.2">
      <c r="G321" s="1"/>
    </row>
    <row r="322" spans="7:7" ht="13.2">
      <c r="G322" s="1"/>
    </row>
    <row r="323" spans="7:7" ht="13.2">
      <c r="G323" s="1"/>
    </row>
    <row r="324" spans="7:7" ht="13.2">
      <c r="G324" s="1"/>
    </row>
    <row r="325" spans="7:7" ht="13.2">
      <c r="G325" s="1"/>
    </row>
    <row r="326" spans="7:7" ht="13.2">
      <c r="G326" s="1"/>
    </row>
    <row r="327" spans="7:7" ht="13.2">
      <c r="G327" s="1"/>
    </row>
    <row r="328" spans="7:7" ht="13.2">
      <c r="G328" s="1"/>
    </row>
    <row r="329" spans="7:7" ht="13.2">
      <c r="G329" s="1"/>
    </row>
    <row r="330" spans="7:7" ht="13.2">
      <c r="G330" s="1"/>
    </row>
    <row r="331" spans="7:7" ht="13.2">
      <c r="G331" s="1"/>
    </row>
    <row r="332" spans="7:7" ht="13.2">
      <c r="G332" s="1"/>
    </row>
    <row r="333" spans="7:7" ht="13.2">
      <c r="G333" s="1"/>
    </row>
    <row r="334" spans="7:7" ht="13.2">
      <c r="G334" s="1"/>
    </row>
    <row r="335" spans="7:7" ht="13.2">
      <c r="G335" s="1"/>
    </row>
    <row r="336" spans="7:7" ht="13.2">
      <c r="G336" s="1"/>
    </row>
    <row r="337" spans="7:7" ht="13.2">
      <c r="G337" s="1"/>
    </row>
    <row r="338" spans="7:7" ht="13.2">
      <c r="G338" s="1"/>
    </row>
    <row r="339" spans="7:7" ht="13.2">
      <c r="G339" s="1"/>
    </row>
    <row r="340" spans="7:7" ht="13.2">
      <c r="G340" s="1"/>
    </row>
    <row r="341" spans="7:7" ht="13.2">
      <c r="G341" s="1"/>
    </row>
    <row r="342" spans="7:7" ht="13.2">
      <c r="G342" s="1"/>
    </row>
    <row r="343" spans="7:7" ht="13.2">
      <c r="G343" s="1"/>
    </row>
    <row r="344" spans="7:7" ht="13.2">
      <c r="G344" s="1"/>
    </row>
    <row r="345" spans="7:7" ht="13.2">
      <c r="G345" s="1"/>
    </row>
    <row r="346" spans="7:7" ht="13.2">
      <c r="G346" s="1"/>
    </row>
    <row r="347" spans="7:7" ht="13.2">
      <c r="G347" s="1"/>
    </row>
    <row r="348" spans="7:7" ht="13.2">
      <c r="G348" s="1"/>
    </row>
    <row r="349" spans="7:7" ht="13.2">
      <c r="G349" s="1"/>
    </row>
    <row r="350" spans="7:7" ht="13.2">
      <c r="G350" s="1"/>
    </row>
    <row r="351" spans="7:7" ht="13.2">
      <c r="G351" s="1"/>
    </row>
    <row r="352" spans="7:7" ht="13.2">
      <c r="G352" s="1"/>
    </row>
    <row r="353" spans="7:7" ht="13.2">
      <c r="G353" s="1"/>
    </row>
    <row r="354" spans="7:7" ht="13.2">
      <c r="G354" s="1"/>
    </row>
    <row r="355" spans="7:7" ht="13.2">
      <c r="G355" s="1"/>
    </row>
    <row r="356" spans="7:7" ht="13.2">
      <c r="G356" s="1"/>
    </row>
    <row r="357" spans="7:7" ht="13.2">
      <c r="G357" s="1"/>
    </row>
    <row r="358" spans="7:7" ht="13.2">
      <c r="G358" s="1"/>
    </row>
    <row r="359" spans="7:7" ht="13.2">
      <c r="G359" s="1"/>
    </row>
    <row r="360" spans="7:7" ht="13.2">
      <c r="G360" s="1"/>
    </row>
    <row r="361" spans="7:7" ht="13.2">
      <c r="G361" s="1"/>
    </row>
    <row r="362" spans="7:7" ht="13.2">
      <c r="G362" s="1"/>
    </row>
    <row r="363" spans="7:7" ht="13.2">
      <c r="G363" s="1"/>
    </row>
    <row r="364" spans="7:7" ht="13.2">
      <c r="G364" s="1"/>
    </row>
    <row r="365" spans="7:7" ht="13.2">
      <c r="G365" s="1"/>
    </row>
    <row r="366" spans="7:7" ht="13.2">
      <c r="G366" s="1"/>
    </row>
    <row r="367" spans="7:7" ht="13.2">
      <c r="G367" s="1"/>
    </row>
    <row r="368" spans="7:7" ht="13.2">
      <c r="G368" s="1"/>
    </row>
    <row r="369" spans="7:7" ht="13.2">
      <c r="G369" s="1"/>
    </row>
    <row r="370" spans="7:7" ht="13.2">
      <c r="G370" s="1"/>
    </row>
    <row r="371" spans="7:7" ht="13.2">
      <c r="G371" s="1"/>
    </row>
    <row r="372" spans="7:7" ht="13.2">
      <c r="G372" s="1"/>
    </row>
    <row r="373" spans="7:7" ht="13.2">
      <c r="G373" s="1"/>
    </row>
    <row r="374" spans="7:7" ht="13.2">
      <c r="G374" s="1"/>
    </row>
    <row r="375" spans="7:7" ht="13.2">
      <c r="G375" s="1"/>
    </row>
    <row r="376" spans="7:7" ht="13.2">
      <c r="G376" s="1"/>
    </row>
    <row r="377" spans="7:7" ht="13.2">
      <c r="G377" s="1"/>
    </row>
    <row r="378" spans="7:7" ht="13.2">
      <c r="G378" s="1"/>
    </row>
    <row r="379" spans="7:7" ht="13.2">
      <c r="G379" s="1"/>
    </row>
    <row r="380" spans="7:7" ht="13.2">
      <c r="G380" s="1"/>
    </row>
    <row r="381" spans="7:7" ht="13.2">
      <c r="G381" s="1"/>
    </row>
    <row r="382" spans="7:7" ht="13.2">
      <c r="G382" s="1"/>
    </row>
    <row r="383" spans="7:7" ht="13.2">
      <c r="G383" s="1"/>
    </row>
    <row r="384" spans="7:7" ht="13.2">
      <c r="G384" s="1"/>
    </row>
    <row r="385" spans="7:7" ht="13.2">
      <c r="G385" s="1"/>
    </row>
    <row r="386" spans="7:7" ht="13.2">
      <c r="G386" s="1"/>
    </row>
    <row r="387" spans="7:7" ht="13.2">
      <c r="G387" s="1"/>
    </row>
    <row r="388" spans="7:7" ht="13.2">
      <c r="G388" s="1"/>
    </row>
    <row r="389" spans="7:7" ht="13.2">
      <c r="G389" s="1"/>
    </row>
    <row r="390" spans="7:7" ht="13.2">
      <c r="G390" s="1"/>
    </row>
    <row r="391" spans="7:7" ht="13.2">
      <c r="G391" s="1"/>
    </row>
    <row r="392" spans="7:7" ht="13.2">
      <c r="G392" s="1"/>
    </row>
    <row r="393" spans="7:7" ht="13.2">
      <c r="G393" s="1"/>
    </row>
    <row r="394" spans="7:7" ht="13.2">
      <c r="G394" s="1"/>
    </row>
    <row r="395" spans="7:7" ht="13.2">
      <c r="G395" s="1"/>
    </row>
    <row r="396" spans="7:7" ht="13.2">
      <c r="G396" s="1"/>
    </row>
    <row r="397" spans="7:7" ht="13.2">
      <c r="G397" s="1"/>
    </row>
    <row r="398" spans="7:7" ht="13.2">
      <c r="G398" s="1"/>
    </row>
    <row r="399" spans="7:7" ht="13.2">
      <c r="G399" s="1"/>
    </row>
    <row r="400" spans="7:7" ht="13.2">
      <c r="G400" s="1"/>
    </row>
    <row r="401" spans="7:7" ht="13.2">
      <c r="G401" s="1"/>
    </row>
    <row r="402" spans="7:7" ht="13.2">
      <c r="G402" s="1"/>
    </row>
    <row r="403" spans="7:7" ht="13.2">
      <c r="G403" s="1"/>
    </row>
    <row r="404" spans="7:7" ht="13.2">
      <c r="G404" s="1"/>
    </row>
    <row r="405" spans="7:7" ht="13.2">
      <c r="G405" s="1"/>
    </row>
    <row r="406" spans="7:7" ht="13.2">
      <c r="G406" s="1"/>
    </row>
    <row r="407" spans="7:7" ht="13.2">
      <c r="G407" s="1"/>
    </row>
    <row r="408" spans="7:7" ht="13.2">
      <c r="G408" s="1"/>
    </row>
    <row r="409" spans="7:7" ht="13.2">
      <c r="G409" s="1"/>
    </row>
    <row r="410" spans="7:7" ht="13.2">
      <c r="G410" s="1"/>
    </row>
    <row r="411" spans="7:7" ht="13.2">
      <c r="G411" s="1"/>
    </row>
    <row r="412" spans="7:7" ht="13.2">
      <c r="G412" s="1"/>
    </row>
    <row r="413" spans="7:7" ht="13.2">
      <c r="G413" s="1"/>
    </row>
    <row r="414" spans="7:7" ht="13.2">
      <c r="G414" s="1"/>
    </row>
    <row r="415" spans="7:7" ht="13.2">
      <c r="G415" s="1"/>
    </row>
    <row r="416" spans="7:7" ht="13.2">
      <c r="G416" s="1"/>
    </row>
    <row r="417" spans="7:7" ht="13.2">
      <c r="G417" s="1"/>
    </row>
    <row r="418" spans="7:7" ht="13.2">
      <c r="G418" s="1"/>
    </row>
    <row r="419" spans="7:7" ht="13.2">
      <c r="G419" s="1"/>
    </row>
    <row r="420" spans="7:7" ht="13.2">
      <c r="G420" s="1"/>
    </row>
    <row r="421" spans="7:7" ht="13.2">
      <c r="G421" s="1"/>
    </row>
    <row r="422" spans="7:7" ht="13.2">
      <c r="G422" s="1"/>
    </row>
    <row r="423" spans="7:7" ht="13.2">
      <c r="G423" s="1"/>
    </row>
    <row r="424" spans="7:7" ht="13.2">
      <c r="G424" s="1"/>
    </row>
    <row r="425" spans="7:7" ht="13.2">
      <c r="G425" s="1"/>
    </row>
    <row r="426" spans="7:7" ht="13.2">
      <c r="G426" s="1"/>
    </row>
    <row r="427" spans="7:7" ht="13.2">
      <c r="G427" s="1"/>
    </row>
    <row r="428" spans="7:7" ht="13.2">
      <c r="G428" s="1"/>
    </row>
    <row r="429" spans="7:7" ht="13.2">
      <c r="G429" s="1"/>
    </row>
    <row r="430" spans="7:7" ht="13.2">
      <c r="G430" s="1"/>
    </row>
    <row r="431" spans="7:7" ht="13.2">
      <c r="G431" s="1"/>
    </row>
    <row r="432" spans="7:7" ht="13.2">
      <c r="G432" s="1"/>
    </row>
    <row r="433" spans="7:7" ht="13.2">
      <c r="G433" s="1"/>
    </row>
    <row r="434" spans="7:7" ht="13.2">
      <c r="G434" s="1"/>
    </row>
    <row r="435" spans="7:7" ht="13.2">
      <c r="G435" s="1"/>
    </row>
    <row r="436" spans="7:7" ht="13.2">
      <c r="G436" s="1"/>
    </row>
    <row r="437" spans="7:7" ht="13.2">
      <c r="G437" s="1"/>
    </row>
    <row r="438" spans="7:7" ht="13.2">
      <c r="G438" s="1"/>
    </row>
    <row r="439" spans="7:7" ht="13.2">
      <c r="G439" s="1"/>
    </row>
    <row r="440" spans="7:7" ht="13.2">
      <c r="G440" s="1"/>
    </row>
    <row r="441" spans="7:7" ht="13.2">
      <c r="G441" s="1"/>
    </row>
    <row r="442" spans="7:7" ht="13.2">
      <c r="G442" s="1"/>
    </row>
    <row r="443" spans="7:7" ht="13.2">
      <c r="G443" s="1"/>
    </row>
    <row r="444" spans="7:7" ht="13.2">
      <c r="G444" s="1"/>
    </row>
    <row r="445" spans="7:7" ht="13.2">
      <c r="G445" s="1"/>
    </row>
    <row r="446" spans="7:7" ht="13.2">
      <c r="G446" s="1"/>
    </row>
    <row r="447" spans="7:7" ht="13.2">
      <c r="G447" s="1"/>
    </row>
    <row r="448" spans="7:7" ht="13.2">
      <c r="G448" s="1"/>
    </row>
    <row r="449" spans="7:7" ht="13.2">
      <c r="G449" s="1"/>
    </row>
    <row r="450" spans="7:7" ht="13.2">
      <c r="G450" s="1"/>
    </row>
    <row r="451" spans="7:7" ht="13.2">
      <c r="G451" s="1"/>
    </row>
    <row r="452" spans="7:7" ht="13.2">
      <c r="G452" s="1"/>
    </row>
    <row r="453" spans="7:7" ht="13.2">
      <c r="G453" s="1"/>
    </row>
    <row r="454" spans="7:7" ht="13.2">
      <c r="G454" s="1"/>
    </row>
    <row r="455" spans="7:7" ht="13.2">
      <c r="G455" s="1"/>
    </row>
    <row r="456" spans="7:7" ht="13.2">
      <c r="G456" s="1"/>
    </row>
    <row r="457" spans="7:7" ht="13.2">
      <c r="G457" s="1"/>
    </row>
    <row r="458" spans="7:7" ht="13.2">
      <c r="G458" s="1"/>
    </row>
    <row r="459" spans="7:7" ht="13.2">
      <c r="G459" s="1"/>
    </row>
    <row r="460" spans="7:7" ht="13.2">
      <c r="G460" s="1"/>
    </row>
    <row r="461" spans="7:7" ht="13.2">
      <c r="G461" s="1"/>
    </row>
    <row r="462" spans="7:7" ht="13.2">
      <c r="G462" s="1"/>
    </row>
    <row r="463" spans="7:7" ht="13.2">
      <c r="G463" s="1"/>
    </row>
    <row r="464" spans="7:7" ht="13.2">
      <c r="G464" s="1"/>
    </row>
    <row r="465" spans="7:7" ht="13.2">
      <c r="G465" s="1"/>
    </row>
    <row r="466" spans="7:7" ht="13.2">
      <c r="G466" s="1"/>
    </row>
    <row r="467" spans="7:7" ht="13.2">
      <c r="G467" s="1"/>
    </row>
    <row r="468" spans="7:7" ht="13.2">
      <c r="G468" s="1"/>
    </row>
    <row r="469" spans="7:7" ht="13.2">
      <c r="G469" s="1"/>
    </row>
    <row r="470" spans="7:7" ht="13.2">
      <c r="G470" s="1"/>
    </row>
    <row r="471" spans="7:7" ht="13.2">
      <c r="G471" s="1"/>
    </row>
    <row r="472" spans="7:7" ht="13.2">
      <c r="G472" s="1"/>
    </row>
    <row r="473" spans="7:7" ht="13.2">
      <c r="G473" s="1"/>
    </row>
    <row r="474" spans="7:7" ht="13.2">
      <c r="G474" s="1"/>
    </row>
    <row r="475" spans="7:7" ht="13.2">
      <c r="G475" s="1"/>
    </row>
    <row r="476" spans="7:7" ht="13.2">
      <c r="G476" s="1"/>
    </row>
    <row r="477" spans="7:7" ht="13.2">
      <c r="G477" s="1"/>
    </row>
    <row r="478" spans="7:7" ht="13.2">
      <c r="G478" s="1"/>
    </row>
    <row r="479" spans="7:7" ht="13.2">
      <c r="G479" s="1"/>
    </row>
    <row r="480" spans="7:7" ht="13.2">
      <c r="G480" s="1"/>
    </row>
    <row r="481" spans="7:7" ht="13.2">
      <c r="G481" s="1"/>
    </row>
    <row r="482" spans="7:7" ht="13.2">
      <c r="G482" s="1"/>
    </row>
    <row r="483" spans="7:7" ht="13.2">
      <c r="G483" s="1"/>
    </row>
    <row r="484" spans="7:7" ht="13.2">
      <c r="G484" s="1"/>
    </row>
    <row r="485" spans="7:7" ht="13.2">
      <c r="G485" s="1"/>
    </row>
    <row r="486" spans="7:7" ht="13.2">
      <c r="G486" s="1"/>
    </row>
    <row r="487" spans="7:7" ht="13.2">
      <c r="G487" s="1"/>
    </row>
    <row r="488" spans="7:7" ht="13.2">
      <c r="G488" s="1"/>
    </row>
    <row r="489" spans="7:7" ht="13.2">
      <c r="G489" s="1"/>
    </row>
    <row r="490" spans="7:7" ht="13.2">
      <c r="G490" s="1"/>
    </row>
    <row r="491" spans="7:7" ht="13.2">
      <c r="G491" s="1"/>
    </row>
    <row r="492" spans="7:7" ht="13.2">
      <c r="G492" s="1"/>
    </row>
    <row r="493" spans="7:7" ht="13.2">
      <c r="G493" s="1"/>
    </row>
    <row r="494" spans="7:7" ht="13.2">
      <c r="G494" s="1"/>
    </row>
    <row r="495" spans="7:7" ht="13.2">
      <c r="G495" s="1"/>
    </row>
    <row r="496" spans="7:7" ht="13.2">
      <c r="G496" s="1"/>
    </row>
    <row r="497" spans="7:7" ht="13.2">
      <c r="G497" s="1"/>
    </row>
    <row r="498" spans="7:7" ht="13.2">
      <c r="G498" s="1"/>
    </row>
    <row r="499" spans="7:7" ht="13.2">
      <c r="G499" s="1"/>
    </row>
    <row r="500" spans="7:7" ht="13.2">
      <c r="G500" s="1"/>
    </row>
    <row r="501" spans="7:7" ht="13.2">
      <c r="G501" s="1"/>
    </row>
    <row r="502" spans="7:7" ht="13.2">
      <c r="G502" s="1"/>
    </row>
    <row r="503" spans="7:7" ht="13.2">
      <c r="G503" s="1"/>
    </row>
    <row r="504" spans="7:7" ht="13.2">
      <c r="G504" s="1"/>
    </row>
    <row r="505" spans="7:7" ht="13.2">
      <c r="G505" s="1"/>
    </row>
    <row r="506" spans="7:7" ht="13.2">
      <c r="G506" s="1"/>
    </row>
    <row r="507" spans="7:7" ht="13.2">
      <c r="G507" s="1"/>
    </row>
    <row r="508" spans="7:7" ht="13.2">
      <c r="G508" s="1"/>
    </row>
    <row r="509" spans="7:7" ht="13.2">
      <c r="G509" s="1"/>
    </row>
    <row r="510" spans="7:7" ht="13.2">
      <c r="G510" s="1"/>
    </row>
    <row r="511" spans="7:7" ht="13.2">
      <c r="G511" s="1"/>
    </row>
    <row r="512" spans="7:7" ht="13.2">
      <c r="G512" s="1"/>
    </row>
    <row r="513" spans="7:7" ht="13.2">
      <c r="G513" s="1"/>
    </row>
    <row r="514" spans="7:7" ht="13.2">
      <c r="G514" s="1"/>
    </row>
    <row r="515" spans="7:7" ht="13.2">
      <c r="G515" s="1"/>
    </row>
    <row r="516" spans="7:7" ht="13.2">
      <c r="G516" s="1"/>
    </row>
    <row r="517" spans="7:7" ht="13.2">
      <c r="G517" s="1"/>
    </row>
    <row r="518" spans="7:7" ht="13.2">
      <c r="G518" s="1"/>
    </row>
    <row r="519" spans="7:7" ht="13.2">
      <c r="G519" s="1"/>
    </row>
    <row r="520" spans="7:7" ht="13.2">
      <c r="G520" s="1"/>
    </row>
    <row r="521" spans="7:7" ht="13.2">
      <c r="G521" s="1"/>
    </row>
    <row r="522" spans="7:7" ht="13.2">
      <c r="G522" s="1"/>
    </row>
    <row r="523" spans="7:7" ht="13.2">
      <c r="G523" s="1"/>
    </row>
    <row r="524" spans="7:7" ht="13.2">
      <c r="G524" s="1"/>
    </row>
    <row r="525" spans="7:7" ht="13.2">
      <c r="G525" s="1"/>
    </row>
    <row r="526" spans="7:7" ht="13.2">
      <c r="G526" s="1"/>
    </row>
    <row r="527" spans="7:7" ht="13.2">
      <c r="G527" s="1"/>
    </row>
    <row r="528" spans="7:7" ht="13.2">
      <c r="G528" s="1"/>
    </row>
    <row r="529" spans="7:7" ht="13.2">
      <c r="G529" s="1"/>
    </row>
    <row r="530" spans="7:7" ht="13.2">
      <c r="G530" s="1"/>
    </row>
    <row r="531" spans="7:7" ht="13.2">
      <c r="G531" s="1"/>
    </row>
    <row r="532" spans="7:7" ht="13.2">
      <c r="G532" s="1"/>
    </row>
    <row r="533" spans="7:7" ht="13.2">
      <c r="G533" s="1"/>
    </row>
    <row r="534" spans="7:7" ht="13.2">
      <c r="G534" s="1"/>
    </row>
    <row r="535" spans="7:7" ht="13.2">
      <c r="G535" s="1"/>
    </row>
    <row r="536" spans="7:7" ht="13.2">
      <c r="G536" s="1"/>
    </row>
    <row r="537" spans="7:7" ht="13.2">
      <c r="G537" s="1"/>
    </row>
    <row r="538" spans="7:7" ht="13.2">
      <c r="G538" s="1"/>
    </row>
    <row r="539" spans="7:7" ht="13.2">
      <c r="G539" s="1"/>
    </row>
    <row r="540" spans="7:7" ht="13.2">
      <c r="G540" s="1"/>
    </row>
    <row r="541" spans="7:7" ht="13.2">
      <c r="G541" s="1"/>
    </row>
    <row r="542" spans="7:7" ht="13.2">
      <c r="G542" s="1"/>
    </row>
    <row r="543" spans="7:7" ht="13.2">
      <c r="G543" s="1"/>
    </row>
    <row r="544" spans="7:7" ht="13.2">
      <c r="G544" s="1"/>
    </row>
    <row r="545" spans="7:7" ht="13.2">
      <c r="G545" s="1"/>
    </row>
    <row r="546" spans="7:7" ht="13.2">
      <c r="G546" s="1"/>
    </row>
    <row r="547" spans="7:7" ht="13.2">
      <c r="G547" s="1"/>
    </row>
    <row r="548" spans="7:7" ht="13.2">
      <c r="G548" s="1"/>
    </row>
    <row r="549" spans="7:7" ht="13.2">
      <c r="G549" s="1"/>
    </row>
    <row r="550" spans="7:7" ht="13.2">
      <c r="G550" s="1"/>
    </row>
    <row r="551" spans="7:7" ht="13.2">
      <c r="G551" s="1"/>
    </row>
    <row r="552" spans="7:7" ht="13.2">
      <c r="G552" s="1"/>
    </row>
    <row r="553" spans="7:7" ht="13.2">
      <c r="G553" s="1"/>
    </row>
    <row r="554" spans="7:7" ht="13.2">
      <c r="G554" s="1"/>
    </row>
    <row r="555" spans="7:7" ht="13.2">
      <c r="G555" s="1"/>
    </row>
    <row r="556" spans="7:7" ht="13.2">
      <c r="G556" s="1"/>
    </row>
    <row r="557" spans="7:7" ht="13.2">
      <c r="G557" s="1"/>
    </row>
    <row r="558" spans="7:7" ht="13.2">
      <c r="G558" s="1"/>
    </row>
    <row r="559" spans="7:7" ht="13.2">
      <c r="G559" s="1"/>
    </row>
    <row r="560" spans="7:7" ht="13.2">
      <c r="G560" s="1"/>
    </row>
    <row r="561" spans="7:7" ht="13.2">
      <c r="G561" s="1"/>
    </row>
    <row r="562" spans="7:7" ht="13.2">
      <c r="G562" s="1"/>
    </row>
    <row r="563" spans="7:7" ht="13.2">
      <c r="G563" s="1"/>
    </row>
    <row r="564" spans="7:7" ht="13.2">
      <c r="G564" s="1"/>
    </row>
    <row r="565" spans="7:7" ht="13.2">
      <c r="G565" s="1"/>
    </row>
    <row r="566" spans="7:7" ht="13.2">
      <c r="G566" s="1"/>
    </row>
    <row r="567" spans="7:7" ht="13.2">
      <c r="G567" s="1"/>
    </row>
    <row r="568" spans="7:7" ht="13.2">
      <c r="G568" s="1"/>
    </row>
    <row r="569" spans="7:7" ht="13.2">
      <c r="G569" s="1"/>
    </row>
    <row r="570" spans="7:7" ht="13.2">
      <c r="G570" s="1"/>
    </row>
    <row r="571" spans="7:7" ht="13.2">
      <c r="G571" s="1"/>
    </row>
    <row r="572" spans="7:7" ht="13.2">
      <c r="G572" s="1"/>
    </row>
    <row r="573" spans="7:7" ht="13.2">
      <c r="G573" s="1"/>
    </row>
    <row r="574" spans="7:7" ht="13.2">
      <c r="G574" s="1"/>
    </row>
    <row r="575" spans="7:7" ht="13.2">
      <c r="G575" s="1"/>
    </row>
    <row r="576" spans="7:7" ht="13.2">
      <c r="G576" s="1"/>
    </row>
    <row r="577" spans="7:7" ht="13.2">
      <c r="G577" s="1"/>
    </row>
    <row r="578" spans="7:7" ht="13.2">
      <c r="G578" s="1"/>
    </row>
    <row r="579" spans="7:7" ht="13.2">
      <c r="G579" s="1"/>
    </row>
    <row r="580" spans="7:7" ht="13.2">
      <c r="G580" s="1"/>
    </row>
    <row r="581" spans="7:7" ht="13.2">
      <c r="G581" s="1"/>
    </row>
    <row r="582" spans="7:7" ht="13.2">
      <c r="G582" s="1"/>
    </row>
    <row r="583" spans="7:7" ht="13.2">
      <c r="G583" s="1"/>
    </row>
    <row r="584" spans="7:7" ht="13.2">
      <c r="G584" s="1"/>
    </row>
    <row r="585" spans="7:7" ht="13.2">
      <c r="G585" s="1"/>
    </row>
    <row r="586" spans="7:7" ht="13.2">
      <c r="G586" s="1"/>
    </row>
    <row r="587" spans="7:7" ht="13.2">
      <c r="G587" s="1"/>
    </row>
    <row r="588" spans="7:7" ht="13.2">
      <c r="G588" s="1"/>
    </row>
    <row r="589" spans="7:7" ht="13.2">
      <c r="G589" s="1"/>
    </row>
    <row r="590" spans="7:7" ht="13.2">
      <c r="G590" s="1"/>
    </row>
    <row r="591" spans="7:7" ht="13.2">
      <c r="G591" s="1"/>
    </row>
    <row r="592" spans="7:7" ht="13.2">
      <c r="G592" s="1"/>
    </row>
    <row r="593" spans="7:7" ht="13.2">
      <c r="G593" s="1"/>
    </row>
    <row r="594" spans="7:7" ht="13.2">
      <c r="G594" s="1"/>
    </row>
    <row r="595" spans="7:7" ht="13.2">
      <c r="G595" s="1"/>
    </row>
    <row r="596" spans="7:7" ht="13.2">
      <c r="G596" s="1"/>
    </row>
    <row r="597" spans="7:7" ht="13.2">
      <c r="G597" s="1"/>
    </row>
    <row r="598" spans="7:7" ht="13.2">
      <c r="G598" s="1"/>
    </row>
    <row r="599" spans="7:7" ht="13.2">
      <c r="G599" s="1"/>
    </row>
    <row r="600" spans="7:7" ht="13.2">
      <c r="G600" s="1"/>
    </row>
    <row r="601" spans="7:7" ht="13.2">
      <c r="G601" s="1"/>
    </row>
    <row r="602" spans="7:7" ht="13.2">
      <c r="G602" s="1"/>
    </row>
    <row r="603" spans="7:7" ht="13.2">
      <c r="G603" s="1"/>
    </row>
    <row r="604" spans="7:7" ht="13.2">
      <c r="G604" s="1"/>
    </row>
    <row r="605" spans="7:7" ht="13.2">
      <c r="G605" s="1"/>
    </row>
    <row r="606" spans="7:7" ht="13.2">
      <c r="G606" s="1"/>
    </row>
    <row r="607" spans="7:7" ht="13.2">
      <c r="G607" s="1"/>
    </row>
    <row r="608" spans="7:7" ht="13.2">
      <c r="G608" s="1"/>
    </row>
    <row r="609" spans="7:7" ht="13.2">
      <c r="G609" s="1"/>
    </row>
    <row r="610" spans="7:7" ht="13.2">
      <c r="G610" s="1"/>
    </row>
    <row r="611" spans="7:7" ht="13.2">
      <c r="G611" s="1"/>
    </row>
    <row r="612" spans="7:7" ht="13.2">
      <c r="G612" s="1"/>
    </row>
    <row r="613" spans="7:7" ht="13.2">
      <c r="G613" s="1"/>
    </row>
    <row r="614" spans="7:7" ht="13.2">
      <c r="G614" s="1"/>
    </row>
    <row r="615" spans="7:7" ht="13.2">
      <c r="G615" s="1"/>
    </row>
    <row r="616" spans="7:7" ht="13.2">
      <c r="G616" s="1"/>
    </row>
    <row r="617" spans="7:7" ht="13.2">
      <c r="G617" s="1"/>
    </row>
    <row r="618" spans="7:7" ht="13.2">
      <c r="G618" s="1"/>
    </row>
    <row r="619" spans="7:7" ht="13.2">
      <c r="G619" s="1"/>
    </row>
    <row r="620" spans="7:7" ht="13.2">
      <c r="G620" s="1"/>
    </row>
    <row r="621" spans="7:7" ht="13.2">
      <c r="G621" s="1"/>
    </row>
    <row r="622" spans="7:7" ht="13.2">
      <c r="G622" s="1"/>
    </row>
    <row r="623" spans="7:7" ht="13.2">
      <c r="G623" s="1"/>
    </row>
    <row r="624" spans="7:7" ht="13.2">
      <c r="G624" s="1"/>
    </row>
    <row r="625" spans="7:7" ht="13.2">
      <c r="G625" s="1"/>
    </row>
    <row r="626" spans="7:7" ht="13.2">
      <c r="G626" s="1"/>
    </row>
    <row r="627" spans="7:7" ht="13.2">
      <c r="G627" s="1"/>
    </row>
    <row r="628" spans="7:7" ht="13.2">
      <c r="G628" s="1"/>
    </row>
    <row r="629" spans="7:7" ht="13.2">
      <c r="G629" s="1"/>
    </row>
    <row r="630" spans="7:7" ht="13.2">
      <c r="G630" s="1"/>
    </row>
    <row r="631" spans="7:7" ht="13.2">
      <c r="G631" s="1"/>
    </row>
    <row r="632" spans="7:7" ht="13.2">
      <c r="G632" s="1"/>
    </row>
    <row r="633" spans="7:7" ht="13.2">
      <c r="G633" s="1"/>
    </row>
    <row r="634" spans="7:7" ht="13.2">
      <c r="G634" s="1"/>
    </row>
    <row r="635" spans="7:7" ht="13.2">
      <c r="G635" s="1"/>
    </row>
    <row r="636" spans="7:7" ht="13.2">
      <c r="G636" s="1"/>
    </row>
    <row r="637" spans="7:7" ht="13.2">
      <c r="G637" s="1"/>
    </row>
    <row r="638" spans="7:7" ht="13.2">
      <c r="G638" s="1"/>
    </row>
    <row r="639" spans="7:7" ht="13.2">
      <c r="G639" s="1"/>
    </row>
    <row r="640" spans="7:7" ht="13.2">
      <c r="G640" s="1"/>
    </row>
    <row r="641" spans="7:7" ht="13.2">
      <c r="G641" s="1"/>
    </row>
    <row r="642" spans="7:7" ht="13.2">
      <c r="G642" s="1"/>
    </row>
    <row r="643" spans="7:7" ht="13.2">
      <c r="G643" s="1"/>
    </row>
    <row r="644" spans="7:7" ht="13.2">
      <c r="G644" s="1"/>
    </row>
    <row r="645" spans="7:7" ht="13.2">
      <c r="G645" s="1"/>
    </row>
    <row r="646" spans="7:7" ht="13.2">
      <c r="G646" s="1"/>
    </row>
    <row r="647" spans="7:7" ht="13.2">
      <c r="G647" s="1"/>
    </row>
    <row r="648" spans="7:7" ht="13.2">
      <c r="G648" s="1"/>
    </row>
    <row r="649" spans="7:7" ht="13.2">
      <c r="G649" s="1"/>
    </row>
    <row r="650" spans="7:7" ht="13.2">
      <c r="G650" s="1"/>
    </row>
    <row r="651" spans="7:7" ht="13.2">
      <c r="G651" s="1"/>
    </row>
    <row r="652" spans="7:7" ht="13.2">
      <c r="G652" s="1"/>
    </row>
    <row r="653" spans="7:7" ht="13.2">
      <c r="G653" s="1"/>
    </row>
    <row r="654" spans="7:7" ht="13.2">
      <c r="G654" s="1"/>
    </row>
    <row r="655" spans="7:7" ht="13.2">
      <c r="G655" s="1"/>
    </row>
    <row r="656" spans="7:7" ht="13.2">
      <c r="G656" s="1"/>
    </row>
    <row r="657" spans="7:7" ht="13.2">
      <c r="G657" s="1"/>
    </row>
    <row r="658" spans="7:7" ht="13.2">
      <c r="G658" s="1"/>
    </row>
    <row r="659" spans="7:7" ht="13.2">
      <c r="G659" s="1"/>
    </row>
    <row r="660" spans="7:7" ht="13.2">
      <c r="G660" s="1"/>
    </row>
    <row r="661" spans="7:7" ht="13.2">
      <c r="G661" s="1"/>
    </row>
    <row r="662" spans="7:7" ht="13.2">
      <c r="G662" s="1"/>
    </row>
    <row r="663" spans="7:7" ht="13.2">
      <c r="G663" s="1"/>
    </row>
    <row r="664" spans="7:7" ht="13.2">
      <c r="G664" s="1"/>
    </row>
    <row r="665" spans="7:7" ht="13.2">
      <c r="G665" s="1"/>
    </row>
    <row r="666" spans="7:7" ht="13.2">
      <c r="G666" s="1"/>
    </row>
    <row r="667" spans="7:7" ht="13.2">
      <c r="G667" s="1"/>
    </row>
    <row r="668" spans="7:7" ht="13.2">
      <c r="G668" s="1"/>
    </row>
    <row r="669" spans="7:7" ht="13.2">
      <c r="G669" s="1"/>
    </row>
    <row r="670" spans="7:7" ht="13.2">
      <c r="G670" s="1"/>
    </row>
    <row r="671" spans="7:7" ht="13.2">
      <c r="G671" s="1"/>
    </row>
    <row r="672" spans="7:7" ht="13.2">
      <c r="G672" s="1"/>
    </row>
    <row r="673" spans="7:7" ht="13.2">
      <c r="G673" s="1"/>
    </row>
    <row r="674" spans="7:7" ht="13.2">
      <c r="G674" s="1"/>
    </row>
    <row r="675" spans="7:7" ht="13.2">
      <c r="G675" s="1"/>
    </row>
    <row r="676" spans="7:7" ht="13.2">
      <c r="G676" s="1"/>
    </row>
    <row r="677" spans="7:7" ht="13.2">
      <c r="G677" s="1"/>
    </row>
    <row r="678" spans="7:7" ht="13.2">
      <c r="G678" s="1"/>
    </row>
    <row r="679" spans="7:7" ht="13.2">
      <c r="G679" s="1"/>
    </row>
    <row r="680" spans="7:7" ht="13.2">
      <c r="G680" s="1"/>
    </row>
    <row r="681" spans="7:7" ht="13.2">
      <c r="G681" s="1"/>
    </row>
    <row r="682" spans="7:7" ht="13.2">
      <c r="G682" s="1"/>
    </row>
    <row r="683" spans="7:7" ht="13.2">
      <c r="G683" s="1"/>
    </row>
    <row r="684" spans="7:7" ht="13.2">
      <c r="G684" s="1"/>
    </row>
    <row r="685" spans="7:7" ht="13.2">
      <c r="G685" s="1"/>
    </row>
    <row r="686" spans="7:7" ht="13.2">
      <c r="G686" s="1"/>
    </row>
    <row r="687" spans="7:7" ht="13.2">
      <c r="G687" s="1"/>
    </row>
    <row r="688" spans="7:7" ht="13.2">
      <c r="G688" s="1"/>
    </row>
    <row r="689" spans="7:7" ht="13.2">
      <c r="G689" s="1"/>
    </row>
    <row r="690" spans="7:7" ht="13.2">
      <c r="G690" s="1"/>
    </row>
    <row r="691" spans="7:7" ht="13.2">
      <c r="G691" s="1"/>
    </row>
    <row r="692" spans="7:7" ht="13.2">
      <c r="G692" s="1"/>
    </row>
    <row r="693" spans="7:7" ht="13.2">
      <c r="G693" s="1"/>
    </row>
    <row r="694" spans="7:7" ht="13.2">
      <c r="G694" s="1"/>
    </row>
    <row r="695" spans="7:7" ht="13.2">
      <c r="G695" s="1"/>
    </row>
    <row r="696" spans="7:7" ht="13.2">
      <c r="G696" s="1"/>
    </row>
    <row r="697" spans="7:7" ht="13.2">
      <c r="G697" s="1"/>
    </row>
    <row r="698" spans="7:7" ht="13.2">
      <c r="G698" s="1"/>
    </row>
    <row r="699" spans="7:7" ht="13.2">
      <c r="G699" s="1"/>
    </row>
    <row r="700" spans="7:7" ht="13.2">
      <c r="G700" s="1"/>
    </row>
    <row r="701" spans="7:7" ht="13.2">
      <c r="G701" s="1"/>
    </row>
    <row r="702" spans="7:7" ht="13.2">
      <c r="G702" s="1"/>
    </row>
    <row r="703" spans="7:7" ht="13.2">
      <c r="G703" s="1"/>
    </row>
    <row r="704" spans="7:7" ht="13.2">
      <c r="G704" s="1"/>
    </row>
    <row r="705" spans="7:7" ht="13.2">
      <c r="G705" s="1"/>
    </row>
    <row r="706" spans="7:7" ht="13.2">
      <c r="G706" s="1"/>
    </row>
    <row r="707" spans="7:7" ht="13.2">
      <c r="G707" s="1"/>
    </row>
    <row r="708" spans="7:7" ht="13.2">
      <c r="G708" s="1"/>
    </row>
    <row r="709" spans="7:7" ht="13.2">
      <c r="G709" s="1"/>
    </row>
    <row r="710" spans="7:7" ht="13.2">
      <c r="G710" s="1"/>
    </row>
    <row r="711" spans="7:7" ht="13.2">
      <c r="G711" s="1"/>
    </row>
    <row r="712" spans="7:7" ht="13.2">
      <c r="G712" s="1"/>
    </row>
    <row r="713" spans="7:7" ht="13.2">
      <c r="G713" s="1"/>
    </row>
    <row r="714" spans="7:7" ht="13.2">
      <c r="G714" s="1"/>
    </row>
    <row r="715" spans="7:7" ht="13.2">
      <c r="G715" s="1"/>
    </row>
    <row r="716" spans="7:7" ht="13.2">
      <c r="G716" s="1"/>
    </row>
    <row r="717" spans="7:7" ht="13.2">
      <c r="G717" s="1"/>
    </row>
    <row r="718" spans="7:7" ht="13.2">
      <c r="G718" s="1"/>
    </row>
    <row r="719" spans="7:7" ht="13.2">
      <c r="G719" s="1"/>
    </row>
    <row r="720" spans="7:7" ht="13.2">
      <c r="G720" s="1"/>
    </row>
    <row r="721" spans="7:7" ht="13.2">
      <c r="G721" s="1"/>
    </row>
    <row r="722" spans="7:7" ht="13.2">
      <c r="G722" s="1"/>
    </row>
    <row r="723" spans="7:7" ht="13.2">
      <c r="G723" s="1"/>
    </row>
    <row r="724" spans="7:7" ht="13.2">
      <c r="G724" s="1"/>
    </row>
    <row r="725" spans="7:7" ht="13.2">
      <c r="G725" s="1"/>
    </row>
    <row r="726" spans="7:7" ht="13.2">
      <c r="G726" s="1"/>
    </row>
    <row r="727" spans="7:7" ht="13.2">
      <c r="G727" s="1"/>
    </row>
    <row r="728" spans="7:7" ht="13.2">
      <c r="G728" s="1"/>
    </row>
    <row r="729" spans="7:7" ht="13.2">
      <c r="G729" s="1"/>
    </row>
    <row r="730" spans="7:7" ht="13.2">
      <c r="G730" s="1"/>
    </row>
    <row r="731" spans="7:7" ht="13.2">
      <c r="G731" s="1"/>
    </row>
    <row r="732" spans="7:7" ht="13.2">
      <c r="G732" s="1"/>
    </row>
    <row r="733" spans="7:7" ht="13.2">
      <c r="G733" s="1"/>
    </row>
    <row r="734" spans="7:7" ht="13.2">
      <c r="G734" s="1"/>
    </row>
    <row r="735" spans="7:7" ht="13.2">
      <c r="G735" s="1"/>
    </row>
    <row r="736" spans="7:7" ht="13.2">
      <c r="G736" s="1"/>
    </row>
    <row r="737" spans="7:7" ht="13.2">
      <c r="G737" s="1"/>
    </row>
    <row r="738" spans="7:7" ht="13.2">
      <c r="G738" s="1"/>
    </row>
    <row r="739" spans="7:7" ht="13.2">
      <c r="G739" s="1"/>
    </row>
    <row r="740" spans="7:7" ht="13.2">
      <c r="G740" s="1"/>
    </row>
    <row r="741" spans="7:7" ht="13.2">
      <c r="G741" s="1"/>
    </row>
    <row r="742" spans="7:7" ht="13.2">
      <c r="G742" s="1"/>
    </row>
    <row r="743" spans="7:7" ht="13.2">
      <c r="G743" s="1"/>
    </row>
    <row r="744" spans="7:7" ht="13.2">
      <c r="G744" s="1"/>
    </row>
    <row r="745" spans="7:7" ht="13.2">
      <c r="G745" s="1"/>
    </row>
    <row r="746" spans="7:7" ht="13.2">
      <c r="G746" s="1"/>
    </row>
    <row r="747" spans="7:7" ht="13.2">
      <c r="G747" s="1"/>
    </row>
    <row r="748" spans="7:7" ht="13.2">
      <c r="G748" s="1"/>
    </row>
    <row r="749" spans="7:7" ht="13.2">
      <c r="G749" s="1"/>
    </row>
    <row r="750" spans="7:7" ht="13.2">
      <c r="G750" s="1"/>
    </row>
    <row r="751" spans="7:7" ht="13.2">
      <c r="G751" s="1"/>
    </row>
    <row r="752" spans="7:7" ht="13.2">
      <c r="G752" s="1"/>
    </row>
    <row r="753" spans="7:7" ht="13.2">
      <c r="G753" s="1"/>
    </row>
    <row r="754" spans="7:7" ht="13.2">
      <c r="G754" s="1"/>
    </row>
    <row r="755" spans="7:7" ht="13.2">
      <c r="G755" s="1"/>
    </row>
    <row r="756" spans="7:7" ht="13.2">
      <c r="G756" s="1"/>
    </row>
    <row r="757" spans="7:7" ht="13.2">
      <c r="G757" s="1"/>
    </row>
    <row r="758" spans="7:7" ht="13.2">
      <c r="G758" s="1"/>
    </row>
    <row r="759" spans="7:7" ht="13.2">
      <c r="G759" s="1"/>
    </row>
    <row r="760" spans="7:7" ht="13.2">
      <c r="G760" s="1"/>
    </row>
    <row r="761" spans="7:7" ht="13.2">
      <c r="G761" s="1"/>
    </row>
    <row r="762" spans="7:7" ht="13.2">
      <c r="G762" s="1"/>
    </row>
    <row r="763" spans="7:7" ht="13.2">
      <c r="G763" s="1"/>
    </row>
    <row r="764" spans="7:7" ht="13.2">
      <c r="G764" s="1"/>
    </row>
    <row r="765" spans="7:7" ht="13.2">
      <c r="G765" s="1"/>
    </row>
    <row r="766" spans="7:7" ht="13.2">
      <c r="G766" s="1"/>
    </row>
    <row r="767" spans="7:7" ht="13.2">
      <c r="G767" s="1"/>
    </row>
    <row r="768" spans="7:7" ht="13.2">
      <c r="G768" s="1"/>
    </row>
    <row r="769" spans="7:7" ht="13.2">
      <c r="G769" s="1"/>
    </row>
    <row r="770" spans="7:7" ht="13.2">
      <c r="G770" s="1"/>
    </row>
    <row r="771" spans="7:7" ht="13.2">
      <c r="G771" s="1"/>
    </row>
    <row r="772" spans="7:7" ht="13.2">
      <c r="G772" s="1"/>
    </row>
    <row r="773" spans="7:7" ht="13.2">
      <c r="G773" s="1"/>
    </row>
    <row r="774" spans="7:7" ht="13.2">
      <c r="G774" s="1"/>
    </row>
    <row r="775" spans="7:7" ht="13.2">
      <c r="G775" s="1"/>
    </row>
    <row r="776" spans="7:7" ht="13.2">
      <c r="G776" s="1"/>
    </row>
    <row r="777" spans="7:7" ht="13.2">
      <c r="G777" s="1"/>
    </row>
    <row r="778" spans="7:7" ht="13.2">
      <c r="G778" s="1"/>
    </row>
    <row r="779" spans="7:7" ht="13.2">
      <c r="G779" s="1"/>
    </row>
    <row r="780" spans="7:7" ht="13.2">
      <c r="G780" s="1"/>
    </row>
    <row r="781" spans="7:7" ht="13.2">
      <c r="G781" s="1"/>
    </row>
    <row r="782" spans="7:7" ht="13.2">
      <c r="G782" s="1"/>
    </row>
    <row r="783" spans="7:7" ht="13.2">
      <c r="G783" s="1"/>
    </row>
    <row r="784" spans="7:7" ht="13.2">
      <c r="G784" s="1"/>
    </row>
    <row r="785" spans="7:7" ht="13.2">
      <c r="G785" s="1"/>
    </row>
    <row r="786" spans="7:7" ht="13.2">
      <c r="G786" s="1"/>
    </row>
    <row r="787" spans="7:7" ht="13.2">
      <c r="G787" s="1"/>
    </row>
    <row r="788" spans="7:7" ht="13.2">
      <c r="G788" s="1"/>
    </row>
    <row r="789" spans="7:7" ht="13.2">
      <c r="G789" s="1"/>
    </row>
    <row r="790" spans="7:7" ht="13.2">
      <c r="G790" s="1"/>
    </row>
    <row r="791" spans="7:7" ht="13.2">
      <c r="G791" s="1"/>
    </row>
    <row r="792" spans="7:7" ht="13.2">
      <c r="G792" s="1"/>
    </row>
    <row r="793" spans="7:7" ht="13.2">
      <c r="G793" s="1"/>
    </row>
    <row r="794" spans="7:7" ht="13.2">
      <c r="G794" s="1"/>
    </row>
    <row r="795" spans="7:7" ht="13.2">
      <c r="G795" s="1"/>
    </row>
    <row r="796" spans="7:7" ht="13.2">
      <c r="G796" s="1"/>
    </row>
    <row r="797" spans="7:7" ht="13.2">
      <c r="G797" s="1"/>
    </row>
    <row r="798" spans="7:7" ht="13.2">
      <c r="G798" s="1"/>
    </row>
    <row r="799" spans="7:7" ht="13.2">
      <c r="G799" s="1"/>
    </row>
    <row r="800" spans="7:7" ht="13.2">
      <c r="G800" s="1"/>
    </row>
    <row r="801" spans="7:7" ht="13.2">
      <c r="G801" s="1"/>
    </row>
    <row r="802" spans="7:7" ht="13.2">
      <c r="G802" s="1"/>
    </row>
    <row r="803" spans="7:7" ht="13.2">
      <c r="G803" s="1"/>
    </row>
    <row r="804" spans="7:7" ht="13.2">
      <c r="G804" s="1"/>
    </row>
    <row r="805" spans="7:7" ht="13.2">
      <c r="G805" s="1"/>
    </row>
    <row r="806" spans="7:7" ht="13.2">
      <c r="G806" s="1"/>
    </row>
    <row r="807" spans="7:7" ht="13.2">
      <c r="G807" s="1"/>
    </row>
    <row r="808" spans="7:7" ht="13.2">
      <c r="G808" s="1"/>
    </row>
    <row r="809" spans="7:7" ht="13.2">
      <c r="G809" s="1"/>
    </row>
    <row r="810" spans="7:7" ht="13.2">
      <c r="G810" s="1"/>
    </row>
    <row r="811" spans="7:7" ht="13.2">
      <c r="G811" s="1"/>
    </row>
    <row r="812" spans="7:7" ht="13.2">
      <c r="G812" s="1"/>
    </row>
    <row r="813" spans="7:7" ht="13.2">
      <c r="G813" s="1"/>
    </row>
    <row r="814" spans="7:7" ht="13.2">
      <c r="G814" s="1"/>
    </row>
    <row r="815" spans="7:7" ht="13.2">
      <c r="G815" s="1"/>
    </row>
    <row r="816" spans="7:7" ht="13.2">
      <c r="G816" s="1"/>
    </row>
    <row r="817" spans="7:7" ht="13.2">
      <c r="G817" s="1"/>
    </row>
    <row r="818" spans="7:7" ht="13.2">
      <c r="G818" s="1"/>
    </row>
    <row r="819" spans="7:7" ht="13.2">
      <c r="G819" s="1"/>
    </row>
    <row r="820" spans="7:7" ht="13.2">
      <c r="G820" s="1"/>
    </row>
    <row r="821" spans="7:7" ht="13.2">
      <c r="G821" s="1"/>
    </row>
    <row r="822" spans="7:7" ht="13.2">
      <c r="G822" s="1"/>
    </row>
    <row r="823" spans="7:7" ht="13.2">
      <c r="G823" s="1"/>
    </row>
    <row r="824" spans="7:7" ht="13.2">
      <c r="G824" s="1"/>
    </row>
    <row r="825" spans="7:7" ht="13.2">
      <c r="G825" s="1"/>
    </row>
    <row r="826" spans="7:7" ht="13.2">
      <c r="G826" s="1"/>
    </row>
    <row r="827" spans="7:7" ht="13.2">
      <c r="G827" s="1"/>
    </row>
    <row r="828" spans="7:7" ht="13.2">
      <c r="G828" s="1"/>
    </row>
    <row r="829" spans="7:7" ht="13.2">
      <c r="G829" s="1"/>
    </row>
    <row r="830" spans="7:7" ht="13.2">
      <c r="G830" s="1"/>
    </row>
    <row r="831" spans="7:7" ht="13.2">
      <c r="G831" s="1"/>
    </row>
    <row r="832" spans="7:7" ht="13.2">
      <c r="G832" s="1"/>
    </row>
    <row r="833" spans="7:7" ht="13.2">
      <c r="G833" s="1"/>
    </row>
    <row r="834" spans="7:7" ht="13.2">
      <c r="G834" s="1"/>
    </row>
    <row r="835" spans="7:7" ht="13.2">
      <c r="G835" s="1"/>
    </row>
    <row r="836" spans="7:7" ht="13.2">
      <c r="G836" s="1"/>
    </row>
    <row r="837" spans="7:7" ht="13.2">
      <c r="G837" s="1"/>
    </row>
    <row r="838" spans="7:7" ht="13.2">
      <c r="G838" s="1"/>
    </row>
    <row r="839" spans="7:7" ht="13.2">
      <c r="G839" s="1"/>
    </row>
    <row r="840" spans="7:7" ht="13.2">
      <c r="G840" s="1"/>
    </row>
    <row r="841" spans="7:7" ht="13.2">
      <c r="G841" s="1"/>
    </row>
    <row r="842" spans="7:7" ht="13.2">
      <c r="G842" s="1"/>
    </row>
    <row r="843" spans="7:7" ht="13.2">
      <c r="G843" s="1"/>
    </row>
    <row r="844" spans="7:7" ht="13.2">
      <c r="G844" s="1"/>
    </row>
    <row r="845" spans="7:7" ht="13.2">
      <c r="G845" s="1"/>
    </row>
    <row r="846" spans="7:7" ht="13.2">
      <c r="G846" s="1"/>
    </row>
    <row r="847" spans="7:7" ht="13.2">
      <c r="G847" s="1"/>
    </row>
    <row r="848" spans="7:7" ht="13.2">
      <c r="G848" s="1"/>
    </row>
    <row r="849" spans="7:7" ht="13.2">
      <c r="G849" s="1"/>
    </row>
    <row r="850" spans="7:7" ht="13.2">
      <c r="G850" s="1"/>
    </row>
    <row r="851" spans="7:7" ht="13.2">
      <c r="G851" s="1"/>
    </row>
    <row r="852" spans="7:7" ht="13.2">
      <c r="G852" s="1"/>
    </row>
    <row r="853" spans="7:7" ht="13.2">
      <c r="G853" s="1"/>
    </row>
    <row r="854" spans="7:7" ht="13.2">
      <c r="G854" s="1"/>
    </row>
    <row r="855" spans="7:7" ht="13.2">
      <c r="G855" s="1"/>
    </row>
    <row r="856" spans="7:7" ht="13.2">
      <c r="G856" s="1"/>
    </row>
    <row r="857" spans="7:7" ht="13.2">
      <c r="G857" s="1"/>
    </row>
    <row r="858" spans="7:7" ht="13.2">
      <c r="G858" s="1"/>
    </row>
    <row r="859" spans="7:7" ht="13.2">
      <c r="G859" s="1"/>
    </row>
    <row r="860" spans="7:7" ht="13.2">
      <c r="G860" s="1"/>
    </row>
    <row r="861" spans="7:7" ht="13.2">
      <c r="G861" s="1"/>
    </row>
    <row r="862" spans="7:7" ht="13.2">
      <c r="G862" s="1"/>
    </row>
    <row r="863" spans="7:7" ht="13.2">
      <c r="G863" s="1"/>
    </row>
    <row r="864" spans="7:7" ht="13.2">
      <c r="G864" s="1"/>
    </row>
    <row r="865" spans="7:7" ht="13.2">
      <c r="G865" s="1"/>
    </row>
    <row r="866" spans="7:7" ht="13.2">
      <c r="G866" s="1"/>
    </row>
    <row r="867" spans="7:7" ht="13.2">
      <c r="G867" s="1"/>
    </row>
    <row r="868" spans="7:7" ht="13.2">
      <c r="G868" s="1"/>
    </row>
    <row r="869" spans="7:7" ht="13.2">
      <c r="G869" s="1"/>
    </row>
    <row r="870" spans="7:7" ht="13.2">
      <c r="G870" s="1"/>
    </row>
    <row r="871" spans="7:7" ht="13.2">
      <c r="G871" s="1"/>
    </row>
    <row r="872" spans="7:7" ht="13.2">
      <c r="G872" s="1"/>
    </row>
    <row r="873" spans="7:7" ht="13.2">
      <c r="G873" s="1"/>
    </row>
    <row r="874" spans="7:7" ht="13.2">
      <c r="G874" s="1"/>
    </row>
    <row r="875" spans="7:7" ht="13.2">
      <c r="G875" s="1"/>
    </row>
    <row r="876" spans="7:7" ht="13.2">
      <c r="G876" s="1"/>
    </row>
    <row r="877" spans="7:7" ht="13.2">
      <c r="G877" s="1"/>
    </row>
    <row r="878" spans="7:7" ht="13.2">
      <c r="G878" s="1"/>
    </row>
    <row r="879" spans="7:7" ht="13.2">
      <c r="G879" s="1"/>
    </row>
    <row r="880" spans="7:7" ht="13.2">
      <c r="G880" s="1"/>
    </row>
    <row r="881" spans="7:7" ht="13.2">
      <c r="G881" s="1"/>
    </row>
    <row r="882" spans="7:7" ht="13.2">
      <c r="G882" s="1"/>
    </row>
    <row r="883" spans="7:7" ht="13.2">
      <c r="G883" s="1"/>
    </row>
    <row r="884" spans="7:7" ht="13.2">
      <c r="G884" s="1"/>
    </row>
    <row r="885" spans="7:7" ht="13.2">
      <c r="G885" s="1"/>
    </row>
    <row r="886" spans="7:7" ht="13.2">
      <c r="G886" s="1"/>
    </row>
    <row r="887" spans="7:7" ht="13.2">
      <c r="G887" s="1"/>
    </row>
    <row r="888" spans="7:7" ht="13.2">
      <c r="G888" s="1"/>
    </row>
    <row r="889" spans="7:7" ht="13.2">
      <c r="G889" s="1"/>
    </row>
    <row r="890" spans="7:7" ht="13.2">
      <c r="G890" s="1"/>
    </row>
    <row r="891" spans="7:7" ht="13.2">
      <c r="G891" s="1"/>
    </row>
    <row r="892" spans="7:7" ht="13.2">
      <c r="G892" s="1"/>
    </row>
    <row r="893" spans="7:7" ht="13.2">
      <c r="G893" s="1"/>
    </row>
    <row r="894" spans="7:7" ht="13.2">
      <c r="G894" s="1"/>
    </row>
    <row r="895" spans="7:7" ht="13.2">
      <c r="G895" s="1"/>
    </row>
    <row r="896" spans="7:7" ht="13.2">
      <c r="G896" s="1"/>
    </row>
    <row r="897" spans="7:7" ht="13.2">
      <c r="G897" s="1"/>
    </row>
    <row r="898" spans="7:7" ht="13.2">
      <c r="G898" s="1"/>
    </row>
    <row r="899" spans="7:7" ht="13.2">
      <c r="G899" s="1"/>
    </row>
    <row r="900" spans="7:7" ht="13.2">
      <c r="G900" s="1"/>
    </row>
    <row r="901" spans="7:7" ht="13.2">
      <c r="G901" s="1"/>
    </row>
    <row r="902" spans="7:7" ht="13.2">
      <c r="G902" s="1"/>
    </row>
    <row r="903" spans="7:7" ht="13.2">
      <c r="G903" s="1"/>
    </row>
    <row r="904" spans="7:7" ht="13.2">
      <c r="G904" s="1"/>
    </row>
    <row r="905" spans="7:7" ht="13.2">
      <c r="G905" s="1"/>
    </row>
    <row r="906" spans="7:7" ht="13.2">
      <c r="G906" s="1"/>
    </row>
    <row r="907" spans="7:7" ht="13.2">
      <c r="G907" s="1"/>
    </row>
    <row r="908" spans="7:7" ht="13.2">
      <c r="G908" s="1"/>
    </row>
    <row r="909" spans="7:7" ht="13.2">
      <c r="G909" s="1"/>
    </row>
    <row r="910" spans="7:7" ht="13.2">
      <c r="G910" s="1"/>
    </row>
    <row r="911" spans="7:7" ht="13.2">
      <c r="G911" s="1"/>
    </row>
    <row r="912" spans="7:7" ht="13.2">
      <c r="G912" s="1"/>
    </row>
    <row r="913" spans="7:7" ht="13.2">
      <c r="G913" s="1"/>
    </row>
    <row r="914" spans="7:7" ht="13.2">
      <c r="G914" s="1"/>
    </row>
    <row r="915" spans="7:7" ht="13.2">
      <c r="G915" s="1"/>
    </row>
    <row r="916" spans="7:7" ht="13.2">
      <c r="G916" s="1"/>
    </row>
    <row r="917" spans="7:7" ht="13.2">
      <c r="G917" s="1"/>
    </row>
    <row r="918" spans="7:7" ht="13.2">
      <c r="G918" s="1"/>
    </row>
    <row r="919" spans="7:7" ht="13.2">
      <c r="G919" s="1"/>
    </row>
    <row r="920" spans="7:7" ht="13.2">
      <c r="G920" s="1"/>
    </row>
    <row r="921" spans="7:7" ht="13.2">
      <c r="G921" s="1"/>
    </row>
    <row r="922" spans="7:7" ht="13.2">
      <c r="G922" s="1"/>
    </row>
    <row r="923" spans="7:7" ht="13.2">
      <c r="G923" s="1"/>
    </row>
    <row r="924" spans="7:7" ht="13.2">
      <c r="G924" s="1"/>
    </row>
    <row r="925" spans="7:7" ht="13.2">
      <c r="G925" s="1"/>
    </row>
    <row r="926" spans="7:7" ht="13.2">
      <c r="G926" s="1"/>
    </row>
    <row r="927" spans="7:7" ht="13.2">
      <c r="G927" s="1"/>
    </row>
    <row r="928" spans="7:7" ht="13.2">
      <c r="G928" s="1"/>
    </row>
    <row r="929" spans="7:7" ht="13.2">
      <c r="G929" s="1"/>
    </row>
    <row r="930" spans="7:7" ht="13.2">
      <c r="G930" s="1"/>
    </row>
    <row r="931" spans="7:7" ht="13.2">
      <c r="G931" s="1"/>
    </row>
    <row r="932" spans="7:7" ht="13.2">
      <c r="G932" s="1"/>
    </row>
    <row r="933" spans="7:7" ht="13.2">
      <c r="G933" s="1"/>
    </row>
    <row r="934" spans="7:7" ht="13.2">
      <c r="G934" s="1"/>
    </row>
    <row r="935" spans="7:7" ht="13.2">
      <c r="G935" s="1"/>
    </row>
    <row r="936" spans="7:7" ht="13.2">
      <c r="G936" s="1"/>
    </row>
    <row r="937" spans="7:7" ht="13.2">
      <c r="G937" s="1"/>
    </row>
    <row r="938" spans="7:7" ht="13.2">
      <c r="G938" s="1"/>
    </row>
    <row r="939" spans="7:7" ht="13.2">
      <c r="G939" s="1"/>
    </row>
    <row r="940" spans="7:7" ht="13.2">
      <c r="G940" s="1"/>
    </row>
    <row r="941" spans="7:7" ht="13.2">
      <c r="G941" s="1"/>
    </row>
    <row r="942" spans="7:7" ht="13.2">
      <c r="G942" s="1"/>
    </row>
    <row r="943" spans="7:7" ht="13.2">
      <c r="G943" s="1"/>
    </row>
    <row r="944" spans="7:7" ht="13.2">
      <c r="G944" s="1"/>
    </row>
    <row r="945" spans="7:7" ht="13.2">
      <c r="G945" s="1"/>
    </row>
    <row r="946" spans="7:7" ht="13.2">
      <c r="G946" s="1"/>
    </row>
    <row r="947" spans="7:7" ht="13.2">
      <c r="G947" s="1"/>
    </row>
    <row r="948" spans="7:7" ht="13.2">
      <c r="G948" s="1"/>
    </row>
    <row r="949" spans="7:7" ht="13.2">
      <c r="G949" s="1"/>
    </row>
    <row r="950" spans="7:7" ht="13.2">
      <c r="G950" s="1"/>
    </row>
    <row r="951" spans="7:7" ht="13.2">
      <c r="G951" s="1"/>
    </row>
    <row r="952" spans="7:7" ht="13.2">
      <c r="G952" s="1"/>
    </row>
    <row r="953" spans="7:7" ht="13.2">
      <c r="G953" s="1"/>
    </row>
    <row r="954" spans="7:7" ht="13.2">
      <c r="G954" s="1"/>
    </row>
    <row r="955" spans="7:7" ht="13.2">
      <c r="G955" s="1"/>
    </row>
    <row r="956" spans="7:7" ht="13.2">
      <c r="G956" s="1"/>
    </row>
    <row r="957" spans="7:7" ht="13.2">
      <c r="G957" s="1"/>
    </row>
    <row r="958" spans="7:7" ht="13.2">
      <c r="G958" s="1"/>
    </row>
    <row r="959" spans="7:7" ht="13.2">
      <c r="G959" s="1"/>
    </row>
    <row r="960" spans="7:7" ht="13.2">
      <c r="G960" s="1"/>
    </row>
    <row r="961" spans="7:7" ht="13.2">
      <c r="G961" s="1"/>
    </row>
    <row r="962" spans="7:7" ht="13.2">
      <c r="G962" s="1"/>
    </row>
    <row r="963" spans="7:7" ht="13.2">
      <c r="G963" s="1"/>
    </row>
    <row r="964" spans="7:7" ht="13.2">
      <c r="G964" s="1"/>
    </row>
    <row r="965" spans="7:7" ht="13.2">
      <c r="G965" s="1"/>
    </row>
    <row r="966" spans="7:7" ht="13.2">
      <c r="G966" s="1"/>
    </row>
    <row r="967" spans="7:7" ht="13.2">
      <c r="G967" s="1"/>
    </row>
    <row r="968" spans="7:7" ht="13.2">
      <c r="G968" s="1"/>
    </row>
    <row r="969" spans="7:7" ht="13.2">
      <c r="G969" s="1"/>
    </row>
    <row r="970" spans="7:7" ht="13.2">
      <c r="G970" s="1"/>
    </row>
    <row r="971" spans="7:7" ht="13.2">
      <c r="G971" s="1"/>
    </row>
    <row r="972" spans="7:7" ht="13.2">
      <c r="G972" s="1"/>
    </row>
    <row r="973" spans="7:7" ht="13.2">
      <c r="G973" s="1"/>
    </row>
    <row r="974" spans="7:7" ht="13.2">
      <c r="G974" s="1"/>
    </row>
    <row r="975" spans="7:7" ht="13.2">
      <c r="G975" s="1"/>
    </row>
    <row r="976" spans="7:7" ht="13.2">
      <c r="G976" s="1"/>
    </row>
    <row r="977" spans="7:7" ht="13.2">
      <c r="G977" s="1"/>
    </row>
    <row r="978" spans="7:7" ht="13.2">
      <c r="G978" s="1"/>
    </row>
    <row r="979" spans="7:7" ht="13.2">
      <c r="G979" s="1"/>
    </row>
    <row r="980" spans="7:7" ht="13.2">
      <c r="G980" s="1"/>
    </row>
    <row r="981" spans="7:7" ht="13.2">
      <c r="G981" s="1"/>
    </row>
    <row r="982" spans="7:7" ht="13.2">
      <c r="G982" s="1"/>
    </row>
    <row r="983" spans="7:7" ht="13.2">
      <c r="G983" s="1"/>
    </row>
    <row r="984" spans="7:7" ht="13.2">
      <c r="G984" s="1"/>
    </row>
    <row r="985" spans="7:7" ht="13.2">
      <c r="G985" s="1"/>
    </row>
    <row r="986" spans="7:7" ht="13.2">
      <c r="G986" s="1"/>
    </row>
    <row r="987" spans="7:7" ht="13.2">
      <c r="G987" s="1"/>
    </row>
    <row r="988" spans="7:7" ht="13.2">
      <c r="G988" s="1"/>
    </row>
    <row r="989" spans="7:7" ht="13.2">
      <c r="G989" s="1"/>
    </row>
    <row r="990" spans="7:7" ht="13.2">
      <c r="G990" s="1"/>
    </row>
    <row r="991" spans="7:7" ht="13.2">
      <c r="G991" s="1"/>
    </row>
    <row r="992" spans="7:7" ht="13.2">
      <c r="G992" s="1"/>
    </row>
    <row r="993" spans="7:7" ht="13.2">
      <c r="G993" s="1"/>
    </row>
    <row r="994" spans="7:7" ht="13.2">
      <c r="G994" s="1"/>
    </row>
    <row r="995" spans="7:7" ht="13.2">
      <c r="G995" s="1"/>
    </row>
    <row r="996" spans="7:7" ht="13.2">
      <c r="G996" s="1"/>
    </row>
  </sheetData>
  <mergeCells count="31"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  <mergeCell ref="B3:J6"/>
    <mergeCell ref="K3:V4"/>
    <mergeCell ref="W3:W4"/>
    <mergeCell ref="K5:V6"/>
    <mergeCell ref="W5:W6"/>
    <mergeCell ref="U46:W49"/>
    <mergeCell ref="U50:W50"/>
    <mergeCell ref="P7:P8"/>
    <mergeCell ref="Q7:Q8"/>
    <mergeCell ref="B40:T50"/>
    <mergeCell ref="U42:W42"/>
    <mergeCell ref="U43:W43"/>
    <mergeCell ref="U44:W44"/>
    <mergeCell ref="U45:W45"/>
    <mergeCell ref="J7:J8"/>
    <mergeCell ref="K7:K8"/>
    <mergeCell ref="L7:L8"/>
    <mergeCell ref="M7:M8"/>
    <mergeCell ref="N7:N8"/>
    <mergeCell ref="R7:R8"/>
    <mergeCell ref="S7:U7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3:Y39"/>
  <sheetViews>
    <sheetView topLeftCell="A7" zoomScale="85" zoomScaleNormal="85" workbookViewId="0">
      <selection activeCell="X35" sqref="X35"/>
    </sheetView>
  </sheetViews>
  <sheetFormatPr defaultColWidth="12.6640625" defaultRowHeight="15.75" customHeight="1"/>
  <cols>
    <col min="3" max="8" width="0" hidden="1" customWidth="1"/>
    <col min="9" max="9" width="57.21875" customWidth="1"/>
    <col min="10" max="22" width="12.6640625" hidden="1" customWidth="1"/>
    <col min="24" max="24" width="16.109375" bestFit="1" customWidth="1"/>
    <col min="25" max="25" width="17.21875" bestFit="1" customWidth="1"/>
  </cols>
  <sheetData>
    <row r="3" spans="2:25" ht="15.75" customHeight="1">
      <c r="B3" s="618"/>
      <c r="C3" s="618"/>
      <c r="D3" s="618"/>
      <c r="E3" s="618"/>
      <c r="F3" s="618"/>
      <c r="G3" s="618"/>
      <c r="H3" s="618"/>
      <c r="I3" s="618"/>
      <c r="J3" s="618"/>
      <c r="K3" s="626" t="s">
        <v>0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29"/>
    </row>
    <row r="4" spans="2:25" ht="15.75" customHeight="1">
      <c r="B4" s="618"/>
      <c r="C4" s="618"/>
      <c r="D4" s="618"/>
      <c r="E4" s="618"/>
      <c r="F4" s="618"/>
      <c r="G4" s="618"/>
      <c r="H4" s="618"/>
      <c r="I4" s="618"/>
      <c r="J4" s="618"/>
      <c r="K4" s="625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20"/>
    </row>
    <row r="5" spans="2:25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30" t="s">
        <v>259</v>
      </c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31"/>
      <c r="W5" s="632"/>
    </row>
    <row r="6" spans="2:25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25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20"/>
    </row>
    <row r="7" spans="2:25" ht="15.75" customHeight="1">
      <c r="B7" s="633" t="s">
        <v>2</v>
      </c>
      <c r="C7" s="619" t="s">
        <v>3</v>
      </c>
      <c r="D7" s="619" t="s">
        <v>4</v>
      </c>
      <c r="E7" s="619" t="s">
        <v>5</v>
      </c>
      <c r="F7" s="622" t="s">
        <v>6</v>
      </c>
      <c r="G7" s="635" t="s">
        <v>7</v>
      </c>
      <c r="H7" s="621" t="s">
        <v>8</v>
      </c>
      <c r="I7" s="621" t="s">
        <v>9</v>
      </c>
      <c r="J7" s="621" t="s">
        <v>10</v>
      </c>
      <c r="K7" s="621" t="s">
        <v>11</v>
      </c>
      <c r="L7" s="621" t="s">
        <v>12</v>
      </c>
      <c r="M7" s="622" t="s">
        <v>13</v>
      </c>
      <c r="N7" s="621" t="s">
        <v>14</v>
      </c>
      <c r="O7" s="621" t="s">
        <v>15</v>
      </c>
      <c r="P7" s="619" t="s">
        <v>16</v>
      </c>
      <c r="Q7" s="619" t="s">
        <v>17</v>
      </c>
      <c r="R7" s="623" t="s">
        <v>18</v>
      </c>
      <c r="S7" s="624" t="s">
        <v>19</v>
      </c>
      <c r="T7" s="625"/>
      <c r="U7" s="620"/>
      <c r="V7" s="635" t="s">
        <v>20</v>
      </c>
      <c r="W7" s="2" t="s">
        <v>21</v>
      </c>
    </row>
    <row r="8" spans="2:25" ht="15.75" customHeight="1">
      <c r="B8" s="634"/>
      <c r="C8" s="620"/>
      <c r="D8" s="620"/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0"/>
      <c r="P8" s="620"/>
      <c r="Q8" s="620"/>
      <c r="R8" s="620"/>
      <c r="S8" s="3" t="s">
        <v>22</v>
      </c>
      <c r="T8" s="3" t="s">
        <v>23</v>
      </c>
      <c r="U8" s="3" t="s">
        <v>24</v>
      </c>
      <c r="V8" s="620"/>
      <c r="W8" s="4" t="s">
        <v>25</v>
      </c>
    </row>
    <row r="9" spans="2:25" ht="15.75" customHeight="1">
      <c r="B9" s="5" t="s">
        <v>26</v>
      </c>
      <c r="C9" s="6">
        <v>2</v>
      </c>
      <c r="D9" s="6">
        <v>3</v>
      </c>
      <c r="E9" s="6">
        <v>4</v>
      </c>
      <c r="F9" s="6">
        <v>5</v>
      </c>
      <c r="G9" s="8" t="s">
        <v>27</v>
      </c>
      <c r="H9" s="6">
        <v>7</v>
      </c>
      <c r="I9" s="6">
        <v>8</v>
      </c>
      <c r="J9" s="6">
        <v>9</v>
      </c>
      <c r="K9" s="6">
        <v>10</v>
      </c>
      <c r="L9" s="6">
        <v>11</v>
      </c>
      <c r="M9" s="6">
        <v>12</v>
      </c>
      <c r="N9" s="6">
        <v>13</v>
      </c>
      <c r="O9" s="6">
        <v>14</v>
      </c>
      <c r="P9" s="6">
        <v>15</v>
      </c>
      <c r="Q9" s="6">
        <v>16</v>
      </c>
      <c r="R9" s="6">
        <v>17</v>
      </c>
      <c r="S9" s="6">
        <v>18</v>
      </c>
      <c r="T9" s="6">
        <v>19</v>
      </c>
      <c r="U9" s="6">
        <v>20</v>
      </c>
      <c r="V9" s="8" t="s">
        <v>157</v>
      </c>
      <c r="W9" s="8" t="s">
        <v>28</v>
      </c>
    </row>
    <row r="10" spans="2:25" ht="13.2">
      <c r="B10" s="9">
        <v>1</v>
      </c>
      <c r="C10" s="10">
        <v>2000021586</v>
      </c>
      <c r="D10" s="10">
        <v>3000021484</v>
      </c>
      <c r="E10" s="11" t="s">
        <v>260</v>
      </c>
      <c r="F10" s="12">
        <v>44986</v>
      </c>
      <c r="G10" s="17">
        <v>17352500</v>
      </c>
      <c r="H10" s="14" t="s">
        <v>31</v>
      </c>
      <c r="I10" s="11" t="s">
        <v>32</v>
      </c>
      <c r="J10" s="10" t="s">
        <v>33</v>
      </c>
      <c r="K10" s="10" t="s">
        <v>34</v>
      </c>
      <c r="L10" s="14" t="s">
        <v>35</v>
      </c>
      <c r="M10" s="12">
        <v>44986</v>
      </c>
      <c r="N10" s="14" t="s">
        <v>36</v>
      </c>
      <c r="O10" s="10" t="s">
        <v>37</v>
      </c>
      <c r="P10" s="10">
        <v>5300007298</v>
      </c>
      <c r="Q10" s="11" t="s">
        <v>261</v>
      </c>
      <c r="R10" s="15">
        <v>44987</v>
      </c>
      <c r="S10" s="11" t="s">
        <v>39</v>
      </c>
      <c r="T10" s="14" t="s">
        <v>40</v>
      </c>
      <c r="U10" s="16" t="s">
        <v>41</v>
      </c>
      <c r="V10" s="17">
        <v>17352500</v>
      </c>
      <c r="W10" s="18">
        <f t="shared" ref="W10:W28" si="0">V10+(V10*11%)</f>
        <v>19261275</v>
      </c>
      <c r="X10" t="str">
        <f>X17</f>
        <v>Cengkih Afo</v>
      </c>
      <c r="Y10" s="466">
        <f>W10+W11+W17+W24+W22+W18+W28+X23</f>
        <v>275846655</v>
      </c>
    </row>
    <row r="11" spans="2:25" ht="13.2">
      <c r="B11" s="9">
        <v>2</v>
      </c>
      <c r="C11" s="10">
        <v>2000021587</v>
      </c>
      <c r="D11" s="10">
        <v>3000021485</v>
      </c>
      <c r="E11" s="11" t="s">
        <v>262</v>
      </c>
      <c r="F11" s="12">
        <v>44986</v>
      </c>
      <c r="G11" s="17">
        <v>14964000</v>
      </c>
      <c r="H11" s="14" t="s">
        <v>31</v>
      </c>
      <c r="I11" s="11" t="s">
        <v>43</v>
      </c>
      <c r="J11" s="10" t="s">
        <v>33</v>
      </c>
      <c r="K11" s="10" t="s">
        <v>34</v>
      </c>
      <c r="L11" s="14" t="s">
        <v>35</v>
      </c>
      <c r="M11" s="12">
        <v>44986</v>
      </c>
      <c r="N11" s="14" t="s">
        <v>36</v>
      </c>
      <c r="O11" s="10" t="s">
        <v>37</v>
      </c>
      <c r="P11" s="10">
        <v>5300007303</v>
      </c>
      <c r="Q11" s="11" t="s">
        <v>263</v>
      </c>
      <c r="R11" s="15">
        <v>44987</v>
      </c>
      <c r="S11" s="11" t="s">
        <v>39</v>
      </c>
      <c r="T11" s="14" t="s">
        <v>40</v>
      </c>
      <c r="U11" s="16" t="s">
        <v>41</v>
      </c>
      <c r="V11" s="17">
        <v>14964000</v>
      </c>
      <c r="W11" s="18">
        <f t="shared" si="0"/>
        <v>16610040</v>
      </c>
      <c r="X11" t="str">
        <f>X10</f>
        <v>Cengkih Afo</v>
      </c>
    </row>
    <row r="12" spans="2:25" ht="13.2">
      <c r="B12" s="9">
        <v>3</v>
      </c>
      <c r="C12" s="10">
        <v>2000021600</v>
      </c>
      <c r="D12" s="10">
        <v>3000021411</v>
      </c>
      <c r="E12" s="11" t="s">
        <v>264</v>
      </c>
      <c r="F12" s="12">
        <v>44986</v>
      </c>
      <c r="G12" s="17">
        <v>15058000</v>
      </c>
      <c r="H12" s="14" t="s">
        <v>31</v>
      </c>
      <c r="I12" s="11" t="s">
        <v>32</v>
      </c>
      <c r="J12" s="10" t="s">
        <v>33</v>
      </c>
      <c r="K12" s="10" t="s">
        <v>34</v>
      </c>
      <c r="L12" s="14" t="s">
        <v>35</v>
      </c>
      <c r="M12" s="12">
        <v>44986</v>
      </c>
      <c r="N12" s="14" t="s">
        <v>36</v>
      </c>
      <c r="O12" s="10" t="s">
        <v>37</v>
      </c>
      <c r="P12" s="10">
        <v>5300007247</v>
      </c>
      <c r="Q12" s="11" t="s">
        <v>265</v>
      </c>
      <c r="R12" s="15">
        <v>44987</v>
      </c>
      <c r="S12" s="11" t="s">
        <v>39</v>
      </c>
      <c r="T12" s="14" t="s">
        <v>40</v>
      </c>
      <c r="U12" s="16" t="s">
        <v>41</v>
      </c>
      <c r="V12" s="17">
        <v>15058000</v>
      </c>
      <c r="W12" s="18">
        <f t="shared" si="0"/>
        <v>16714380</v>
      </c>
      <c r="X12" t="str">
        <f>X20</f>
        <v>Dolosi</v>
      </c>
      <c r="Y12" s="466">
        <f>W12+W20+W21+X23</f>
        <v>99131880</v>
      </c>
    </row>
    <row r="13" spans="2:25" ht="13.2">
      <c r="B13" s="47">
        <v>5</v>
      </c>
      <c r="C13" s="14">
        <v>2000021743</v>
      </c>
      <c r="D13" s="14">
        <v>3000021620</v>
      </c>
      <c r="E13" s="11" t="s">
        <v>266</v>
      </c>
      <c r="F13" s="12">
        <v>44988</v>
      </c>
      <c r="G13" s="17">
        <v>5250000</v>
      </c>
      <c r="H13" s="14" t="s">
        <v>106</v>
      </c>
      <c r="I13" s="11" t="s">
        <v>267</v>
      </c>
      <c r="J13" s="10" t="s">
        <v>33</v>
      </c>
      <c r="K13" s="10" t="s">
        <v>34</v>
      </c>
      <c r="L13" s="14" t="s">
        <v>35</v>
      </c>
      <c r="M13" s="12">
        <v>44989</v>
      </c>
      <c r="N13" s="14" t="s">
        <v>36</v>
      </c>
      <c r="O13" s="10" t="s">
        <v>37</v>
      </c>
      <c r="P13" s="14">
        <v>5300007384</v>
      </c>
      <c r="Q13" s="11" t="s">
        <v>268</v>
      </c>
      <c r="R13" s="15">
        <v>44991</v>
      </c>
      <c r="S13" s="11" t="s">
        <v>109</v>
      </c>
      <c r="T13" s="14" t="s">
        <v>110</v>
      </c>
      <c r="U13" s="16" t="s">
        <v>111</v>
      </c>
      <c r="V13" s="17">
        <v>4500000</v>
      </c>
      <c r="W13" s="18">
        <f t="shared" si="0"/>
        <v>4995000</v>
      </c>
      <c r="X13" t="str">
        <f>X19</f>
        <v>Tanjung Api</v>
      </c>
      <c r="Y13" s="466">
        <f>W13+W19+X23</f>
        <v>24364500</v>
      </c>
    </row>
    <row r="14" spans="2:25" ht="13.2">
      <c r="B14" s="47">
        <v>6</v>
      </c>
      <c r="C14" s="10">
        <v>2000021744</v>
      </c>
      <c r="D14" s="10">
        <v>3000021621</v>
      </c>
      <c r="E14" s="11" t="s">
        <v>269</v>
      </c>
      <c r="F14" s="12">
        <v>44988</v>
      </c>
      <c r="G14" s="17">
        <v>10500000</v>
      </c>
      <c r="H14" s="14" t="s">
        <v>106</v>
      </c>
      <c r="I14" s="28" t="s">
        <v>270</v>
      </c>
      <c r="J14" s="10" t="s">
        <v>33</v>
      </c>
      <c r="K14" s="10" t="s">
        <v>34</v>
      </c>
      <c r="L14" s="14" t="s">
        <v>35</v>
      </c>
      <c r="M14" s="12">
        <v>44989</v>
      </c>
      <c r="N14" s="14" t="s">
        <v>36</v>
      </c>
      <c r="O14" s="14" t="s">
        <v>37</v>
      </c>
      <c r="P14" s="10">
        <v>5000039727</v>
      </c>
      <c r="Q14" s="11" t="s">
        <v>271</v>
      </c>
      <c r="R14" s="15">
        <v>44991</v>
      </c>
      <c r="S14" s="11" t="s">
        <v>109</v>
      </c>
      <c r="T14" s="14" t="s">
        <v>110</v>
      </c>
      <c r="U14" s="16" t="s">
        <v>111</v>
      </c>
      <c r="V14" s="17">
        <v>9000000</v>
      </c>
      <c r="W14" s="18">
        <f t="shared" si="0"/>
        <v>9990000</v>
      </c>
      <c r="X14" s="465" t="s">
        <v>915</v>
      </c>
      <c r="Y14" s="466">
        <f>W14+X23</f>
        <v>24697500</v>
      </c>
    </row>
    <row r="15" spans="2:25" ht="13.2">
      <c r="B15" s="46">
        <v>10</v>
      </c>
      <c r="C15" s="10">
        <v>2000021975</v>
      </c>
      <c r="D15" s="10">
        <v>3000021827</v>
      </c>
      <c r="E15" s="11" t="s">
        <v>272</v>
      </c>
      <c r="F15" s="12">
        <v>44999</v>
      </c>
      <c r="G15" s="40">
        <v>1900000</v>
      </c>
      <c r="H15" s="14" t="s">
        <v>31</v>
      </c>
      <c r="I15" s="11" t="s">
        <v>273</v>
      </c>
      <c r="J15" s="10" t="s">
        <v>33</v>
      </c>
      <c r="K15" s="10" t="s">
        <v>34</v>
      </c>
      <c r="L15" s="14" t="s">
        <v>35</v>
      </c>
      <c r="M15" s="49">
        <v>44999</v>
      </c>
      <c r="N15" s="14" t="s">
        <v>36</v>
      </c>
      <c r="O15" s="14" t="s">
        <v>37</v>
      </c>
      <c r="P15" s="10">
        <v>5300007484</v>
      </c>
      <c r="Q15" s="11" t="s">
        <v>274</v>
      </c>
      <c r="R15" s="15">
        <v>45000</v>
      </c>
      <c r="S15" s="11" t="s">
        <v>39</v>
      </c>
      <c r="T15" s="14" t="s">
        <v>40</v>
      </c>
      <c r="U15" s="16" t="s">
        <v>41</v>
      </c>
      <c r="V15" s="48">
        <v>1900000</v>
      </c>
      <c r="W15" s="18">
        <f t="shared" si="0"/>
        <v>2109000</v>
      </c>
      <c r="X15" s="465" t="s">
        <v>877</v>
      </c>
      <c r="Y15" s="466">
        <f>W15+W25+W26+W27+X23</f>
        <v>133988100</v>
      </c>
    </row>
    <row r="16" spans="2:25" ht="13.2">
      <c r="B16" s="47">
        <v>11</v>
      </c>
      <c r="C16" s="10">
        <v>2000021976</v>
      </c>
      <c r="D16" s="10">
        <v>3000021828</v>
      </c>
      <c r="E16" s="11" t="s">
        <v>275</v>
      </c>
      <c r="F16" s="12">
        <v>44999</v>
      </c>
      <c r="G16" s="40">
        <v>1900000</v>
      </c>
      <c r="H16" s="14" t="s">
        <v>31</v>
      </c>
      <c r="I16" s="50" t="s">
        <v>276</v>
      </c>
      <c r="J16" s="10" t="s">
        <v>33</v>
      </c>
      <c r="K16" s="10" t="s">
        <v>34</v>
      </c>
      <c r="L16" s="14" t="s">
        <v>35</v>
      </c>
      <c r="M16" s="49">
        <v>44999</v>
      </c>
      <c r="N16" s="14" t="s">
        <v>36</v>
      </c>
      <c r="O16" s="14" t="s">
        <v>37</v>
      </c>
      <c r="P16" s="10">
        <v>5300007485</v>
      </c>
      <c r="Q16" s="11" t="s">
        <v>277</v>
      </c>
      <c r="R16" s="15">
        <v>45000</v>
      </c>
      <c r="S16" s="11" t="s">
        <v>39</v>
      </c>
      <c r="T16" s="14" t="s">
        <v>40</v>
      </c>
      <c r="U16" s="16" t="s">
        <v>41</v>
      </c>
      <c r="V16" s="48">
        <v>1900000</v>
      </c>
      <c r="W16" s="18">
        <f t="shared" si="0"/>
        <v>2109000</v>
      </c>
      <c r="X16" s="465" t="s">
        <v>913</v>
      </c>
    </row>
    <row r="17" spans="2:24" ht="13.2">
      <c r="B17" s="47">
        <v>12</v>
      </c>
      <c r="C17" s="10">
        <v>2000021977</v>
      </c>
      <c r="D17" s="10">
        <v>3000021829</v>
      </c>
      <c r="E17" s="11" t="s">
        <v>278</v>
      </c>
      <c r="F17" s="12">
        <v>44986</v>
      </c>
      <c r="G17" s="17">
        <v>13261000</v>
      </c>
      <c r="H17" s="14" t="s">
        <v>31</v>
      </c>
      <c r="I17" s="34" t="s">
        <v>279</v>
      </c>
      <c r="J17" s="10" t="s">
        <v>33</v>
      </c>
      <c r="K17" s="10" t="s">
        <v>34</v>
      </c>
      <c r="L17" s="14" t="s">
        <v>35</v>
      </c>
      <c r="M17" s="12">
        <v>44986</v>
      </c>
      <c r="N17" s="14" t="s">
        <v>36</v>
      </c>
      <c r="O17" s="14" t="s">
        <v>37</v>
      </c>
      <c r="P17" s="10">
        <v>5300007514</v>
      </c>
      <c r="Q17" s="11" t="s">
        <v>280</v>
      </c>
      <c r="R17" s="21">
        <v>44987</v>
      </c>
      <c r="S17" s="11" t="s">
        <v>39</v>
      </c>
      <c r="T17" s="14" t="s">
        <v>40</v>
      </c>
      <c r="U17" s="16" t="s">
        <v>41</v>
      </c>
      <c r="V17" s="40">
        <v>13261000</v>
      </c>
      <c r="W17" s="18">
        <f t="shared" si="0"/>
        <v>14719710</v>
      </c>
      <c r="X17" s="465" t="s">
        <v>924</v>
      </c>
    </row>
    <row r="18" spans="2:24" ht="13.2">
      <c r="B18" s="9">
        <v>13</v>
      </c>
      <c r="C18" s="10">
        <v>2000021993</v>
      </c>
      <c r="D18" s="10">
        <v>3000021831</v>
      </c>
      <c r="E18" s="11" t="s">
        <v>281</v>
      </c>
      <c r="F18" s="12">
        <v>44986</v>
      </c>
      <c r="G18" s="17">
        <v>12426500</v>
      </c>
      <c r="H18" s="14" t="s">
        <v>31</v>
      </c>
      <c r="I18" s="34" t="s">
        <v>282</v>
      </c>
      <c r="J18" s="10" t="s">
        <v>33</v>
      </c>
      <c r="K18" s="10" t="s">
        <v>34</v>
      </c>
      <c r="L18" s="14" t="s">
        <v>35</v>
      </c>
      <c r="M18" s="12">
        <v>44986</v>
      </c>
      <c r="N18" s="14" t="s">
        <v>36</v>
      </c>
      <c r="O18" s="14" t="s">
        <v>37</v>
      </c>
      <c r="P18" s="10">
        <v>5300007488</v>
      </c>
      <c r="Q18" s="11" t="s">
        <v>283</v>
      </c>
      <c r="R18" s="21">
        <v>44987</v>
      </c>
      <c r="S18" s="11" t="s">
        <v>39</v>
      </c>
      <c r="T18" s="14" t="s">
        <v>40</v>
      </c>
      <c r="U18" s="16" t="s">
        <v>41</v>
      </c>
      <c r="V18" s="40">
        <v>12426500</v>
      </c>
      <c r="W18" s="18">
        <f t="shared" si="0"/>
        <v>13793415</v>
      </c>
      <c r="X18" t="str">
        <f>X17</f>
        <v>Cengkih Afo</v>
      </c>
    </row>
    <row r="19" spans="2:24" ht="13.2">
      <c r="B19" s="9">
        <v>14</v>
      </c>
      <c r="C19" s="10">
        <v>2000021985</v>
      </c>
      <c r="D19" s="10">
        <v>3000021832</v>
      </c>
      <c r="E19" s="11" t="s">
        <v>284</v>
      </c>
      <c r="F19" s="12">
        <v>44999</v>
      </c>
      <c r="G19" s="17">
        <v>4200000</v>
      </c>
      <c r="H19" s="14" t="s">
        <v>31</v>
      </c>
      <c r="I19" s="11" t="s">
        <v>285</v>
      </c>
      <c r="J19" s="10" t="s">
        <v>33</v>
      </c>
      <c r="K19" s="10" t="s">
        <v>34</v>
      </c>
      <c r="L19" s="14" t="s">
        <v>35</v>
      </c>
      <c r="M19" s="12">
        <v>44999</v>
      </c>
      <c r="N19" s="14" t="s">
        <v>36</v>
      </c>
      <c r="O19" s="14" t="s">
        <v>37</v>
      </c>
      <c r="P19" s="10">
        <v>5300007489</v>
      </c>
      <c r="Q19" s="11" t="s">
        <v>286</v>
      </c>
      <c r="R19" s="21">
        <v>45000</v>
      </c>
      <c r="S19" s="11" t="s">
        <v>39</v>
      </c>
      <c r="T19" s="14" t="s">
        <v>40</v>
      </c>
      <c r="U19" s="16" t="s">
        <v>41</v>
      </c>
      <c r="V19" s="40">
        <v>4200000</v>
      </c>
      <c r="W19" s="18">
        <f t="shared" si="0"/>
        <v>4662000</v>
      </c>
      <c r="X19" s="465" t="s">
        <v>914</v>
      </c>
    </row>
    <row r="20" spans="2:24" ht="13.2">
      <c r="B20" s="9">
        <v>15</v>
      </c>
      <c r="C20" s="10">
        <v>2000021954</v>
      </c>
      <c r="D20" s="10">
        <v>3000021833</v>
      </c>
      <c r="E20" s="11" t="s">
        <v>287</v>
      </c>
      <c r="F20" s="12">
        <v>45000</v>
      </c>
      <c r="G20" s="17">
        <v>51000000</v>
      </c>
      <c r="H20" s="14" t="s">
        <v>31</v>
      </c>
      <c r="I20" s="11" t="s">
        <v>288</v>
      </c>
      <c r="J20" s="10" t="s">
        <v>33</v>
      </c>
      <c r="K20" s="22" t="s">
        <v>61</v>
      </c>
      <c r="L20" s="16" t="s">
        <v>47</v>
      </c>
      <c r="M20" s="12">
        <v>45000</v>
      </c>
      <c r="N20" s="14" t="s">
        <v>36</v>
      </c>
      <c r="O20" s="14" t="s">
        <v>37</v>
      </c>
      <c r="P20" s="10">
        <v>5300007490</v>
      </c>
      <c r="Q20" s="11" t="s">
        <v>289</v>
      </c>
      <c r="R20" s="21">
        <v>45001</v>
      </c>
      <c r="S20" s="11" t="s">
        <v>109</v>
      </c>
      <c r="T20" s="14" t="s">
        <v>110</v>
      </c>
      <c r="U20" s="16" t="s">
        <v>111</v>
      </c>
      <c r="V20" s="40">
        <v>51000000</v>
      </c>
      <c r="W20" s="18">
        <f t="shared" si="0"/>
        <v>56610000</v>
      </c>
      <c r="X20" t="str">
        <f>X21</f>
        <v>Dolosi</v>
      </c>
    </row>
    <row r="21" spans="2:24" ht="13.2">
      <c r="B21" s="46">
        <v>16</v>
      </c>
      <c r="C21" s="10">
        <v>2000021994</v>
      </c>
      <c r="D21" s="10">
        <v>3000021839</v>
      </c>
      <c r="E21" s="11" t="s">
        <v>290</v>
      </c>
      <c r="F21" s="12">
        <v>44994</v>
      </c>
      <c r="G21" s="17">
        <v>10000000</v>
      </c>
      <c r="H21" s="14" t="s">
        <v>31</v>
      </c>
      <c r="I21" s="37" t="s">
        <v>291</v>
      </c>
      <c r="J21" s="10" t="s">
        <v>33</v>
      </c>
      <c r="K21" s="22" t="s">
        <v>61</v>
      </c>
      <c r="L21" s="16" t="s">
        <v>47</v>
      </c>
      <c r="M21" s="12">
        <v>44994</v>
      </c>
      <c r="N21" s="14" t="s">
        <v>36</v>
      </c>
      <c r="O21" s="14" t="s">
        <v>37</v>
      </c>
      <c r="P21" s="10">
        <v>5300007494</v>
      </c>
      <c r="Q21" s="11" t="s">
        <v>292</v>
      </c>
      <c r="R21" s="21">
        <v>44995</v>
      </c>
      <c r="S21" s="11" t="s">
        <v>109</v>
      </c>
      <c r="T21" s="14" t="s">
        <v>110</v>
      </c>
      <c r="U21" s="16" t="s">
        <v>111</v>
      </c>
      <c r="V21" s="40">
        <v>10000000</v>
      </c>
      <c r="W21" s="18">
        <f t="shared" si="0"/>
        <v>11100000</v>
      </c>
      <c r="X21" s="465" t="s">
        <v>866</v>
      </c>
    </row>
    <row r="22" spans="2:24" ht="13.2">
      <c r="B22" s="47">
        <v>17</v>
      </c>
      <c r="C22" s="10">
        <v>2000021995</v>
      </c>
      <c r="D22" s="10">
        <v>3000021840</v>
      </c>
      <c r="E22" s="11" t="s">
        <v>293</v>
      </c>
      <c r="F22" s="12">
        <v>45000</v>
      </c>
      <c r="G22" s="17">
        <v>28850000</v>
      </c>
      <c r="H22" s="14" t="s">
        <v>31</v>
      </c>
      <c r="I22" s="34" t="s">
        <v>294</v>
      </c>
      <c r="J22" s="10" t="s">
        <v>33</v>
      </c>
      <c r="K22" s="22" t="s">
        <v>61</v>
      </c>
      <c r="L22" s="16" t="s">
        <v>47</v>
      </c>
      <c r="M22" s="12">
        <v>45000</v>
      </c>
      <c r="N22" s="14" t="s">
        <v>36</v>
      </c>
      <c r="O22" s="14" t="s">
        <v>37</v>
      </c>
      <c r="P22" s="10">
        <v>5300007495</v>
      </c>
      <c r="Q22" s="11" t="s">
        <v>295</v>
      </c>
      <c r="R22" s="21">
        <v>45001</v>
      </c>
      <c r="S22" s="11" t="s">
        <v>109</v>
      </c>
      <c r="T22" s="14" t="s">
        <v>110</v>
      </c>
      <c r="U22" s="16" t="s">
        <v>111</v>
      </c>
      <c r="V22" s="40">
        <v>28850000</v>
      </c>
      <c r="W22" s="18">
        <f t="shared" si="0"/>
        <v>32023500</v>
      </c>
      <c r="X22" t="str">
        <f>X17</f>
        <v>Cengkih Afo</v>
      </c>
    </row>
    <row r="23" spans="2:24" ht="13.2">
      <c r="B23" s="47">
        <v>18</v>
      </c>
      <c r="C23" s="22">
        <v>2000022042</v>
      </c>
      <c r="D23" s="22">
        <v>3000021861</v>
      </c>
      <c r="E23" s="11" t="s">
        <v>296</v>
      </c>
      <c r="F23" s="12">
        <v>45000</v>
      </c>
      <c r="G23" s="26">
        <v>79500000</v>
      </c>
      <c r="H23" s="14" t="s">
        <v>31</v>
      </c>
      <c r="I23" s="28" t="s">
        <v>297</v>
      </c>
      <c r="J23" s="10" t="s">
        <v>33</v>
      </c>
      <c r="K23" s="10" t="s">
        <v>34</v>
      </c>
      <c r="L23" s="22" t="s">
        <v>298</v>
      </c>
      <c r="M23" s="12">
        <v>45000</v>
      </c>
      <c r="N23" s="14" t="s">
        <v>36</v>
      </c>
      <c r="O23" s="14" t="s">
        <v>37</v>
      </c>
      <c r="P23" s="22">
        <v>5300007507</v>
      </c>
      <c r="Q23" s="11" t="s">
        <v>299</v>
      </c>
      <c r="R23" s="21">
        <v>45001</v>
      </c>
      <c r="S23" s="27" t="s">
        <v>300</v>
      </c>
      <c r="T23" s="22"/>
      <c r="U23" s="16" t="s">
        <v>301</v>
      </c>
      <c r="V23" s="26">
        <v>79500000</v>
      </c>
      <c r="W23" s="18">
        <f t="shared" si="0"/>
        <v>88245000</v>
      </c>
      <c r="X23" s="466">
        <f>W23/6</f>
        <v>14707500</v>
      </c>
    </row>
    <row r="24" spans="2:24" ht="13.2">
      <c r="B24" s="9">
        <v>19</v>
      </c>
      <c r="C24" s="22">
        <v>2000022043</v>
      </c>
      <c r="D24" s="22">
        <v>3000021863</v>
      </c>
      <c r="E24" s="11" t="s">
        <v>302</v>
      </c>
      <c r="F24" s="12">
        <v>45000</v>
      </c>
      <c r="G24" s="26">
        <v>38510000</v>
      </c>
      <c r="H24" s="22" t="s">
        <v>31</v>
      </c>
      <c r="I24" s="51" t="s">
        <v>303</v>
      </c>
      <c r="J24" s="10" t="s">
        <v>33</v>
      </c>
      <c r="K24" s="10" t="s">
        <v>34</v>
      </c>
      <c r="L24" s="22" t="s">
        <v>298</v>
      </c>
      <c r="M24" s="12">
        <v>45000</v>
      </c>
      <c r="N24" s="14" t="s">
        <v>36</v>
      </c>
      <c r="O24" s="14" t="s">
        <v>37</v>
      </c>
      <c r="P24" s="22">
        <v>5300007508</v>
      </c>
      <c r="Q24" s="11" t="s">
        <v>304</v>
      </c>
      <c r="R24" s="21">
        <v>45001</v>
      </c>
      <c r="S24" s="27" t="s">
        <v>300</v>
      </c>
      <c r="T24" s="22"/>
      <c r="U24" s="16" t="s">
        <v>301</v>
      </c>
      <c r="V24" s="26">
        <v>38510000</v>
      </c>
      <c r="W24" s="18">
        <f t="shared" si="0"/>
        <v>42746100</v>
      </c>
      <c r="X24" t="str">
        <f>X18</f>
        <v>Cengkih Afo</v>
      </c>
    </row>
    <row r="25" spans="2:24" ht="13.2">
      <c r="B25" s="47">
        <v>23</v>
      </c>
      <c r="C25" s="10">
        <v>2000022666</v>
      </c>
      <c r="D25" s="10">
        <v>3000022053</v>
      </c>
      <c r="E25" s="11" t="s">
        <v>305</v>
      </c>
      <c r="F25" s="52">
        <v>45005</v>
      </c>
      <c r="G25" s="26">
        <v>6788000</v>
      </c>
      <c r="H25" s="10" t="s">
        <v>31</v>
      </c>
      <c r="I25" s="11" t="s">
        <v>306</v>
      </c>
      <c r="J25" s="10" t="s">
        <v>33</v>
      </c>
      <c r="K25" s="10" t="s">
        <v>34</v>
      </c>
      <c r="L25" s="14" t="s">
        <v>35</v>
      </c>
      <c r="M25" s="12">
        <v>45005</v>
      </c>
      <c r="N25" s="14" t="s">
        <v>36</v>
      </c>
      <c r="O25" s="14" t="s">
        <v>37</v>
      </c>
      <c r="P25" s="10">
        <v>5300007643</v>
      </c>
      <c r="Q25" s="11" t="s">
        <v>307</v>
      </c>
      <c r="R25" s="21">
        <v>45006</v>
      </c>
      <c r="S25" s="11" t="s">
        <v>39</v>
      </c>
      <c r="T25" s="14" t="s">
        <v>40</v>
      </c>
      <c r="U25" s="16" t="s">
        <v>41</v>
      </c>
      <c r="V25" s="26">
        <v>6788000</v>
      </c>
      <c r="W25" s="18">
        <f t="shared" si="0"/>
        <v>7534680</v>
      </c>
      <c r="X25" t="str">
        <f>X15</f>
        <v>Moinit</v>
      </c>
    </row>
    <row r="26" spans="2:24" ht="13.2">
      <c r="B26" s="9">
        <v>25</v>
      </c>
      <c r="C26" s="22">
        <v>2000022263</v>
      </c>
      <c r="D26" s="53">
        <v>3000022042</v>
      </c>
      <c r="E26" s="11" t="s">
        <v>308</v>
      </c>
      <c r="F26" s="52">
        <v>45005</v>
      </c>
      <c r="G26" s="26">
        <v>1700000</v>
      </c>
      <c r="H26" s="22" t="s">
        <v>31</v>
      </c>
      <c r="I26" s="28" t="s">
        <v>43</v>
      </c>
      <c r="J26" s="10" t="s">
        <v>33</v>
      </c>
      <c r="K26" s="10" t="s">
        <v>34</v>
      </c>
      <c r="L26" s="14" t="s">
        <v>35</v>
      </c>
      <c r="M26" s="12">
        <v>45005</v>
      </c>
      <c r="N26" s="14" t="s">
        <v>36</v>
      </c>
      <c r="O26" s="14" t="s">
        <v>37</v>
      </c>
      <c r="P26" s="22">
        <v>5300007636</v>
      </c>
      <c r="Q26" s="11" t="s">
        <v>309</v>
      </c>
      <c r="R26" s="21">
        <v>45006</v>
      </c>
      <c r="S26" s="11" t="s">
        <v>39</v>
      </c>
      <c r="T26" s="14" t="s">
        <v>40</v>
      </c>
      <c r="U26" s="16" t="s">
        <v>41</v>
      </c>
      <c r="V26" s="26">
        <v>1700000</v>
      </c>
      <c r="W26" s="18">
        <f t="shared" si="0"/>
        <v>1887000</v>
      </c>
      <c r="X26" t="str">
        <f>X15</f>
        <v>Moinit</v>
      </c>
    </row>
    <row r="27" spans="2:24" ht="13.2">
      <c r="B27" s="9">
        <v>26</v>
      </c>
      <c r="C27" s="54"/>
      <c r="D27" s="54"/>
      <c r="E27" s="11" t="s">
        <v>310</v>
      </c>
      <c r="F27" s="12">
        <v>44988</v>
      </c>
      <c r="G27" s="26">
        <v>149445000</v>
      </c>
      <c r="H27" s="22" t="s">
        <v>31</v>
      </c>
      <c r="I27" s="28" t="s">
        <v>311</v>
      </c>
      <c r="J27" s="10" t="s">
        <v>33</v>
      </c>
      <c r="K27" s="10" t="s">
        <v>34</v>
      </c>
      <c r="L27" s="14" t="s">
        <v>35</v>
      </c>
      <c r="M27" s="12">
        <v>44988</v>
      </c>
      <c r="N27" s="14" t="s">
        <v>36</v>
      </c>
      <c r="O27" s="14" t="s">
        <v>37</v>
      </c>
      <c r="P27" s="55"/>
      <c r="Q27" s="11" t="s">
        <v>312</v>
      </c>
      <c r="R27" s="21">
        <v>44991</v>
      </c>
      <c r="S27" s="11" t="s">
        <v>313</v>
      </c>
      <c r="T27" s="56" t="s">
        <v>314</v>
      </c>
      <c r="U27" s="56" t="s">
        <v>315</v>
      </c>
      <c r="V27" s="26">
        <v>97072000</v>
      </c>
      <c r="W27" s="18">
        <f t="shared" si="0"/>
        <v>107749920</v>
      </c>
      <c r="X27" t="str">
        <f>X26</f>
        <v>Moinit</v>
      </c>
    </row>
    <row r="28" spans="2:24" ht="13.2">
      <c r="B28" s="46">
        <v>28</v>
      </c>
      <c r="C28" s="54"/>
      <c r="D28" s="54"/>
      <c r="E28" s="11" t="s">
        <v>318</v>
      </c>
      <c r="F28" s="12">
        <v>44991</v>
      </c>
      <c r="G28" s="26">
        <v>109896500</v>
      </c>
      <c r="H28" s="22" t="s">
        <v>31</v>
      </c>
      <c r="I28" s="51" t="s">
        <v>319</v>
      </c>
      <c r="J28" s="10" t="s">
        <v>33</v>
      </c>
      <c r="K28" s="10" t="s">
        <v>34</v>
      </c>
      <c r="L28" s="14" t="s">
        <v>35</v>
      </c>
      <c r="M28" s="12">
        <v>44992</v>
      </c>
      <c r="N28" s="14" t="s">
        <v>36</v>
      </c>
      <c r="O28" s="14" t="s">
        <v>37</v>
      </c>
      <c r="P28" s="55"/>
      <c r="Q28" s="11" t="s">
        <v>320</v>
      </c>
      <c r="R28" s="21">
        <v>44992</v>
      </c>
      <c r="S28" s="11" t="s">
        <v>256</v>
      </c>
      <c r="V28" s="26">
        <v>109896500</v>
      </c>
      <c r="W28" s="18">
        <f t="shared" si="0"/>
        <v>121985115</v>
      </c>
      <c r="X28" t="str">
        <f>X22</f>
        <v>Cengkih Afo</v>
      </c>
    </row>
    <row r="29" spans="2:24" ht="13.2"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V29" s="44">
        <f>SUM(V10:V28)</f>
        <v>517878500</v>
      </c>
      <c r="W29" s="44">
        <f>SUM(W10:W28)</f>
        <v>574845135</v>
      </c>
    </row>
    <row r="30" spans="2:24" ht="13.2"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V30" s="59" t="s">
        <v>151</v>
      </c>
      <c r="W30" s="45">
        <v>6.2019999999999999E-2</v>
      </c>
    </row>
    <row r="31" spans="2:24" ht="15.75" customHeight="1"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8"/>
      <c r="V31" s="618"/>
      <c r="W31" s="618"/>
    </row>
    <row r="32" spans="2:24" ht="13.2"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617" t="s">
        <v>326</v>
      </c>
      <c r="V32" s="618"/>
      <c r="W32" s="618"/>
    </row>
    <row r="33" spans="2:23" ht="13.2"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7" t="s">
        <v>153</v>
      </c>
      <c r="V33" s="618"/>
      <c r="W33" s="618"/>
    </row>
    <row r="34" spans="2:23" ht="13.2"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617" t="s">
        <v>154</v>
      </c>
      <c r="V34" s="618"/>
      <c r="W34" s="618"/>
    </row>
    <row r="35" spans="2:23" ht="15.75" customHeight="1"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  <c r="Q35" s="618"/>
      <c r="R35" s="618"/>
      <c r="S35" s="618"/>
      <c r="T35" s="618"/>
      <c r="U35" s="618"/>
      <c r="V35" s="618"/>
      <c r="W35" s="618"/>
    </row>
    <row r="36" spans="2:23" ht="15.75" customHeight="1"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618"/>
      <c r="V36" s="618"/>
      <c r="W36" s="618"/>
    </row>
    <row r="37" spans="2:23" ht="15.75" customHeight="1"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</row>
    <row r="38" spans="2:23" ht="15.75" customHeight="1"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</row>
    <row r="39" spans="2:23" ht="13.2"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7" t="s">
        <v>155</v>
      </c>
      <c r="V39" s="618"/>
      <c r="W39" s="618"/>
    </row>
  </sheetData>
  <mergeCells count="31">
    <mergeCell ref="B7:B8"/>
    <mergeCell ref="C7:C8"/>
    <mergeCell ref="V7:V8"/>
    <mergeCell ref="D7:D8"/>
    <mergeCell ref="E7:E8"/>
    <mergeCell ref="F7:F8"/>
    <mergeCell ref="G7:G8"/>
    <mergeCell ref="H7:H8"/>
    <mergeCell ref="I7:I8"/>
    <mergeCell ref="O7:O8"/>
    <mergeCell ref="B3:J6"/>
    <mergeCell ref="K3:V4"/>
    <mergeCell ref="W3:W4"/>
    <mergeCell ref="K5:V6"/>
    <mergeCell ref="W5:W6"/>
    <mergeCell ref="U35:W38"/>
    <mergeCell ref="U39:W39"/>
    <mergeCell ref="P7:P8"/>
    <mergeCell ref="Q7:Q8"/>
    <mergeCell ref="B29:T39"/>
    <mergeCell ref="U31:W31"/>
    <mergeCell ref="U32:W32"/>
    <mergeCell ref="U33:W33"/>
    <mergeCell ref="U34:W34"/>
    <mergeCell ref="J7:J8"/>
    <mergeCell ref="K7:K8"/>
    <mergeCell ref="L7:L8"/>
    <mergeCell ref="M7:M8"/>
    <mergeCell ref="N7:N8"/>
    <mergeCell ref="R7:R8"/>
    <mergeCell ref="S7:U7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1:AE37"/>
  <sheetViews>
    <sheetView topLeftCell="A9" workbookViewId="0">
      <selection activeCell="X35" sqref="X35"/>
    </sheetView>
  </sheetViews>
  <sheetFormatPr defaultColWidth="12.6640625" defaultRowHeight="15.75" customHeight="1"/>
  <cols>
    <col min="3" max="8" width="0" hidden="1" customWidth="1"/>
    <col min="9" max="9" width="35.77734375" customWidth="1"/>
    <col min="10" max="22" width="0" hidden="1" customWidth="1"/>
    <col min="23" max="23" width="13.5546875" customWidth="1"/>
    <col min="24" max="26" width="12.6640625" hidden="1" customWidth="1"/>
    <col min="27" max="27" width="16.88671875" customWidth="1"/>
    <col min="28" max="28" width="12.6640625" hidden="1" customWidth="1"/>
    <col min="30" max="30" width="17.21875" bestFit="1" customWidth="1"/>
    <col min="31" max="31" width="17" customWidth="1"/>
  </cols>
  <sheetData>
    <row r="1" spans="2:31" ht="15.75" customHeight="1">
      <c r="X1" s="60"/>
      <c r="Y1" s="61" t="s">
        <v>327</v>
      </c>
    </row>
    <row r="2" spans="2:31" ht="15.75" customHeight="1">
      <c r="X2" s="62"/>
      <c r="Y2" s="61" t="s">
        <v>328</v>
      </c>
    </row>
    <row r="3" spans="2:31" ht="15.75" customHeight="1">
      <c r="B3" s="618"/>
      <c r="C3" s="618"/>
      <c r="D3" s="618"/>
      <c r="E3" s="618"/>
      <c r="F3" s="618"/>
      <c r="G3" s="618"/>
      <c r="H3" s="618"/>
      <c r="I3" s="618"/>
      <c r="J3" s="618"/>
      <c r="K3" s="637" t="s">
        <v>329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39"/>
      <c r="X3" s="63"/>
      <c r="Y3" s="61" t="s">
        <v>330</v>
      </c>
    </row>
    <row r="4" spans="2:31" ht="15.75" customHeight="1">
      <c r="B4" s="618"/>
      <c r="C4" s="618"/>
      <c r="D4" s="618"/>
      <c r="E4" s="618"/>
      <c r="F4" s="618"/>
      <c r="G4" s="618"/>
      <c r="H4" s="618"/>
      <c r="I4" s="618"/>
      <c r="J4" s="618"/>
      <c r="K4" s="638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34"/>
      <c r="X4" s="64"/>
      <c r="Y4" s="61" t="s">
        <v>331</v>
      </c>
    </row>
    <row r="5" spans="2:31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37" t="s">
        <v>332</v>
      </c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8"/>
      <c r="W5" s="640"/>
    </row>
    <row r="6" spans="2:31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38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34"/>
    </row>
    <row r="7" spans="2:31" ht="15.75" customHeight="1"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1" t="s">
        <v>19</v>
      </c>
      <c r="T7" s="642"/>
      <c r="U7" s="643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2:31" ht="15.75" customHeight="1">
      <c r="B8" s="68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2:31" ht="15.75" customHeight="1">
      <c r="B9" s="73">
        <v>1</v>
      </c>
      <c r="C9" s="74">
        <v>2</v>
      </c>
      <c r="D9" s="74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24</v>
      </c>
      <c r="AA9" s="75">
        <v>24</v>
      </c>
      <c r="AB9" s="75">
        <v>24</v>
      </c>
    </row>
    <row r="10" spans="2:31" ht="13.2">
      <c r="B10" s="76">
        <v>1</v>
      </c>
      <c r="C10" s="77">
        <v>2000022583</v>
      </c>
      <c r="D10" s="58">
        <v>3000022335</v>
      </c>
      <c r="E10" s="78" t="s">
        <v>341</v>
      </c>
      <c r="F10" s="79">
        <v>45019</v>
      </c>
      <c r="G10" s="80">
        <v>5640000</v>
      </c>
      <c r="H10" s="81" t="s">
        <v>31</v>
      </c>
      <c r="I10" s="82" t="s">
        <v>342</v>
      </c>
      <c r="J10" s="78" t="s">
        <v>33</v>
      </c>
      <c r="K10" s="78" t="s">
        <v>34</v>
      </c>
      <c r="L10" s="81" t="s">
        <v>35</v>
      </c>
      <c r="M10" s="79">
        <v>45019</v>
      </c>
      <c r="N10" s="81" t="s">
        <v>36</v>
      </c>
      <c r="O10" s="78" t="s">
        <v>37</v>
      </c>
      <c r="P10" s="81">
        <v>5300007864</v>
      </c>
      <c r="Q10" s="78" t="s">
        <v>343</v>
      </c>
      <c r="R10" s="79">
        <v>45020</v>
      </c>
      <c r="S10" s="81" t="s">
        <v>254</v>
      </c>
      <c r="T10" s="81" t="s">
        <v>344</v>
      </c>
      <c r="U10" s="81" t="s">
        <v>345</v>
      </c>
      <c r="V10" s="80">
        <v>4294200</v>
      </c>
      <c r="W10" s="26">
        <f t="shared" ref="W10:W26" si="0">V10+(V10*11%)</f>
        <v>4766562</v>
      </c>
      <c r="X10" s="56">
        <v>5000041748</v>
      </c>
      <c r="Y10" s="83" t="s">
        <v>346</v>
      </c>
      <c r="Z10" s="84" t="s">
        <v>347</v>
      </c>
      <c r="AA10" s="55" t="s">
        <v>348</v>
      </c>
      <c r="AB10" s="55" t="s">
        <v>349</v>
      </c>
      <c r="AC10" s="465" t="s">
        <v>382</v>
      </c>
      <c r="AD10" s="466">
        <f>W26+W24+W23</f>
        <v>124290030</v>
      </c>
      <c r="AE10" s="466">
        <f>AD10/6</f>
        <v>20715005</v>
      </c>
    </row>
    <row r="11" spans="2:31" ht="13.2">
      <c r="B11" s="85">
        <v>2</v>
      </c>
      <c r="C11" s="86">
        <v>2000022584</v>
      </c>
      <c r="D11" s="87">
        <v>3000022337</v>
      </c>
      <c r="E11" s="87" t="s">
        <v>350</v>
      </c>
      <c r="F11" s="88">
        <v>45019</v>
      </c>
      <c r="G11" s="89">
        <v>5760000</v>
      </c>
      <c r="H11" s="57" t="s">
        <v>31</v>
      </c>
      <c r="I11" s="90" t="s">
        <v>342</v>
      </c>
      <c r="J11" s="87" t="s">
        <v>33</v>
      </c>
      <c r="K11" s="87" t="s">
        <v>34</v>
      </c>
      <c r="L11" s="57" t="s">
        <v>35</v>
      </c>
      <c r="M11" s="88">
        <v>45019</v>
      </c>
      <c r="N11" s="57" t="s">
        <v>36</v>
      </c>
      <c r="O11" s="87" t="s">
        <v>37</v>
      </c>
      <c r="P11" s="87">
        <v>5300007878</v>
      </c>
      <c r="Q11" s="87" t="s">
        <v>351</v>
      </c>
      <c r="R11" s="88">
        <v>45020</v>
      </c>
      <c r="S11" s="87" t="s">
        <v>177</v>
      </c>
      <c r="T11" s="57" t="s">
        <v>40</v>
      </c>
      <c r="U11" s="57" t="s">
        <v>317</v>
      </c>
      <c r="V11" s="89">
        <v>5100000</v>
      </c>
      <c r="W11" s="26">
        <f t="shared" si="0"/>
        <v>5661000</v>
      </c>
      <c r="X11" s="56">
        <v>5000041010</v>
      </c>
      <c r="Y11" s="83" t="s">
        <v>346</v>
      </c>
      <c r="Z11" s="84" t="s">
        <v>347</v>
      </c>
      <c r="AA11" s="55" t="s">
        <v>348</v>
      </c>
      <c r="AB11" s="55" t="s">
        <v>349</v>
      </c>
      <c r="AC11" s="465" t="s">
        <v>379</v>
      </c>
      <c r="AD11" s="466">
        <f>W18+AE10</f>
        <v>50685005</v>
      </c>
    </row>
    <row r="12" spans="2:31" ht="13.2">
      <c r="B12" s="85">
        <v>3</v>
      </c>
      <c r="C12" s="77">
        <v>2000022806</v>
      </c>
      <c r="D12" s="58">
        <v>3000022754</v>
      </c>
      <c r="E12" s="58" t="s">
        <v>352</v>
      </c>
      <c r="F12" s="91">
        <v>45026</v>
      </c>
      <c r="G12" s="92">
        <v>10340000</v>
      </c>
      <c r="H12" s="58" t="s">
        <v>31</v>
      </c>
      <c r="I12" s="93" t="s">
        <v>353</v>
      </c>
      <c r="J12" s="58" t="s">
        <v>33</v>
      </c>
      <c r="K12" s="58" t="s">
        <v>34</v>
      </c>
      <c r="L12" s="58" t="s">
        <v>354</v>
      </c>
      <c r="M12" s="94">
        <v>45019</v>
      </c>
      <c r="N12" s="95" t="s">
        <v>36</v>
      </c>
      <c r="O12" s="58" t="s">
        <v>37</v>
      </c>
      <c r="P12" s="58">
        <v>5300008113</v>
      </c>
      <c r="Q12" s="58" t="s">
        <v>355</v>
      </c>
      <c r="R12" s="94">
        <v>45020</v>
      </c>
      <c r="S12" s="58" t="s">
        <v>322</v>
      </c>
      <c r="T12" s="58" t="s">
        <v>323</v>
      </c>
      <c r="U12" s="58" t="s">
        <v>324</v>
      </c>
      <c r="V12" s="92">
        <v>9224700</v>
      </c>
      <c r="W12" s="26">
        <f t="shared" si="0"/>
        <v>10239417</v>
      </c>
      <c r="X12" s="56">
        <v>5000042266</v>
      </c>
      <c r="Y12" s="83" t="s">
        <v>346</v>
      </c>
      <c r="Z12" s="84"/>
      <c r="AA12" s="55" t="s">
        <v>356</v>
      </c>
      <c r="AB12" s="55" t="s">
        <v>357</v>
      </c>
      <c r="AC12" t="str">
        <f>AA12</f>
        <v>CENGKIH AFO</v>
      </c>
      <c r="AD12" s="466">
        <f>SUM(W12:W16)+W22+AE10-W15</f>
        <v>91077572</v>
      </c>
    </row>
    <row r="13" spans="2:31" ht="13.2">
      <c r="B13" s="85">
        <v>5</v>
      </c>
      <c r="C13" s="96">
        <v>2000023619</v>
      </c>
      <c r="D13" s="78">
        <v>3000023473</v>
      </c>
      <c r="E13" s="78" t="s">
        <v>360</v>
      </c>
      <c r="F13" s="97">
        <v>45020</v>
      </c>
      <c r="G13" s="98">
        <v>9000000</v>
      </c>
      <c r="H13" s="78" t="s">
        <v>31</v>
      </c>
      <c r="I13" s="100" t="s">
        <v>361</v>
      </c>
      <c r="J13" s="78" t="s">
        <v>33</v>
      </c>
      <c r="K13" s="78" t="s">
        <v>34</v>
      </c>
      <c r="L13" s="81" t="s">
        <v>35</v>
      </c>
      <c r="M13" s="97">
        <v>45021</v>
      </c>
      <c r="N13" s="81" t="s">
        <v>36</v>
      </c>
      <c r="O13" s="78" t="s">
        <v>37</v>
      </c>
      <c r="P13" s="78">
        <v>5300008486</v>
      </c>
      <c r="Q13" s="78" t="s">
        <v>362</v>
      </c>
      <c r="R13" s="97">
        <v>45021</v>
      </c>
      <c r="S13" s="11" t="s">
        <v>109</v>
      </c>
      <c r="T13" s="14" t="s">
        <v>110</v>
      </c>
      <c r="U13" s="16" t="s">
        <v>111</v>
      </c>
      <c r="V13" s="98">
        <v>9000000</v>
      </c>
      <c r="W13" s="26">
        <f t="shared" si="0"/>
        <v>9990000</v>
      </c>
      <c r="X13" s="56">
        <v>5000042187</v>
      </c>
      <c r="Y13" s="83" t="s">
        <v>346</v>
      </c>
      <c r="Z13" s="84" t="s">
        <v>347</v>
      </c>
      <c r="AA13" s="55" t="s">
        <v>356</v>
      </c>
      <c r="AB13" s="55" t="s">
        <v>349</v>
      </c>
      <c r="AC13" t="str">
        <f>AA17</f>
        <v>TANJUNG API</v>
      </c>
      <c r="AD13" s="466">
        <f>W17+AE10</f>
        <v>35833205</v>
      </c>
    </row>
    <row r="14" spans="2:31" ht="13.2">
      <c r="B14" s="85">
        <v>6</v>
      </c>
      <c r="C14" s="96">
        <v>2000023319</v>
      </c>
      <c r="D14" s="78">
        <v>3000023153</v>
      </c>
      <c r="E14" s="78" t="s">
        <v>363</v>
      </c>
      <c r="F14" s="97">
        <v>45026</v>
      </c>
      <c r="G14" s="98">
        <v>13615000</v>
      </c>
      <c r="H14" s="78" t="s">
        <v>31</v>
      </c>
      <c r="I14" s="100" t="s">
        <v>361</v>
      </c>
      <c r="J14" s="78" t="s">
        <v>33</v>
      </c>
      <c r="K14" s="78" t="s">
        <v>34</v>
      </c>
      <c r="L14" s="81" t="s">
        <v>35</v>
      </c>
      <c r="M14" s="97">
        <v>45027</v>
      </c>
      <c r="N14" s="81" t="s">
        <v>36</v>
      </c>
      <c r="O14" s="78" t="s">
        <v>37</v>
      </c>
      <c r="P14" s="78">
        <v>5300008488</v>
      </c>
      <c r="Q14" s="78" t="s">
        <v>364</v>
      </c>
      <c r="R14" s="97">
        <v>45027</v>
      </c>
      <c r="S14" s="11" t="s">
        <v>109</v>
      </c>
      <c r="T14" s="14" t="s">
        <v>110</v>
      </c>
      <c r="U14" s="16" t="s">
        <v>111</v>
      </c>
      <c r="V14" s="98">
        <v>12535000</v>
      </c>
      <c r="W14" s="26">
        <f t="shared" si="0"/>
        <v>13913850</v>
      </c>
      <c r="X14" s="56">
        <v>5000042203</v>
      </c>
      <c r="Y14" s="83" t="s">
        <v>346</v>
      </c>
      <c r="Z14" s="84" t="s">
        <v>347</v>
      </c>
      <c r="AA14" s="55" t="s">
        <v>356</v>
      </c>
      <c r="AB14" s="55" t="s">
        <v>349</v>
      </c>
      <c r="AC14" t="str">
        <f>AA10</f>
        <v>TUNA TOMINI</v>
      </c>
      <c r="AD14" s="466">
        <f>W10+W11+W20+W25+AE10</f>
        <v>190494167</v>
      </c>
    </row>
    <row r="15" spans="2:31" ht="13.2">
      <c r="B15" s="76">
        <v>7</v>
      </c>
      <c r="C15" s="96">
        <v>2000023184</v>
      </c>
      <c r="D15" s="78">
        <v>3000023092</v>
      </c>
      <c r="E15" s="78" t="s">
        <v>365</v>
      </c>
      <c r="F15" s="97">
        <v>45030</v>
      </c>
      <c r="G15" s="98">
        <v>6707000</v>
      </c>
      <c r="H15" s="78" t="s">
        <v>31</v>
      </c>
      <c r="I15" s="78" t="s">
        <v>203</v>
      </c>
      <c r="J15" s="78" t="s">
        <v>33</v>
      </c>
      <c r="K15" s="78" t="s">
        <v>34</v>
      </c>
      <c r="L15" s="81" t="s">
        <v>35</v>
      </c>
      <c r="M15" s="97">
        <v>45030</v>
      </c>
      <c r="N15" s="81" t="s">
        <v>36</v>
      </c>
      <c r="O15" s="78" t="s">
        <v>37</v>
      </c>
      <c r="P15" s="78">
        <v>5300008113</v>
      </c>
      <c r="Q15" s="78" t="s">
        <v>366</v>
      </c>
      <c r="R15" s="97">
        <v>45030</v>
      </c>
      <c r="S15" s="78" t="s">
        <v>177</v>
      </c>
      <c r="T15" s="81" t="s">
        <v>40</v>
      </c>
      <c r="U15" s="81" t="s">
        <v>317</v>
      </c>
      <c r="V15" s="98">
        <v>5103000</v>
      </c>
      <c r="W15" s="26">
        <f t="shared" si="0"/>
        <v>5664330</v>
      </c>
      <c r="X15" s="56">
        <v>5000041639</v>
      </c>
      <c r="Y15" s="83" t="s">
        <v>346</v>
      </c>
      <c r="Z15" s="84" t="s">
        <v>347</v>
      </c>
      <c r="AA15" s="55" t="s">
        <v>367</v>
      </c>
      <c r="AB15" s="55" t="s">
        <v>357</v>
      </c>
      <c r="AC15" t="str">
        <f>AA21</f>
        <v>DOLOSI</v>
      </c>
      <c r="AD15" s="466">
        <f>W21+AE10</f>
        <v>25987505</v>
      </c>
    </row>
    <row r="16" spans="2:31" ht="13.2">
      <c r="B16" s="85">
        <v>8</v>
      </c>
      <c r="C16" s="96">
        <v>2000024395</v>
      </c>
      <c r="D16" s="78">
        <v>3000024127</v>
      </c>
      <c r="E16" s="78" t="s">
        <v>368</v>
      </c>
      <c r="F16" s="97">
        <v>45028</v>
      </c>
      <c r="G16" s="98">
        <v>13750000</v>
      </c>
      <c r="H16" s="99" t="s">
        <v>106</v>
      </c>
      <c r="I16" s="100" t="s">
        <v>369</v>
      </c>
      <c r="J16" s="78" t="s">
        <v>33</v>
      </c>
      <c r="K16" s="78" t="s">
        <v>34</v>
      </c>
      <c r="L16" s="81" t="s">
        <v>35</v>
      </c>
      <c r="M16" s="97">
        <v>45028</v>
      </c>
      <c r="N16" s="81" t="s">
        <v>36</v>
      </c>
      <c r="O16" s="78" t="s">
        <v>37</v>
      </c>
      <c r="P16" s="78">
        <v>5300008885</v>
      </c>
      <c r="Q16" s="78" t="s">
        <v>370</v>
      </c>
      <c r="R16" s="97">
        <v>45029</v>
      </c>
      <c r="S16" s="78" t="s">
        <v>64</v>
      </c>
      <c r="T16" s="10" t="s">
        <v>65</v>
      </c>
      <c r="U16" s="16" t="s">
        <v>66</v>
      </c>
      <c r="V16" s="98">
        <v>12630000</v>
      </c>
      <c r="W16" s="26">
        <f t="shared" si="0"/>
        <v>14019300</v>
      </c>
      <c r="X16" s="56">
        <v>5000043137</v>
      </c>
      <c r="Y16" s="83" t="s">
        <v>346</v>
      </c>
      <c r="Z16" s="84" t="s">
        <v>347</v>
      </c>
      <c r="AA16" s="55" t="s">
        <v>356</v>
      </c>
      <c r="AB16" s="55" t="s">
        <v>349</v>
      </c>
      <c r="AC16" t="str">
        <f>AA15</f>
        <v>TELUK TOLO</v>
      </c>
      <c r="AD16" s="467">
        <f>W15+AE10+W19</f>
        <v>29154335</v>
      </c>
    </row>
    <row r="17" spans="2:30" ht="13.2">
      <c r="B17" s="85">
        <v>9</v>
      </c>
      <c r="C17" s="56">
        <v>2000023548</v>
      </c>
      <c r="D17" s="56">
        <v>3000023466</v>
      </c>
      <c r="E17" s="78" t="s">
        <v>371</v>
      </c>
      <c r="F17" s="101">
        <v>45044</v>
      </c>
      <c r="G17" s="102">
        <v>18200000</v>
      </c>
      <c r="H17" s="56" t="s">
        <v>31</v>
      </c>
      <c r="I17" s="56" t="s">
        <v>372</v>
      </c>
      <c r="J17" s="78" t="s">
        <v>33</v>
      </c>
      <c r="K17" s="78" t="s">
        <v>34</v>
      </c>
      <c r="L17" s="81" t="s">
        <v>354</v>
      </c>
      <c r="M17" s="97">
        <v>45048</v>
      </c>
      <c r="N17" s="81" t="s">
        <v>36</v>
      </c>
      <c r="O17" s="78" t="s">
        <v>37</v>
      </c>
      <c r="P17" s="56">
        <v>5300008511</v>
      </c>
      <c r="Q17" s="78" t="s">
        <v>373</v>
      </c>
      <c r="R17" s="101">
        <v>45048</v>
      </c>
      <c r="S17" s="56" t="s">
        <v>177</v>
      </c>
      <c r="T17" s="57" t="s">
        <v>40</v>
      </c>
      <c r="U17" s="57" t="s">
        <v>317</v>
      </c>
      <c r="V17" s="103">
        <v>13620000</v>
      </c>
      <c r="W17" s="26">
        <f t="shared" si="0"/>
        <v>15118200</v>
      </c>
      <c r="X17" s="56">
        <v>5000042602</v>
      </c>
      <c r="Y17" s="83" t="s">
        <v>346</v>
      </c>
      <c r="Z17" s="84" t="s">
        <v>347</v>
      </c>
      <c r="AA17" s="55" t="s">
        <v>374</v>
      </c>
      <c r="AB17" s="55" t="s">
        <v>357</v>
      </c>
      <c r="AD17" s="466">
        <f>SUM(AD11:AD16)</f>
        <v>423231789</v>
      </c>
    </row>
    <row r="18" spans="2:30" ht="13.2">
      <c r="B18" s="76">
        <v>10</v>
      </c>
      <c r="C18" s="56">
        <v>2000023547</v>
      </c>
      <c r="D18" s="56">
        <v>3000023431</v>
      </c>
      <c r="E18" s="78" t="s">
        <v>365</v>
      </c>
      <c r="F18" s="101">
        <v>45026</v>
      </c>
      <c r="G18" s="102">
        <v>42000000</v>
      </c>
      <c r="H18" s="56" t="s">
        <v>31</v>
      </c>
      <c r="I18" s="56" t="s">
        <v>375</v>
      </c>
      <c r="J18" s="78" t="s">
        <v>33</v>
      </c>
      <c r="K18" s="78" t="s">
        <v>34</v>
      </c>
      <c r="L18" s="81" t="s">
        <v>376</v>
      </c>
      <c r="M18" s="97">
        <v>45030</v>
      </c>
      <c r="N18" s="81" t="s">
        <v>36</v>
      </c>
      <c r="O18" s="78" t="s">
        <v>37</v>
      </c>
      <c r="P18" s="56">
        <v>5300008459</v>
      </c>
      <c r="Q18" s="78" t="s">
        <v>377</v>
      </c>
      <c r="R18" s="101">
        <v>45030</v>
      </c>
      <c r="S18" s="56" t="s">
        <v>378</v>
      </c>
      <c r="T18" s="56" t="s">
        <v>314</v>
      </c>
      <c r="U18" s="56" t="s">
        <v>315</v>
      </c>
      <c r="V18" s="102">
        <v>27000000</v>
      </c>
      <c r="W18" s="26">
        <f t="shared" si="0"/>
        <v>29970000</v>
      </c>
      <c r="X18" s="56">
        <v>5000042606</v>
      </c>
      <c r="Y18" s="83" t="s">
        <v>346</v>
      </c>
      <c r="Z18" s="84" t="s">
        <v>347</v>
      </c>
      <c r="AA18" s="55" t="s">
        <v>379</v>
      </c>
      <c r="AB18" s="55" t="s">
        <v>357</v>
      </c>
    </row>
    <row r="19" spans="2:30" ht="13.2">
      <c r="B19" s="85">
        <v>12</v>
      </c>
      <c r="C19" s="56">
        <v>2000023392</v>
      </c>
      <c r="D19" s="56">
        <v>3000023174</v>
      </c>
      <c r="E19" s="77" t="s">
        <v>383</v>
      </c>
      <c r="F19" s="101">
        <v>45020</v>
      </c>
      <c r="G19" s="102">
        <v>2500000</v>
      </c>
      <c r="H19" s="56" t="s">
        <v>31</v>
      </c>
      <c r="I19" s="105" t="s">
        <v>384</v>
      </c>
      <c r="J19" s="56" t="s">
        <v>33</v>
      </c>
      <c r="K19" s="56" t="s">
        <v>34</v>
      </c>
      <c r="L19" s="106" t="s">
        <v>35</v>
      </c>
      <c r="M19" s="107">
        <v>45021</v>
      </c>
      <c r="N19" s="81" t="s">
        <v>36</v>
      </c>
      <c r="O19" s="78" t="s">
        <v>37</v>
      </c>
      <c r="P19" s="56">
        <v>5300008319</v>
      </c>
      <c r="Q19" s="78" t="s">
        <v>385</v>
      </c>
      <c r="R19" s="101">
        <v>45021</v>
      </c>
      <c r="S19" s="56" t="s">
        <v>39</v>
      </c>
      <c r="T19" s="104" t="s">
        <v>40</v>
      </c>
      <c r="U19" s="16" t="s">
        <v>41</v>
      </c>
      <c r="V19" s="102">
        <v>2500000</v>
      </c>
      <c r="W19" s="26">
        <f t="shared" si="0"/>
        <v>2775000</v>
      </c>
      <c r="X19" s="56">
        <v>5000041782</v>
      </c>
      <c r="Y19" s="83" t="s">
        <v>346</v>
      </c>
      <c r="Z19" s="84" t="s">
        <v>347</v>
      </c>
      <c r="AA19" s="55" t="s">
        <v>367</v>
      </c>
      <c r="AB19" s="55" t="s">
        <v>357</v>
      </c>
    </row>
    <row r="20" spans="2:30" ht="13.2">
      <c r="B20" s="76">
        <v>13</v>
      </c>
      <c r="C20" s="56">
        <v>2000023714</v>
      </c>
      <c r="D20" s="56">
        <v>3000023487</v>
      </c>
      <c r="E20" s="77" t="s">
        <v>365</v>
      </c>
      <c r="F20" s="56"/>
      <c r="G20" s="102">
        <v>104050000</v>
      </c>
      <c r="H20" s="56" t="s">
        <v>31</v>
      </c>
      <c r="I20" s="108" t="s">
        <v>386</v>
      </c>
      <c r="J20" s="56" t="s">
        <v>380</v>
      </c>
      <c r="K20" s="56" t="s">
        <v>381</v>
      </c>
      <c r="L20" s="56" t="s">
        <v>387</v>
      </c>
      <c r="M20" s="56" t="s">
        <v>388</v>
      </c>
      <c r="N20" s="81" t="s">
        <v>36</v>
      </c>
      <c r="O20" s="78" t="s">
        <v>37</v>
      </c>
      <c r="P20" s="56">
        <v>5300008499</v>
      </c>
      <c r="Q20" s="78" t="s">
        <v>389</v>
      </c>
      <c r="R20" s="101">
        <v>45048</v>
      </c>
      <c r="S20" s="56" t="s">
        <v>390</v>
      </c>
      <c r="T20" s="56" t="s">
        <v>391</v>
      </c>
      <c r="U20" s="56" t="s">
        <v>392</v>
      </c>
      <c r="V20" s="102">
        <v>104050000</v>
      </c>
      <c r="W20" s="26">
        <f t="shared" si="0"/>
        <v>115495500</v>
      </c>
      <c r="X20" s="56">
        <v>5000042249</v>
      </c>
      <c r="Y20" s="83" t="s">
        <v>346</v>
      </c>
      <c r="Z20" s="84" t="s">
        <v>347</v>
      </c>
      <c r="AA20" s="55" t="s">
        <v>348</v>
      </c>
      <c r="AB20" s="55" t="s">
        <v>349</v>
      </c>
    </row>
    <row r="21" spans="2:30" ht="13.2">
      <c r="B21" s="85">
        <v>14</v>
      </c>
      <c r="C21" s="56">
        <v>2000023391</v>
      </c>
      <c r="D21" s="56">
        <v>3000023173</v>
      </c>
      <c r="E21" s="77" t="s">
        <v>393</v>
      </c>
      <c r="F21" s="101">
        <v>45020</v>
      </c>
      <c r="G21" s="102">
        <v>4750000</v>
      </c>
      <c r="H21" s="56" t="s">
        <v>31</v>
      </c>
      <c r="I21" s="56" t="s">
        <v>394</v>
      </c>
      <c r="J21" s="56" t="s">
        <v>33</v>
      </c>
      <c r="K21" s="78" t="s">
        <v>34</v>
      </c>
      <c r="L21" s="56" t="s">
        <v>35</v>
      </c>
      <c r="M21" s="101">
        <v>45021</v>
      </c>
      <c r="N21" s="81" t="s">
        <v>36</v>
      </c>
      <c r="O21" s="78" t="s">
        <v>37</v>
      </c>
      <c r="P21" s="56">
        <v>5300008318</v>
      </c>
      <c r="Q21" s="78" t="s">
        <v>395</v>
      </c>
      <c r="R21" s="101">
        <v>45021</v>
      </c>
      <c r="S21" s="56" t="s">
        <v>39</v>
      </c>
      <c r="T21" s="104" t="s">
        <v>40</v>
      </c>
      <c r="U21" s="16" t="s">
        <v>41</v>
      </c>
      <c r="V21" s="102">
        <v>4750000</v>
      </c>
      <c r="W21" s="26">
        <f t="shared" si="0"/>
        <v>5272500</v>
      </c>
      <c r="X21" s="56">
        <v>5000041780</v>
      </c>
      <c r="Y21" s="109" t="s">
        <v>346</v>
      </c>
      <c r="Z21" s="84" t="s">
        <v>347</v>
      </c>
      <c r="AA21" s="55" t="s">
        <v>396</v>
      </c>
      <c r="AB21" s="55" t="s">
        <v>357</v>
      </c>
    </row>
    <row r="22" spans="2:30" ht="13.2">
      <c r="B22" s="85">
        <v>15</v>
      </c>
      <c r="C22" s="56">
        <v>2000025735</v>
      </c>
      <c r="D22" s="56">
        <v>3000025597</v>
      </c>
      <c r="E22" s="77" t="s">
        <v>397</v>
      </c>
      <c r="F22" s="101">
        <v>45026</v>
      </c>
      <c r="G22" s="102">
        <v>20000000</v>
      </c>
      <c r="H22" s="56" t="s">
        <v>31</v>
      </c>
      <c r="I22" s="56" t="s">
        <v>398</v>
      </c>
      <c r="J22" s="56" t="s">
        <v>33</v>
      </c>
      <c r="K22" s="78" t="s">
        <v>34</v>
      </c>
      <c r="L22" s="56" t="s">
        <v>399</v>
      </c>
      <c r="M22" s="101">
        <v>45027</v>
      </c>
      <c r="N22" s="81" t="s">
        <v>36</v>
      </c>
      <c r="O22" s="78" t="s">
        <v>400</v>
      </c>
      <c r="P22" s="56">
        <v>5300009698</v>
      </c>
      <c r="Q22" s="78" t="s">
        <v>401</v>
      </c>
      <c r="R22" s="101">
        <v>45027</v>
      </c>
      <c r="S22" s="56" t="s">
        <v>39</v>
      </c>
      <c r="T22" s="104" t="s">
        <v>40</v>
      </c>
      <c r="U22" s="16" t="s">
        <v>41</v>
      </c>
      <c r="V22" s="102">
        <v>20000000</v>
      </c>
      <c r="W22" s="26">
        <f t="shared" si="0"/>
        <v>22200000</v>
      </c>
      <c r="X22" s="56">
        <v>5000045035</v>
      </c>
      <c r="Y22" s="109" t="s">
        <v>346</v>
      </c>
      <c r="Z22" s="84" t="s">
        <v>347</v>
      </c>
      <c r="AA22" s="55" t="s">
        <v>356</v>
      </c>
      <c r="AB22" s="55" t="s">
        <v>349</v>
      </c>
    </row>
    <row r="23" spans="2:30" ht="13.2">
      <c r="B23" s="76">
        <v>16</v>
      </c>
      <c r="C23" s="56">
        <v>2000023318</v>
      </c>
      <c r="D23" s="56">
        <v>3000023151</v>
      </c>
      <c r="E23" s="78" t="s">
        <v>402</v>
      </c>
      <c r="F23" s="101">
        <v>45022</v>
      </c>
      <c r="G23" s="102">
        <v>16099000</v>
      </c>
      <c r="H23" s="56" t="s">
        <v>31</v>
      </c>
      <c r="I23" s="105" t="s">
        <v>43</v>
      </c>
      <c r="J23" s="56" t="s">
        <v>33</v>
      </c>
      <c r="K23" s="78" t="s">
        <v>34</v>
      </c>
      <c r="L23" s="56" t="s">
        <v>376</v>
      </c>
      <c r="M23" s="101">
        <v>45026</v>
      </c>
      <c r="N23" s="81" t="s">
        <v>36</v>
      </c>
      <c r="O23" s="78" t="s">
        <v>37</v>
      </c>
      <c r="P23" s="56">
        <v>5300008291</v>
      </c>
      <c r="Q23" s="78" t="s">
        <v>403</v>
      </c>
      <c r="R23" s="101">
        <v>45026</v>
      </c>
      <c r="S23" s="56" t="s">
        <v>39</v>
      </c>
      <c r="T23" s="104" t="s">
        <v>40</v>
      </c>
      <c r="U23" s="16" t="s">
        <v>41</v>
      </c>
      <c r="V23" s="102">
        <v>16099000</v>
      </c>
      <c r="W23" s="26">
        <f t="shared" si="0"/>
        <v>17869890</v>
      </c>
      <c r="X23" s="56">
        <v>5000041732</v>
      </c>
      <c r="Y23" s="83" t="s">
        <v>346</v>
      </c>
      <c r="Z23" s="84" t="s">
        <v>347</v>
      </c>
      <c r="AA23" s="55" t="s">
        <v>382</v>
      </c>
      <c r="AB23" s="55" t="s">
        <v>404</v>
      </c>
    </row>
    <row r="24" spans="2:30" ht="13.2">
      <c r="B24" s="85">
        <v>17</v>
      </c>
      <c r="C24" s="56">
        <v>2000023208</v>
      </c>
      <c r="D24" s="56">
        <v>3000023135</v>
      </c>
      <c r="E24" s="78" t="s">
        <v>405</v>
      </c>
      <c r="F24" s="101">
        <v>45022</v>
      </c>
      <c r="G24" s="102">
        <v>16854000</v>
      </c>
      <c r="H24" s="56" t="s">
        <v>31</v>
      </c>
      <c r="I24" s="105" t="s">
        <v>32</v>
      </c>
      <c r="J24" s="56" t="s">
        <v>33</v>
      </c>
      <c r="K24" s="78" t="s">
        <v>34</v>
      </c>
      <c r="L24" s="56" t="s">
        <v>376</v>
      </c>
      <c r="M24" s="101">
        <v>45026</v>
      </c>
      <c r="N24" s="81" t="s">
        <v>36</v>
      </c>
      <c r="O24" s="78" t="s">
        <v>37</v>
      </c>
      <c r="P24" s="56">
        <v>5300008286</v>
      </c>
      <c r="Q24" s="78" t="s">
        <v>406</v>
      </c>
      <c r="R24" s="101">
        <v>45026</v>
      </c>
      <c r="S24" s="56" t="s">
        <v>39</v>
      </c>
      <c r="T24" s="104" t="s">
        <v>40</v>
      </c>
      <c r="U24" s="16" t="s">
        <v>41</v>
      </c>
      <c r="V24" s="102">
        <v>16854000</v>
      </c>
      <c r="W24" s="26">
        <f t="shared" si="0"/>
        <v>18707940</v>
      </c>
      <c r="X24" s="56">
        <v>5000041729</v>
      </c>
      <c r="Y24" s="83" t="s">
        <v>346</v>
      </c>
      <c r="Z24" s="84" t="s">
        <v>347</v>
      </c>
      <c r="AA24" s="55" t="s">
        <v>382</v>
      </c>
      <c r="AB24" s="55" t="s">
        <v>404</v>
      </c>
    </row>
    <row r="25" spans="2:30" ht="13.2">
      <c r="B25" s="85">
        <v>18</v>
      </c>
      <c r="C25" s="56">
        <v>2000024268</v>
      </c>
      <c r="D25" s="56">
        <v>3000023970</v>
      </c>
      <c r="E25" s="78" t="s">
        <v>407</v>
      </c>
      <c r="F25" s="101">
        <v>45044</v>
      </c>
      <c r="G25" s="102">
        <v>43078000</v>
      </c>
      <c r="H25" s="56" t="s">
        <v>31</v>
      </c>
      <c r="I25" s="108" t="s">
        <v>408</v>
      </c>
      <c r="J25" s="56" t="s">
        <v>33</v>
      </c>
      <c r="K25" s="78" t="s">
        <v>34</v>
      </c>
      <c r="L25" s="56" t="s">
        <v>409</v>
      </c>
      <c r="M25" s="101">
        <v>45044</v>
      </c>
      <c r="N25" s="81" t="s">
        <v>36</v>
      </c>
      <c r="O25" s="78" t="s">
        <v>37</v>
      </c>
      <c r="P25" s="56">
        <v>5300008803</v>
      </c>
      <c r="Q25" s="78" t="s">
        <v>410</v>
      </c>
      <c r="R25" s="101">
        <v>45048</v>
      </c>
      <c r="S25" s="56" t="s">
        <v>300</v>
      </c>
      <c r="T25" s="104" t="s">
        <v>411</v>
      </c>
      <c r="U25" s="16" t="s">
        <v>412</v>
      </c>
      <c r="V25" s="102">
        <v>39510000</v>
      </c>
      <c r="W25" s="26">
        <f t="shared" si="0"/>
        <v>43856100</v>
      </c>
      <c r="X25" s="56">
        <v>5000043033</v>
      </c>
      <c r="Y25" s="83" t="s">
        <v>346</v>
      </c>
      <c r="Z25" s="84" t="s">
        <v>347</v>
      </c>
      <c r="AA25" s="55" t="s">
        <v>348</v>
      </c>
      <c r="AB25" s="55" t="s">
        <v>349</v>
      </c>
    </row>
    <row r="26" spans="2:30" ht="13.2">
      <c r="B26" s="76">
        <v>19</v>
      </c>
      <c r="C26" s="56">
        <v>2000024262</v>
      </c>
      <c r="D26" s="56">
        <v>3000023965</v>
      </c>
      <c r="E26" s="78" t="s">
        <v>413</v>
      </c>
      <c r="F26" s="101">
        <v>45044</v>
      </c>
      <c r="G26" s="102">
        <v>86156000</v>
      </c>
      <c r="H26" s="56" t="s">
        <v>31</v>
      </c>
      <c r="I26" s="56" t="s">
        <v>414</v>
      </c>
      <c r="J26" s="56" t="s">
        <v>33</v>
      </c>
      <c r="K26" s="78" t="s">
        <v>34</v>
      </c>
      <c r="L26" s="56" t="s">
        <v>409</v>
      </c>
      <c r="M26" s="101">
        <v>45044</v>
      </c>
      <c r="N26" s="81" t="s">
        <v>36</v>
      </c>
      <c r="O26" s="78" t="s">
        <v>37</v>
      </c>
      <c r="P26" s="56">
        <v>5300008802</v>
      </c>
      <c r="Q26" s="78" t="s">
        <v>415</v>
      </c>
      <c r="R26" s="101">
        <v>45048</v>
      </c>
      <c r="S26" s="56" t="s">
        <v>300</v>
      </c>
      <c r="T26" s="104" t="s">
        <v>411</v>
      </c>
      <c r="U26" s="16" t="s">
        <v>412</v>
      </c>
      <c r="V26" s="102">
        <v>79020000</v>
      </c>
      <c r="W26" s="26">
        <f t="shared" si="0"/>
        <v>87712200</v>
      </c>
      <c r="X26" s="56">
        <v>5000042937</v>
      </c>
      <c r="Y26" s="83" t="s">
        <v>346</v>
      </c>
      <c r="Z26" s="84" t="s">
        <v>347</v>
      </c>
      <c r="AA26" s="55" t="s">
        <v>382</v>
      </c>
      <c r="AB26" s="55" t="s">
        <v>357</v>
      </c>
    </row>
    <row r="27" spans="2:30" ht="13.2">
      <c r="B27" s="644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V27" s="111">
        <f>SUM(V10:V26)</f>
        <v>381289900</v>
      </c>
      <c r="W27" s="26">
        <f>SUM(W10:W26)</f>
        <v>423231789</v>
      </c>
      <c r="AA27" s="467">
        <f>SUM(W10:W26)</f>
        <v>423231789</v>
      </c>
    </row>
    <row r="28" spans="2:30" ht="13.2">
      <c r="B28" s="618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V28" s="112" t="s">
        <v>151</v>
      </c>
      <c r="W28" s="45">
        <v>0.10091</v>
      </c>
    </row>
    <row r="29" spans="2:30" ht="15.75" customHeight="1"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18"/>
    </row>
    <row r="30" spans="2:30" ht="13.2"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7" t="s">
        <v>416</v>
      </c>
      <c r="V30" s="618"/>
      <c r="W30" s="618"/>
    </row>
    <row r="31" spans="2:30" ht="13.2">
      <c r="B31" s="618"/>
      <c r="C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  <c r="P31" s="618"/>
      <c r="Q31" s="618"/>
      <c r="R31" s="618"/>
      <c r="S31" s="618"/>
      <c r="T31" s="618"/>
      <c r="U31" s="617" t="s">
        <v>153</v>
      </c>
      <c r="V31" s="618"/>
      <c r="W31" s="618"/>
      <c r="X31" s="33"/>
    </row>
    <row r="32" spans="2:30" ht="13.2">
      <c r="B32" s="618"/>
      <c r="C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617" t="s">
        <v>154</v>
      </c>
      <c r="V32" s="618"/>
      <c r="W32" s="618"/>
      <c r="X32" s="33"/>
    </row>
    <row r="33" spans="2:24" ht="15.75" customHeight="1"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</row>
    <row r="34" spans="2:24" ht="15.75" customHeight="1"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618"/>
      <c r="V34" s="618"/>
      <c r="W34" s="618"/>
    </row>
    <row r="35" spans="2:24" ht="15.75" customHeight="1"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  <c r="Q35" s="618"/>
      <c r="R35" s="618"/>
      <c r="S35" s="618"/>
      <c r="T35" s="618"/>
      <c r="U35" s="618"/>
      <c r="V35" s="618"/>
      <c r="W35" s="618"/>
    </row>
    <row r="36" spans="2:24" ht="15.75" customHeight="1"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618"/>
      <c r="V36" s="618"/>
      <c r="W36" s="618"/>
    </row>
    <row r="37" spans="2:24" ht="13.2"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7" t="s">
        <v>155</v>
      </c>
      <c r="V37" s="618"/>
      <c r="W37" s="618"/>
      <c r="X37" s="33"/>
    </row>
  </sheetData>
  <autoFilter ref="B7:AB26" xr:uid="{00000000-0009-0000-0000-000003000000}"/>
  <mergeCells count="13">
    <mergeCell ref="U37:W37"/>
    <mergeCell ref="B3:J6"/>
    <mergeCell ref="K3:V4"/>
    <mergeCell ref="W3:W4"/>
    <mergeCell ref="K5:V6"/>
    <mergeCell ref="W5:W6"/>
    <mergeCell ref="S7:U7"/>
    <mergeCell ref="B27:T37"/>
    <mergeCell ref="U29:W29"/>
    <mergeCell ref="U30:W30"/>
    <mergeCell ref="U31:W31"/>
    <mergeCell ref="U32:W32"/>
    <mergeCell ref="U33:W36"/>
  </mergeCells>
  <hyperlinks>
    <hyperlink ref="Z8" r:id="rId1" xr:uid="{00000000-0004-0000-03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1000"/>
  <sheetViews>
    <sheetView topLeftCell="B25" workbookViewId="0">
      <selection activeCell="X35" sqref="X35"/>
    </sheetView>
  </sheetViews>
  <sheetFormatPr defaultColWidth="12.6640625" defaultRowHeight="15.75" customHeight="1"/>
  <cols>
    <col min="3" max="7" width="0" hidden="1" customWidth="1"/>
    <col min="9" max="9" width="49.44140625" customWidth="1"/>
    <col min="10" max="10" width="0" hidden="1" customWidth="1"/>
    <col min="11" max="11" width="16" hidden="1" customWidth="1"/>
    <col min="12" max="21" width="0" hidden="1" customWidth="1"/>
    <col min="22" max="22" width="14.88671875" hidden="1" customWidth="1"/>
    <col min="23" max="23" width="14.21875" customWidth="1"/>
    <col min="24" max="26" width="0" hidden="1" customWidth="1"/>
    <col min="28" max="28" width="0" hidden="1" customWidth="1"/>
  </cols>
  <sheetData>
    <row r="1" spans="1:29" ht="15.75" customHeight="1">
      <c r="A1" s="113" t="s">
        <v>359</v>
      </c>
      <c r="X1" s="114"/>
      <c r="Y1" s="61" t="s">
        <v>327</v>
      </c>
      <c r="Z1" s="61"/>
      <c r="AA1" s="61"/>
      <c r="AB1" s="61"/>
      <c r="AC1" s="61" t="s">
        <v>359</v>
      </c>
    </row>
    <row r="2" spans="1:29" ht="15.75" customHeight="1">
      <c r="A2" s="113"/>
      <c r="X2" s="115"/>
      <c r="Y2" s="61" t="s">
        <v>328</v>
      </c>
    </row>
    <row r="3" spans="1:29" ht="15.75" customHeight="1">
      <c r="A3" s="113"/>
      <c r="B3" s="618"/>
      <c r="C3" s="618"/>
      <c r="D3" s="618"/>
      <c r="E3" s="618"/>
      <c r="F3" s="618"/>
      <c r="G3" s="618"/>
      <c r="H3" s="618"/>
      <c r="I3" s="618"/>
      <c r="J3" s="618"/>
      <c r="K3" s="637" t="s">
        <v>329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39"/>
      <c r="X3" s="116"/>
      <c r="Y3" s="61" t="s">
        <v>330</v>
      </c>
    </row>
    <row r="4" spans="1:29" ht="15.75" customHeight="1">
      <c r="A4" s="113"/>
      <c r="B4" s="618"/>
      <c r="C4" s="618"/>
      <c r="D4" s="618"/>
      <c r="E4" s="618"/>
      <c r="F4" s="618"/>
      <c r="G4" s="618"/>
      <c r="H4" s="618"/>
      <c r="I4" s="618"/>
      <c r="J4" s="618"/>
      <c r="K4" s="638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34"/>
      <c r="X4" s="117"/>
      <c r="Y4" s="61" t="s">
        <v>417</v>
      </c>
    </row>
    <row r="5" spans="1:29" ht="15.75" customHeight="1">
      <c r="A5" s="113"/>
      <c r="B5" s="618"/>
      <c r="C5" s="618"/>
      <c r="D5" s="618"/>
      <c r="E5" s="618"/>
      <c r="F5" s="618"/>
      <c r="G5" s="618"/>
      <c r="H5" s="618"/>
      <c r="I5" s="618"/>
      <c r="J5" s="618"/>
      <c r="K5" s="637" t="s">
        <v>418</v>
      </c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8"/>
      <c r="W5" s="640"/>
      <c r="X5" s="118"/>
    </row>
    <row r="6" spans="1:29" ht="15.75" customHeight="1">
      <c r="A6" s="113"/>
      <c r="B6" s="618"/>
      <c r="C6" s="618"/>
      <c r="D6" s="618"/>
      <c r="E6" s="618"/>
      <c r="F6" s="618"/>
      <c r="G6" s="618"/>
      <c r="H6" s="618"/>
      <c r="I6" s="618"/>
      <c r="J6" s="618"/>
      <c r="K6" s="638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34"/>
      <c r="X6" s="118"/>
    </row>
    <row r="7" spans="1:29" ht="15.75" customHeight="1">
      <c r="A7" s="113"/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1" t="s">
        <v>19</v>
      </c>
      <c r="T7" s="642"/>
      <c r="U7" s="643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1:29" ht="15.75" customHeight="1">
      <c r="A8" s="113"/>
      <c r="B8" s="69">
        <v>0</v>
      </c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1:29" ht="15.75" customHeight="1">
      <c r="A9" s="113"/>
      <c r="B9" s="73">
        <v>1</v>
      </c>
      <c r="C9" s="74">
        <v>2</v>
      </c>
      <c r="D9" s="74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25</v>
      </c>
      <c r="AA9" s="75">
        <v>25</v>
      </c>
      <c r="AB9" s="75">
        <v>25</v>
      </c>
    </row>
    <row r="10" spans="1:29" ht="13.8">
      <c r="A10" s="113"/>
      <c r="B10" s="76">
        <v>1</v>
      </c>
      <c r="C10" s="119">
        <v>2000024389</v>
      </c>
      <c r="D10" s="120">
        <v>3000042122</v>
      </c>
      <c r="E10" s="121" t="s">
        <v>419</v>
      </c>
      <c r="F10" s="122">
        <v>45050</v>
      </c>
      <c r="G10" s="123">
        <v>11000000</v>
      </c>
      <c r="H10" s="124" t="s">
        <v>106</v>
      </c>
      <c r="I10" s="125" t="s">
        <v>420</v>
      </c>
      <c r="J10" s="126" t="s">
        <v>421</v>
      </c>
      <c r="K10" s="126" t="s">
        <v>422</v>
      </c>
      <c r="L10" s="78" t="s">
        <v>423</v>
      </c>
      <c r="M10" s="127">
        <v>45051</v>
      </c>
      <c r="N10" s="128" t="s">
        <v>424</v>
      </c>
      <c r="O10" s="126" t="s">
        <v>425</v>
      </c>
      <c r="P10" s="129">
        <v>5300008882</v>
      </c>
      <c r="Q10" s="77" t="s">
        <v>426</v>
      </c>
      <c r="R10" s="101">
        <v>45051</v>
      </c>
      <c r="S10" s="130" t="s">
        <v>254</v>
      </c>
      <c r="T10" s="81" t="s">
        <v>344</v>
      </c>
      <c r="U10" s="81" t="s">
        <v>345</v>
      </c>
      <c r="V10" s="123">
        <v>9008300</v>
      </c>
      <c r="W10" s="26">
        <f t="shared" ref="W10:W38" si="0">V10+(V10*11%)</f>
        <v>9999213</v>
      </c>
      <c r="X10" s="131">
        <v>5000043130</v>
      </c>
      <c r="Y10" s="109" t="s">
        <v>347</v>
      </c>
      <c r="Z10" s="84"/>
      <c r="AA10" s="55" t="s">
        <v>396</v>
      </c>
      <c r="AB10" s="55" t="s">
        <v>357</v>
      </c>
    </row>
    <row r="11" spans="1:29" ht="13.8">
      <c r="A11" s="113"/>
      <c r="B11" s="85">
        <v>2</v>
      </c>
      <c r="C11" s="132">
        <v>2000023814</v>
      </c>
      <c r="D11" s="132">
        <v>3000023578</v>
      </c>
      <c r="E11" s="121" t="s">
        <v>427</v>
      </c>
      <c r="F11" s="133">
        <v>45048</v>
      </c>
      <c r="G11" s="134">
        <v>11040000</v>
      </c>
      <c r="H11" s="85" t="s">
        <v>31</v>
      </c>
      <c r="I11" s="121" t="s">
        <v>428</v>
      </c>
      <c r="J11" s="135" t="s">
        <v>421</v>
      </c>
      <c r="K11" s="135" t="s">
        <v>422</v>
      </c>
      <c r="L11" s="81" t="s">
        <v>429</v>
      </c>
      <c r="M11" s="127">
        <v>45049</v>
      </c>
      <c r="N11" s="136" t="s">
        <v>424</v>
      </c>
      <c r="O11" s="135" t="s">
        <v>425</v>
      </c>
      <c r="P11" s="132">
        <v>5300008563</v>
      </c>
      <c r="Q11" s="77" t="s">
        <v>430</v>
      </c>
      <c r="R11" s="101">
        <v>45049</v>
      </c>
      <c r="S11" s="137" t="s">
        <v>132</v>
      </c>
      <c r="T11" s="106" t="s">
        <v>133</v>
      </c>
      <c r="U11" s="16" t="s">
        <v>134</v>
      </c>
      <c r="V11" s="134">
        <v>11040000</v>
      </c>
      <c r="W11" s="26">
        <f t="shared" si="0"/>
        <v>12254400</v>
      </c>
      <c r="X11" s="131">
        <v>5000043252</v>
      </c>
      <c r="Y11" s="109" t="s">
        <v>347</v>
      </c>
      <c r="Z11" s="84" t="s">
        <v>347</v>
      </c>
      <c r="AA11" s="55" t="s">
        <v>348</v>
      </c>
      <c r="AB11" s="55" t="s">
        <v>349</v>
      </c>
    </row>
    <row r="12" spans="1:29" ht="13.8">
      <c r="A12" s="113"/>
      <c r="B12" s="76">
        <v>3</v>
      </c>
      <c r="C12" s="132">
        <v>2000023884</v>
      </c>
      <c r="D12" s="132">
        <v>3000023590</v>
      </c>
      <c r="E12" s="121" t="s">
        <v>431</v>
      </c>
      <c r="F12" s="122">
        <v>45049</v>
      </c>
      <c r="G12" s="138">
        <v>6940000</v>
      </c>
      <c r="H12" s="135" t="s">
        <v>31</v>
      </c>
      <c r="I12" s="121" t="s">
        <v>372</v>
      </c>
      <c r="J12" s="135" t="s">
        <v>421</v>
      </c>
      <c r="K12" s="135" t="s">
        <v>422</v>
      </c>
      <c r="L12" s="78" t="s">
        <v>423</v>
      </c>
      <c r="M12" s="127">
        <v>45051</v>
      </c>
      <c r="N12" s="136" t="s">
        <v>424</v>
      </c>
      <c r="O12" s="135" t="s">
        <v>425</v>
      </c>
      <c r="P12" s="132">
        <v>5300008574</v>
      </c>
      <c r="Q12" s="77" t="s">
        <v>432</v>
      </c>
      <c r="R12" s="101">
        <v>45051</v>
      </c>
      <c r="S12" s="130" t="s">
        <v>433</v>
      </c>
      <c r="T12" s="78"/>
      <c r="U12" s="78" t="s">
        <v>434</v>
      </c>
      <c r="V12" s="139">
        <v>6558862</v>
      </c>
      <c r="W12" s="26">
        <f t="shared" si="0"/>
        <v>7280336.8200000003</v>
      </c>
      <c r="X12" s="140">
        <v>5000044172</v>
      </c>
      <c r="Y12" s="109" t="s">
        <v>347</v>
      </c>
      <c r="Z12" s="84" t="s">
        <v>347</v>
      </c>
      <c r="AA12" s="55" t="s">
        <v>374</v>
      </c>
      <c r="AB12" s="55" t="s">
        <v>357</v>
      </c>
    </row>
    <row r="13" spans="1:29" ht="13.8">
      <c r="A13" s="113"/>
      <c r="B13" s="85">
        <v>4</v>
      </c>
      <c r="C13" s="132">
        <v>2000023832</v>
      </c>
      <c r="D13" s="132">
        <v>3000023574</v>
      </c>
      <c r="E13" s="121" t="s">
        <v>435</v>
      </c>
      <c r="F13" s="133">
        <v>45048</v>
      </c>
      <c r="G13" s="141">
        <v>63655000</v>
      </c>
      <c r="H13" s="85" t="s">
        <v>31</v>
      </c>
      <c r="I13" s="121" t="s">
        <v>436</v>
      </c>
      <c r="J13" s="135" t="s">
        <v>421</v>
      </c>
      <c r="K13" s="135" t="s">
        <v>422</v>
      </c>
      <c r="L13" s="136" t="s">
        <v>429</v>
      </c>
      <c r="M13" s="127">
        <v>45049</v>
      </c>
      <c r="N13" s="136" t="s">
        <v>424</v>
      </c>
      <c r="O13" s="135" t="s">
        <v>425</v>
      </c>
      <c r="P13" s="132">
        <v>5300008559</v>
      </c>
      <c r="Q13" s="77" t="s">
        <v>437</v>
      </c>
      <c r="R13" s="101">
        <v>45049</v>
      </c>
      <c r="S13" s="142" t="s">
        <v>132</v>
      </c>
      <c r="T13" s="56" t="s">
        <v>438</v>
      </c>
      <c r="U13" s="143" t="s">
        <v>134</v>
      </c>
      <c r="V13" s="138">
        <v>63655000</v>
      </c>
      <c r="W13" s="26">
        <f t="shared" si="0"/>
        <v>70657050</v>
      </c>
      <c r="X13" s="131">
        <v>5000043246</v>
      </c>
      <c r="Y13" s="109" t="s">
        <v>347</v>
      </c>
      <c r="Z13" s="84" t="s">
        <v>347</v>
      </c>
      <c r="AA13" s="55" t="s">
        <v>348</v>
      </c>
      <c r="AB13" s="55" t="s">
        <v>349</v>
      </c>
    </row>
    <row r="14" spans="1:29" ht="13.8">
      <c r="A14" s="113"/>
      <c r="B14" s="85">
        <v>6</v>
      </c>
      <c r="C14" s="132">
        <v>2000023813</v>
      </c>
      <c r="D14" s="132">
        <v>3000023577</v>
      </c>
      <c r="E14" s="121" t="s">
        <v>439</v>
      </c>
      <c r="F14" s="133">
        <v>45048</v>
      </c>
      <c r="G14" s="141">
        <v>56050000</v>
      </c>
      <c r="H14" s="146" t="s">
        <v>31</v>
      </c>
      <c r="I14" s="121" t="s">
        <v>440</v>
      </c>
      <c r="J14" s="135" t="s">
        <v>421</v>
      </c>
      <c r="K14" s="135" t="s">
        <v>422</v>
      </c>
      <c r="L14" s="136" t="s">
        <v>429</v>
      </c>
      <c r="M14" s="127">
        <v>45049</v>
      </c>
      <c r="N14" s="136" t="s">
        <v>424</v>
      </c>
      <c r="O14" s="135" t="s">
        <v>425</v>
      </c>
      <c r="P14" s="132">
        <v>5300008562</v>
      </c>
      <c r="Q14" s="77" t="s">
        <v>441</v>
      </c>
      <c r="R14" s="101">
        <v>45049</v>
      </c>
      <c r="S14" s="142" t="s">
        <v>132</v>
      </c>
      <c r="T14" s="147" t="s">
        <v>442</v>
      </c>
      <c r="U14" s="148" t="s">
        <v>134</v>
      </c>
      <c r="V14" s="138">
        <v>56050000</v>
      </c>
      <c r="W14" s="26">
        <f t="shared" si="0"/>
        <v>62215500</v>
      </c>
      <c r="X14" s="131">
        <v>5000043251</v>
      </c>
      <c r="Y14" s="109" t="s">
        <v>347</v>
      </c>
      <c r="Z14" s="84" t="s">
        <v>347</v>
      </c>
      <c r="AA14" s="55" t="s">
        <v>348</v>
      </c>
      <c r="AB14" s="55" t="s">
        <v>349</v>
      </c>
    </row>
    <row r="15" spans="1:29" ht="13.8">
      <c r="A15" s="113"/>
      <c r="B15" s="76">
        <v>7</v>
      </c>
      <c r="C15" s="119">
        <v>2000023880</v>
      </c>
      <c r="D15" s="119">
        <v>3000023584</v>
      </c>
      <c r="E15" s="121" t="s">
        <v>443</v>
      </c>
      <c r="F15" s="133">
        <v>45048</v>
      </c>
      <c r="G15" s="138">
        <v>22600000</v>
      </c>
      <c r="H15" s="55" t="s">
        <v>31</v>
      </c>
      <c r="I15" s="144" t="s">
        <v>444</v>
      </c>
      <c r="J15" s="135" t="s">
        <v>421</v>
      </c>
      <c r="K15" s="135" t="s">
        <v>422</v>
      </c>
      <c r="L15" s="77" t="s">
        <v>423</v>
      </c>
      <c r="M15" s="127">
        <v>45051</v>
      </c>
      <c r="N15" s="136" t="s">
        <v>424</v>
      </c>
      <c r="O15" s="135" t="s">
        <v>425</v>
      </c>
      <c r="P15" s="119">
        <v>5300008569</v>
      </c>
      <c r="Q15" s="77" t="s">
        <v>445</v>
      </c>
      <c r="R15" s="101">
        <v>45051</v>
      </c>
      <c r="S15" s="142" t="s">
        <v>109</v>
      </c>
      <c r="T15" s="149" t="s">
        <v>110</v>
      </c>
      <c r="U15" s="143" t="s">
        <v>111</v>
      </c>
      <c r="V15" s="139">
        <v>21200000</v>
      </c>
      <c r="W15" s="26">
        <f t="shared" si="0"/>
        <v>23532000</v>
      </c>
      <c r="X15" s="140">
        <v>5000042576</v>
      </c>
      <c r="Y15" s="109" t="s">
        <v>347</v>
      </c>
      <c r="Z15" s="150" t="s">
        <v>347</v>
      </c>
      <c r="AA15" s="55" t="s">
        <v>356</v>
      </c>
      <c r="AB15" s="55" t="s">
        <v>357</v>
      </c>
    </row>
    <row r="16" spans="1:29" ht="13.8">
      <c r="A16" s="113"/>
      <c r="B16" s="85">
        <v>8</v>
      </c>
      <c r="C16" s="119">
        <v>2000024005</v>
      </c>
      <c r="D16" s="119">
        <v>3000023723</v>
      </c>
      <c r="E16" s="121" t="s">
        <v>446</v>
      </c>
      <c r="F16" s="133">
        <v>45048</v>
      </c>
      <c r="G16" s="138">
        <v>2300000</v>
      </c>
      <c r="H16" s="55" t="s">
        <v>31</v>
      </c>
      <c r="I16" s="144" t="s">
        <v>447</v>
      </c>
      <c r="J16" s="135" t="s">
        <v>421</v>
      </c>
      <c r="K16" s="135" t="s">
        <v>422</v>
      </c>
      <c r="L16" s="56" t="s">
        <v>448</v>
      </c>
      <c r="M16" s="127">
        <v>45049</v>
      </c>
      <c r="N16" s="136" t="s">
        <v>424</v>
      </c>
      <c r="O16" s="135" t="s">
        <v>425</v>
      </c>
      <c r="P16" s="119">
        <v>5300008649</v>
      </c>
      <c r="Q16" s="77" t="s">
        <v>449</v>
      </c>
      <c r="R16" s="101">
        <v>45049</v>
      </c>
      <c r="S16" s="142" t="s">
        <v>39</v>
      </c>
      <c r="T16" s="149" t="s">
        <v>40</v>
      </c>
      <c r="U16" s="143" t="s">
        <v>41</v>
      </c>
      <c r="V16" s="139">
        <v>2300000</v>
      </c>
      <c r="W16" s="26">
        <f t="shared" si="0"/>
        <v>2553000</v>
      </c>
      <c r="X16" s="140">
        <v>5000042575</v>
      </c>
      <c r="Y16" s="109" t="s">
        <v>347</v>
      </c>
      <c r="Z16" s="84" t="s">
        <v>347</v>
      </c>
      <c r="AA16" s="55" t="s">
        <v>379</v>
      </c>
      <c r="AB16" s="55" t="s">
        <v>357</v>
      </c>
    </row>
    <row r="17" spans="1:28" ht="13.8">
      <c r="A17" s="113"/>
      <c r="B17" s="76">
        <v>9</v>
      </c>
      <c r="C17" s="119">
        <v>2000024391</v>
      </c>
      <c r="D17" s="132">
        <v>3000024124</v>
      </c>
      <c r="E17" s="121" t="s">
        <v>450</v>
      </c>
      <c r="F17" s="122">
        <v>45050</v>
      </c>
      <c r="G17" s="138">
        <v>11000000</v>
      </c>
      <c r="H17" s="151" t="s">
        <v>106</v>
      </c>
      <c r="I17" s="152" t="s">
        <v>451</v>
      </c>
      <c r="J17" s="135" t="s">
        <v>421</v>
      </c>
      <c r="K17" s="135" t="s">
        <v>422</v>
      </c>
      <c r="L17" s="77" t="s">
        <v>423</v>
      </c>
      <c r="M17" s="127">
        <v>45051</v>
      </c>
      <c r="N17" s="136" t="s">
        <v>424</v>
      </c>
      <c r="O17" s="135" t="s">
        <v>425</v>
      </c>
      <c r="P17" s="132">
        <v>5300008883</v>
      </c>
      <c r="Q17" s="77" t="s">
        <v>452</v>
      </c>
      <c r="R17" s="101">
        <v>45051</v>
      </c>
      <c r="S17" s="145" t="s">
        <v>254</v>
      </c>
      <c r="T17" s="136" t="s">
        <v>344</v>
      </c>
      <c r="U17" s="136" t="s">
        <v>345</v>
      </c>
      <c r="V17" s="138">
        <v>9008300</v>
      </c>
      <c r="W17" s="26">
        <f t="shared" si="0"/>
        <v>9999213</v>
      </c>
      <c r="X17" s="131">
        <v>5000043133</v>
      </c>
      <c r="Y17" s="109" t="s">
        <v>347</v>
      </c>
      <c r="Z17" s="84" t="s">
        <v>347</v>
      </c>
      <c r="AA17" s="55" t="s">
        <v>348</v>
      </c>
      <c r="AB17" s="55" t="s">
        <v>349</v>
      </c>
    </row>
    <row r="18" spans="1:28" ht="13.8">
      <c r="A18" s="113"/>
      <c r="B18" s="76">
        <v>11</v>
      </c>
      <c r="C18" s="132">
        <v>2000024443</v>
      </c>
      <c r="D18" s="132">
        <v>3000024195</v>
      </c>
      <c r="E18" s="121" t="s">
        <v>454</v>
      </c>
      <c r="F18" s="122">
        <v>45050</v>
      </c>
      <c r="G18" s="141">
        <v>70250000</v>
      </c>
      <c r="H18" s="135" t="s">
        <v>31</v>
      </c>
      <c r="I18" s="153" t="s">
        <v>455</v>
      </c>
      <c r="J18" s="135" t="s">
        <v>421</v>
      </c>
      <c r="K18" s="135" t="s">
        <v>422</v>
      </c>
      <c r="L18" s="77" t="s">
        <v>423</v>
      </c>
      <c r="M18" s="127">
        <v>45051</v>
      </c>
      <c r="N18" s="136" t="s">
        <v>424</v>
      </c>
      <c r="O18" s="135" t="s">
        <v>425</v>
      </c>
      <c r="P18" s="132">
        <v>5300008927</v>
      </c>
      <c r="Q18" s="77" t="s">
        <v>456</v>
      </c>
      <c r="R18" s="101">
        <v>45051</v>
      </c>
      <c r="S18" s="130" t="s">
        <v>322</v>
      </c>
      <c r="T18" s="78" t="s">
        <v>323</v>
      </c>
      <c r="U18" s="78" t="s">
        <v>324</v>
      </c>
      <c r="V18" s="139">
        <v>62791200</v>
      </c>
      <c r="W18" s="26">
        <f t="shared" si="0"/>
        <v>69698232</v>
      </c>
      <c r="X18" s="131">
        <v>5000043216</v>
      </c>
      <c r="Y18" s="109" t="s">
        <v>347</v>
      </c>
      <c r="Z18" s="84" t="s">
        <v>347</v>
      </c>
      <c r="AA18" s="55" t="s">
        <v>356</v>
      </c>
      <c r="AB18" s="55" t="s">
        <v>349</v>
      </c>
    </row>
    <row r="19" spans="1:28" ht="13.8">
      <c r="A19" s="113"/>
      <c r="B19" s="76">
        <v>15</v>
      </c>
      <c r="C19" s="119">
        <v>2000023883</v>
      </c>
      <c r="D19" s="119">
        <v>3000023588</v>
      </c>
      <c r="E19" s="121" t="s">
        <v>458</v>
      </c>
      <c r="F19" s="133">
        <v>45048</v>
      </c>
      <c r="G19" s="138">
        <v>6800000</v>
      </c>
      <c r="H19" s="55" t="s">
        <v>31</v>
      </c>
      <c r="I19" s="155" t="s">
        <v>459</v>
      </c>
      <c r="J19" s="135" t="s">
        <v>421</v>
      </c>
      <c r="K19" s="135" t="s">
        <v>422</v>
      </c>
      <c r="L19" s="77" t="s">
        <v>423</v>
      </c>
      <c r="M19" s="127">
        <v>45051</v>
      </c>
      <c r="N19" s="136" t="s">
        <v>424</v>
      </c>
      <c r="O19" s="135" t="s">
        <v>425</v>
      </c>
      <c r="P19" s="119">
        <v>5300008572</v>
      </c>
      <c r="Q19" s="77" t="s">
        <v>452</v>
      </c>
      <c r="R19" s="101">
        <v>45051</v>
      </c>
      <c r="S19" s="105" t="s">
        <v>183</v>
      </c>
      <c r="T19" s="56" t="s">
        <v>460</v>
      </c>
      <c r="U19" s="144" t="s">
        <v>461</v>
      </c>
      <c r="V19" s="139">
        <v>6240000</v>
      </c>
      <c r="W19" s="26">
        <f t="shared" si="0"/>
        <v>6926400</v>
      </c>
      <c r="X19" s="140">
        <v>5000043205</v>
      </c>
      <c r="Y19" s="109" t="s">
        <v>347</v>
      </c>
      <c r="Z19" s="84" t="s">
        <v>347</v>
      </c>
      <c r="AA19" s="55" t="s">
        <v>348</v>
      </c>
      <c r="AB19" s="55" t="s">
        <v>349</v>
      </c>
    </row>
    <row r="20" spans="1:28" ht="13.8">
      <c r="A20" s="113"/>
      <c r="B20" s="76">
        <v>17</v>
      </c>
      <c r="C20" s="119">
        <v>2000024462</v>
      </c>
      <c r="D20" s="119">
        <v>3000024214</v>
      </c>
      <c r="E20" s="121" t="s">
        <v>462</v>
      </c>
      <c r="F20" s="133">
        <v>45056</v>
      </c>
      <c r="G20" s="139">
        <v>5700000</v>
      </c>
      <c r="H20" s="55" t="s">
        <v>31</v>
      </c>
      <c r="I20" s="144" t="s">
        <v>463</v>
      </c>
      <c r="J20" s="135" t="s">
        <v>421</v>
      </c>
      <c r="K20" s="135" t="s">
        <v>422</v>
      </c>
      <c r="L20" s="144" t="s">
        <v>423</v>
      </c>
      <c r="M20" s="127">
        <v>45057</v>
      </c>
      <c r="N20" s="136" t="s">
        <v>424</v>
      </c>
      <c r="O20" s="135" t="s">
        <v>425</v>
      </c>
      <c r="P20" s="119">
        <v>5300008938</v>
      </c>
      <c r="Q20" s="77" t="s">
        <v>464</v>
      </c>
      <c r="R20" s="101">
        <v>45057</v>
      </c>
      <c r="S20" s="130" t="s">
        <v>177</v>
      </c>
      <c r="T20" s="81" t="s">
        <v>40</v>
      </c>
      <c r="U20" s="81" t="s">
        <v>317</v>
      </c>
      <c r="V20" s="139">
        <v>5000000</v>
      </c>
      <c r="W20" s="26">
        <f t="shared" si="0"/>
        <v>5550000</v>
      </c>
      <c r="X20" s="140">
        <v>5000043236</v>
      </c>
      <c r="Y20" s="109" t="s">
        <v>347</v>
      </c>
      <c r="Z20" s="84" t="s">
        <v>347</v>
      </c>
      <c r="AA20" s="55" t="s">
        <v>374</v>
      </c>
      <c r="AB20" s="55" t="s">
        <v>357</v>
      </c>
    </row>
    <row r="21" spans="1:28" ht="13.8">
      <c r="A21" s="113"/>
      <c r="B21" s="85">
        <v>18</v>
      </c>
      <c r="C21" s="119">
        <v>2000024002</v>
      </c>
      <c r="D21" s="119">
        <v>3000023718</v>
      </c>
      <c r="E21" s="121" t="s">
        <v>465</v>
      </c>
      <c r="F21" s="133">
        <v>45048</v>
      </c>
      <c r="G21" s="138">
        <v>11795000</v>
      </c>
      <c r="H21" s="55" t="s">
        <v>31</v>
      </c>
      <c r="I21" s="155" t="s">
        <v>466</v>
      </c>
      <c r="J21" s="135" t="s">
        <v>421</v>
      </c>
      <c r="K21" s="135" t="s">
        <v>422</v>
      </c>
      <c r="L21" s="77" t="s">
        <v>457</v>
      </c>
      <c r="M21" s="127">
        <v>45049</v>
      </c>
      <c r="N21" s="136" t="s">
        <v>424</v>
      </c>
      <c r="O21" s="135" t="s">
        <v>425</v>
      </c>
      <c r="P21" s="119">
        <v>5300008645</v>
      </c>
      <c r="Q21" s="77" t="s">
        <v>467</v>
      </c>
      <c r="R21" s="101">
        <v>45049</v>
      </c>
      <c r="S21" s="137" t="s">
        <v>39</v>
      </c>
      <c r="T21" s="104" t="s">
        <v>40</v>
      </c>
      <c r="U21" s="16" t="s">
        <v>41</v>
      </c>
      <c r="V21" s="139">
        <v>11795000</v>
      </c>
      <c r="W21" s="26">
        <f t="shared" si="0"/>
        <v>13092450</v>
      </c>
      <c r="X21" s="140">
        <v>5000042572</v>
      </c>
      <c r="Y21" s="109" t="s">
        <v>347</v>
      </c>
      <c r="Z21" s="84" t="s">
        <v>347</v>
      </c>
      <c r="AA21" s="55" t="s">
        <v>348</v>
      </c>
      <c r="AB21" s="55" t="s">
        <v>349</v>
      </c>
    </row>
    <row r="22" spans="1:28" ht="13.8">
      <c r="A22" s="113"/>
      <c r="B22" s="76">
        <v>19</v>
      </c>
      <c r="C22" s="119">
        <v>2000025466</v>
      </c>
      <c r="D22" s="119">
        <v>3000025319</v>
      </c>
      <c r="E22" s="121" t="s">
        <v>468</v>
      </c>
      <c r="F22" s="133">
        <v>45061</v>
      </c>
      <c r="G22" s="139">
        <v>11350000</v>
      </c>
      <c r="H22" s="55" t="s">
        <v>31</v>
      </c>
      <c r="I22" s="144" t="s">
        <v>469</v>
      </c>
      <c r="J22" s="135" t="s">
        <v>421</v>
      </c>
      <c r="K22" s="135" t="s">
        <v>422</v>
      </c>
      <c r="L22" s="144" t="s">
        <v>423</v>
      </c>
      <c r="M22" s="127">
        <v>45061</v>
      </c>
      <c r="N22" s="136" t="s">
        <v>424</v>
      </c>
      <c r="O22" s="135" t="s">
        <v>425</v>
      </c>
      <c r="P22" s="119">
        <v>5300009538</v>
      </c>
      <c r="Q22" s="77" t="s">
        <v>470</v>
      </c>
      <c r="R22" s="101">
        <v>45063</v>
      </c>
      <c r="S22" s="145" t="s">
        <v>177</v>
      </c>
      <c r="T22" s="136" t="s">
        <v>40</v>
      </c>
      <c r="U22" s="136" t="s">
        <v>317</v>
      </c>
      <c r="V22" s="139">
        <v>9780000</v>
      </c>
      <c r="W22" s="26">
        <f t="shared" si="0"/>
        <v>10855800</v>
      </c>
      <c r="X22" s="140">
        <v>5000044667</v>
      </c>
      <c r="Y22" s="109" t="s">
        <v>347</v>
      </c>
      <c r="Z22" s="84" t="s">
        <v>347</v>
      </c>
      <c r="AA22" s="55" t="s">
        <v>379</v>
      </c>
      <c r="AB22" s="55" t="s">
        <v>357</v>
      </c>
    </row>
    <row r="23" spans="1:28" ht="13.8">
      <c r="A23" s="113"/>
      <c r="B23" s="85">
        <v>20</v>
      </c>
      <c r="C23" s="119">
        <v>2000024004</v>
      </c>
      <c r="D23" s="119">
        <v>3000023721</v>
      </c>
      <c r="E23" s="121" t="s">
        <v>471</v>
      </c>
      <c r="F23" s="156">
        <v>45048</v>
      </c>
      <c r="G23" s="138">
        <v>14910500</v>
      </c>
      <c r="H23" s="55" t="s">
        <v>31</v>
      </c>
      <c r="I23" s="157" t="s">
        <v>472</v>
      </c>
      <c r="J23" s="135" t="s">
        <v>421</v>
      </c>
      <c r="K23" s="135" t="s">
        <v>422</v>
      </c>
      <c r="L23" s="77" t="s">
        <v>457</v>
      </c>
      <c r="M23" s="127">
        <v>45049</v>
      </c>
      <c r="N23" s="136" t="s">
        <v>424</v>
      </c>
      <c r="O23" s="135" t="s">
        <v>425</v>
      </c>
      <c r="P23" s="158">
        <v>5300008647</v>
      </c>
      <c r="Q23" s="77" t="s">
        <v>473</v>
      </c>
      <c r="R23" s="159">
        <v>45049</v>
      </c>
      <c r="S23" s="142" t="s">
        <v>39</v>
      </c>
      <c r="T23" s="149" t="s">
        <v>40</v>
      </c>
      <c r="U23" s="143" t="s">
        <v>41</v>
      </c>
      <c r="V23" s="139">
        <v>14910500</v>
      </c>
      <c r="W23" s="26">
        <f t="shared" si="0"/>
        <v>16550655</v>
      </c>
      <c r="X23" s="140">
        <v>5000042574</v>
      </c>
      <c r="Y23" s="109" t="s">
        <v>347</v>
      </c>
      <c r="Z23" s="84" t="s">
        <v>347</v>
      </c>
      <c r="AA23" s="55" t="s">
        <v>348</v>
      </c>
      <c r="AB23" s="55" t="s">
        <v>349</v>
      </c>
    </row>
    <row r="24" spans="1:28" ht="13.8">
      <c r="A24" s="113"/>
      <c r="B24" s="76">
        <v>21</v>
      </c>
      <c r="C24" s="119">
        <v>2000025491</v>
      </c>
      <c r="D24" s="119">
        <v>3000025340</v>
      </c>
      <c r="E24" s="121" t="s">
        <v>474</v>
      </c>
      <c r="F24" s="133">
        <v>45061</v>
      </c>
      <c r="G24" s="139">
        <v>11700000</v>
      </c>
      <c r="H24" s="55" t="s">
        <v>31</v>
      </c>
      <c r="I24" s="144" t="s">
        <v>475</v>
      </c>
      <c r="J24" s="135" t="s">
        <v>421</v>
      </c>
      <c r="K24" s="135" t="s">
        <v>422</v>
      </c>
      <c r="L24" s="144" t="s">
        <v>423</v>
      </c>
      <c r="M24" s="127">
        <v>45061</v>
      </c>
      <c r="N24" s="136" t="s">
        <v>424</v>
      </c>
      <c r="O24" s="135" t="s">
        <v>425</v>
      </c>
      <c r="P24" s="119">
        <v>5300009546</v>
      </c>
      <c r="Q24" s="77" t="s">
        <v>476</v>
      </c>
      <c r="R24" s="101">
        <v>45063</v>
      </c>
      <c r="S24" s="130" t="s">
        <v>177</v>
      </c>
      <c r="T24" s="81" t="s">
        <v>40</v>
      </c>
      <c r="U24" s="81" t="s">
        <v>317</v>
      </c>
      <c r="V24" s="139">
        <v>10620000</v>
      </c>
      <c r="W24" s="26">
        <f t="shared" si="0"/>
        <v>11788200</v>
      </c>
      <c r="X24" s="140">
        <v>5000044672</v>
      </c>
      <c r="Y24" s="109" t="s">
        <v>347</v>
      </c>
      <c r="Z24" s="84" t="s">
        <v>347</v>
      </c>
      <c r="AA24" s="55" t="s">
        <v>374</v>
      </c>
      <c r="AB24" s="55" t="s">
        <v>357</v>
      </c>
    </row>
    <row r="25" spans="1:28" ht="13.8">
      <c r="A25" s="113"/>
      <c r="B25" s="85">
        <v>22</v>
      </c>
      <c r="C25" s="119">
        <v>2000025012</v>
      </c>
      <c r="D25" s="119">
        <v>3000024824</v>
      </c>
      <c r="E25" s="121" t="s">
        <v>462</v>
      </c>
      <c r="F25" s="133">
        <v>45061</v>
      </c>
      <c r="G25" s="139">
        <v>12630000</v>
      </c>
      <c r="H25" s="55" t="s">
        <v>31</v>
      </c>
      <c r="I25" s="144" t="s">
        <v>477</v>
      </c>
      <c r="J25" s="135" t="s">
        <v>421</v>
      </c>
      <c r="K25" s="135" t="s">
        <v>422</v>
      </c>
      <c r="L25" s="144" t="s">
        <v>423</v>
      </c>
      <c r="M25" s="127">
        <v>45061</v>
      </c>
      <c r="N25" s="136" t="s">
        <v>424</v>
      </c>
      <c r="O25" s="135" t="s">
        <v>425</v>
      </c>
      <c r="P25" s="119">
        <v>5300009238</v>
      </c>
      <c r="Q25" s="77" t="s">
        <v>478</v>
      </c>
      <c r="R25" s="101">
        <v>45063</v>
      </c>
      <c r="S25" s="130" t="s">
        <v>177</v>
      </c>
      <c r="T25" s="81" t="s">
        <v>40</v>
      </c>
      <c r="U25" s="81" t="s">
        <v>317</v>
      </c>
      <c r="V25" s="139">
        <v>11400000</v>
      </c>
      <c r="W25" s="26">
        <f t="shared" si="0"/>
        <v>12654000</v>
      </c>
      <c r="X25" s="140">
        <v>5000044130</v>
      </c>
      <c r="Y25" s="109" t="s">
        <v>347</v>
      </c>
      <c r="Z25" s="84" t="s">
        <v>347</v>
      </c>
      <c r="AA25" s="55" t="s">
        <v>396</v>
      </c>
      <c r="AB25" s="55" t="s">
        <v>357</v>
      </c>
    </row>
    <row r="26" spans="1:28" ht="13.8">
      <c r="A26" s="113"/>
      <c r="B26" s="76">
        <v>25</v>
      </c>
      <c r="C26" s="119">
        <v>2000025005</v>
      </c>
      <c r="D26" s="119">
        <v>3000024814</v>
      </c>
      <c r="E26" s="121" t="s">
        <v>480</v>
      </c>
      <c r="F26" s="133">
        <v>45062</v>
      </c>
      <c r="G26" s="139">
        <v>6000000</v>
      </c>
      <c r="H26" s="55" t="s">
        <v>31</v>
      </c>
      <c r="I26" s="144" t="s">
        <v>481</v>
      </c>
      <c r="J26" s="135" t="s">
        <v>421</v>
      </c>
      <c r="K26" s="135" t="s">
        <v>422</v>
      </c>
      <c r="L26" s="144" t="s">
        <v>423</v>
      </c>
      <c r="M26" s="127">
        <v>45062</v>
      </c>
      <c r="N26" s="136" t="s">
        <v>424</v>
      </c>
      <c r="O26" s="135" t="s">
        <v>425</v>
      </c>
      <c r="P26" s="119">
        <v>52000013757</v>
      </c>
      <c r="Q26" s="77" t="s">
        <v>482</v>
      </c>
      <c r="R26" s="101">
        <v>45063</v>
      </c>
      <c r="S26" s="145" t="s">
        <v>109</v>
      </c>
      <c r="T26" s="149" t="s">
        <v>110</v>
      </c>
      <c r="U26" s="143" t="s">
        <v>111</v>
      </c>
      <c r="V26" s="139">
        <v>5200000</v>
      </c>
      <c r="W26" s="26">
        <f t="shared" si="0"/>
        <v>5772000</v>
      </c>
      <c r="X26" s="160">
        <v>5000044109</v>
      </c>
      <c r="Y26" s="109" t="s">
        <v>347</v>
      </c>
      <c r="Z26" s="84" t="s">
        <v>347</v>
      </c>
      <c r="AA26" s="55" t="s">
        <v>379</v>
      </c>
      <c r="AB26" s="55" t="s">
        <v>357</v>
      </c>
    </row>
    <row r="27" spans="1:28" ht="13.8">
      <c r="A27" s="113"/>
      <c r="B27" s="85">
        <v>26</v>
      </c>
      <c r="C27" s="119">
        <v>2000024465</v>
      </c>
      <c r="D27" s="119">
        <v>3000024220</v>
      </c>
      <c r="E27" s="121" t="s">
        <v>483</v>
      </c>
      <c r="F27" s="133">
        <v>45054</v>
      </c>
      <c r="G27" s="138">
        <v>44310000</v>
      </c>
      <c r="H27" s="55" t="s">
        <v>31</v>
      </c>
      <c r="I27" s="155" t="s">
        <v>484</v>
      </c>
      <c r="J27" s="135" t="s">
        <v>421</v>
      </c>
      <c r="K27" s="135" t="s">
        <v>422</v>
      </c>
      <c r="L27" s="77" t="s">
        <v>423</v>
      </c>
      <c r="M27" s="127">
        <v>45054</v>
      </c>
      <c r="N27" s="136" t="s">
        <v>424</v>
      </c>
      <c r="O27" s="135" t="s">
        <v>425</v>
      </c>
      <c r="P27" s="119">
        <v>5300008942</v>
      </c>
      <c r="Q27" s="77" t="s">
        <v>485</v>
      </c>
      <c r="R27" s="101">
        <v>45055</v>
      </c>
      <c r="S27" s="142" t="s">
        <v>254</v>
      </c>
      <c r="T27" s="136" t="s">
        <v>344</v>
      </c>
      <c r="U27" s="136" t="s">
        <v>345</v>
      </c>
      <c r="V27" s="139">
        <v>37663500</v>
      </c>
      <c r="W27" s="26">
        <f t="shared" si="0"/>
        <v>41806485</v>
      </c>
      <c r="X27" s="140">
        <v>5000043240</v>
      </c>
      <c r="Y27" s="109" t="s">
        <v>347</v>
      </c>
      <c r="Z27" s="84" t="s">
        <v>347</v>
      </c>
      <c r="AA27" s="55" t="s">
        <v>348</v>
      </c>
      <c r="AB27" s="55" t="s">
        <v>349</v>
      </c>
    </row>
    <row r="28" spans="1:28" ht="13.8">
      <c r="A28" s="113"/>
      <c r="B28" s="76">
        <v>27</v>
      </c>
      <c r="C28" s="119">
        <v>2000024890</v>
      </c>
      <c r="D28" s="119">
        <v>3000024717</v>
      </c>
      <c r="E28" s="121" t="s">
        <v>486</v>
      </c>
      <c r="F28" s="161">
        <v>45076</v>
      </c>
      <c r="G28" s="139">
        <v>10550000</v>
      </c>
      <c r="H28" s="162" t="s">
        <v>31</v>
      </c>
      <c r="I28" s="142" t="s">
        <v>487</v>
      </c>
      <c r="J28" s="135" t="s">
        <v>421</v>
      </c>
      <c r="K28" s="135" t="s">
        <v>422</v>
      </c>
      <c r="L28" s="77" t="s">
        <v>457</v>
      </c>
      <c r="M28" s="163">
        <v>45077</v>
      </c>
      <c r="N28" s="136" t="s">
        <v>424</v>
      </c>
      <c r="O28" s="135" t="s">
        <v>425</v>
      </c>
      <c r="P28" s="119">
        <v>5300009182</v>
      </c>
      <c r="Q28" s="77" t="s">
        <v>488</v>
      </c>
      <c r="R28" s="164">
        <v>45077</v>
      </c>
      <c r="S28" s="145" t="s">
        <v>378</v>
      </c>
      <c r="T28" s="56" t="s">
        <v>314</v>
      </c>
      <c r="U28" s="56" t="s">
        <v>315</v>
      </c>
      <c r="V28" s="139">
        <v>9284000</v>
      </c>
      <c r="W28" s="26">
        <f t="shared" si="0"/>
        <v>10305240</v>
      </c>
      <c r="X28" s="160">
        <v>5000044477</v>
      </c>
      <c r="Y28" s="165" t="s">
        <v>347</v>
      </c>
      <c r="Z28" s="150" t="s">
        <v>347</v>
      </c>
      <c r="AA28" s="162" t="s">
        <v>348</v>
      </c>
      <c r="AB28" s="162" t="s">
        <v>349</v>
      </c>
    </row>
    <row r="29" spans="1:28" ht="13.8">
      <c r="A29" s="113"/>
      <c r="B29" s="85">
        <v>28</v>
      </c>
      <c r="C29" s="119">
        <v>2000025006</v>
      </c>
      <c r="D29" s="119">
        <v>3000024817</v>
      </c>
      <c r="E29" s="144" t="s">
        <v>489</v>
      </c>
      <c r="F29" s="133">
        <v>45075</v>
      </c>
      <c r="G29" s="166">
        <v>3700000</v>
      </c>
      <c r="H29" s="55" t="s">
        <v>31</v>
      </c>
      <c r="I29" s="144" t="s">
        <v>490</v>
      </c>
      <c r="J29" s="55" t="s">
        <v>421</v>
      </c>
      <c r="K29" s="55" t="s">
        <v>422</v>
      </c>
      <c r="L29" s="144" t="s">
        <v>457</v>
      </c>
      <c r="M29" s="167">
        <v>45076</v>
      </c>
      <c r="N29" s="144" t="s">
        <v>424</v>
      </c>
      <c r="O29" s="55" t="s">
        <v>491</v>
      </c>
      <c r="P29" s="119">
        <v>5300009234</v>
      </c>
      <c r="Q29" s="144" t="s">
        <v>492</v>
      </c>
      <c r="R29" s="101">
        <v>45076</v>
      </c>
      <c r="S29" s="142" t="s">
        <v>39</v>
      </c>
      <c r="T29" s="149" t="s">
        <v>40</v>
      </c>
      <c r="U29" s="143" t="s">
        <v>41</v>
      </c>
      <c r="V29" s="166">
        <v>3700000</v>
      </c>
      <c r="W29" s="26">
        <f t="shared" si="0"/>
        <v>4107000</v>
      </c>
      <c r="X29" s="131">
        <v>5000044111</v>
      </c>
      <c r="Y29" s="109" t="s">
        <v>347</v>
      </c>
      <c r="Z29" s="84" t="s">
        <v>347</v>
      </c>
      <c r="AA29" s="55" t="s">
        <v>379</v>
      </c>
      <c r="AB29" s="55" t="s">
        <v>357</v>
      </c>
    </row>
    <row r="30" spans="1:28" ht="13.8">
      <c r="A30" s="113"/>
      <c r="B30" s="85">
        <v>30</v>
      </c>
      <c r="C30" s="119">
        <v>2000024451</v>
      </c>
      <c r="D30" s="119">
        <v>3000024211</v>
      </c>
      <c r="E30" s="121" t="s">
        <v>495</v>
      </c>
      <c r="F30" s="133">
        <v>45056</v>
      </c>
      <c r="G30" s="139">
        <v>35913500</v>
      </c>
      <c r="H30" s="55" t="s">
        <v>31</v>
      </c>
      <c r="I30" s="168" t="s">
        <v>496</v>
      </c>
      <c r="J30" s="135" t="s">
        <v>421</v>
      </c>
      <c r="K30" s="135" t="s">
        <v>422</v>
      </c>
      <c r="L30" s="77" t="s">
        <v>423</v>
      </c>
      <c r="M30" s="127">
        <v>45057</v>
      </c>
      <c r="N30" s="136" t="s">
        <v>424</v>
      </c>
      <c r="O30" s="135" t="s">
        <v>425</v>
      </c>
      <c r="P30" s="119">
        <v>5300008937</v>
      </c>
      <c r="Q30" s="77" t="s">
        <v>497</v>
      </c>
      <c r="R30" s="101">
        <v>45058</v>
      </c>
      <c r="S30" s="145" t="s">
        <v>177</v>
      </c>
      <c r="T30" s="81" t="s">
        <v>40</v>
      </c>
      <c r="U30" s="81" t="s">
        <v>317</v>
      </c>
      <c r="V30" s="139">
        <v>31005000</v>
      </c>
      <c r="W30" s="26">
        <f t="shared" si="0"/>
        <v>34415550</v>
      </c>
      <c r="X30" s="140">
        <v>5000043232</v>
      </c>
      <c r="Y30" s="109" t="s">
        <v>347</v>
      </c>
      <c r="Z30" s="84" t="s">
        <v>347</v>
      </c>
      <c r="AA30" s="55" t="s">
        <v>356</v>
      </c>
      <c r="AB30" s="55" t="s">
        <v>349</v>
      </c>
    </row>
    <row r="31" spans="1:28" ht="13.8">
      <c r="A31" s="113"/>
      <c r="B31" s="76">
        <v>31</v>
      </c>
      <c r="C31" s="119">
        <v>2000026294</v>
      </c>
      <c r="D31" s="119">
        <v>3000026069</v>
      </c>
      <c r="E31" s="121" t="s">
        <v>495</v>
      </c>
      <c r="F31" s="154">
        <v>45057</v>
      </c>
      <c r="G31" s="141">
        <v>72810000</v>
      </c>
      <c r="H31" s="55" t="s">
        <v>31</v>
      </c>
      <c r="I31" s="155" t="s">
        <v>498</v>
      </c>
      <c r="J31" s="135" t="s">
        <v>421</v>
      </c>
      <c r="K31" s="135" t="s">
        <v>422</v>
      </c>
      <c r="L31" s="144" t="s">
        <v>423</v>
      </c>
      <c r="M31" s="127">
        <v>45057</v>
      </c>
      <c r="N31" s="136" t="s">
        <v>424</v>
      </c>
      <c r="O31" s="135" t="s">
        <v>425</v>
      </c>
      <c r="P31" s="119">
        <v>5300010006</v>
      </c>
      <c r="Q31" s="77" t="s">
        <v>499</v>
      </c>
      <c r="R31" s="101">
        <v>45058</v>
      </c>
      <c r="S31" s="142" t="s">
        <v>143</v>
      </c>
      <c r="T31" s="106" t="s">
        <v>144</v>
      </c>
      <c r="U31" s="11" t="s">
        <v>145</v>
      </c>
      <c r="V31" s="139">
        <v>57426500</v>
      </c>
      <c r="W31" s="26">
        <f t="shared" si="0"/>
        <v>63743415</v>
      </c>
      <c r="X31" s="140">
        <v>5000045581</v>
      </c>
      <c r="Y31" s="109" t="s">
        <v>347</v>
      </c>
      <c r="Z31" s="84" t="s">
        <v>347</v>
      </c>
      <c r="AA31" s="55" t="s">
        <v>348</v>
      </c>
      <c r="AB31" s="55" t="s">
        <v>349</v>
      </c>
    </row>
    <row r="32" spans="1:28" ht="13.8">
      <c r="A32" s="113"/>
      <c r="B32" s="76">
        <v>35</v>
      </c>
      <c r="C32" s="119">
        <v>2000024540</v>
      </c>
      <c r="D32" s="119">
        <v>3000024589</v>
      </c>
      <c r="E32" s="121" t="s">
        <v>503</v>
      </c>
      <c r="F32" s="133">
        <v>45036</v>
      </c>
      <c r="G32" s="139">
        <v>660115500</v>
      </c>
      <c r="H32" s="162" t="s">
        <v>31</v>
      </c>
      <c r="I32" s="155" t="s">
        <v>504</v>
      </c>
      <c r="J32" s="135" t="s">
        <v>421</v>
      </c>
      <c r="K32" s="135" t="s">
        <v>505</v>
      </c>
      <c r="L32" s="144" t="s">
        <v>457</v>
      </c>
      <c r="M32" s="127">
        <v>45037</v>
      </c>
      <c r="N32" s="136" t="s">
        <v>506</v>
      </c>
      <c r="O32" s="135" t="s">
        <v>425</v>
      </c>
      <c r="P32" s="119">
        <v>5300008569</v>
      </c>
      <c r="Q32" s="77" t="s">
        <v>507</v>
      </c>
      <c r="R32" s="101">
        <v>45050</v>
      </c>
      <c r="S32" s="145" t="s">
        <v>508</v>
      </c>
      <c r="T32" s="104" t="s">
        <v>509</v>
      </c>
      <c r="U32" s="16" t="s">
        <v>510</v>
      </c>
      <c r="V32" s="139">
        <v>694527000</v>
      </c>
      <c r="W32" s="26">
        <f t="shared" si="0"/>
        <v>770924970</v>
      </c>
      <c r="X32" s="160">
        <v>5000043942</v>
      </c>
      <c r="Y32" s="109" t="s">
        <v>511</v>
      </c>
      <c r="Z32" s="84" t="s">
        <v>347</v>
      </c>
      <c r="AA32" s="55" t="s">
        <v>348</v>
      </c>
      <c r="AB32" s="55" t="s">
        <v>349</v>
      </c>
    </row>
    <row r="33" spans="1:28" ht="13.8">
      <c r="A33" s="113"/>
      <c r="B33" s="85">
        <v>36</v>
      </c>
      <c r="C33" s="119">
        <v>2000024887</v>
      </c>
      <c r="D33" s="119">
        <v>3000024715</v>
      </c>
      <c r="E33" s="121" t="s">
        <v>512</v>
      </c>
      <c r="F33" s="161">
        <v>45076</v>
      </c>
      <c r="G33" s="139">
        <v>166800000</v>
      </c>
      <c r="H33" s="162" t="s">
        <v>31</v>
      </c>
      <c r="I33" s="169" t="s">
        <v>513</v>
      </c>
      <c r="J33" s="170" t="s">
        <v>514</v>
      </c>
      <c r="K33" s="170" t="s">
        <v>422</v>
      </c>
      <c r="L33" s="142" t="s">
        <v>515</v>
      </c>
      <c r="M33" s="163">
        <v>45077</v>
      </c>
      <c r="N33" s="136" t="s">
        <v>424</v>
      </c>
      <c r="O33" s="135" t="s">
        <v>491</v>
      </c>
      <c r="P33" s="119">
        <v>5300009181</v>
      </c>
      <c r="Q33" s="77" t="s">
        <v>516</v>
      </c>
      <c r="R33" s="164">
        <v>45077</v>
      </c>
      <c r="S33" s="145" t="s">
        <v>219</v>
      </c>
      <c r="T33" s="171" t="s">
        <v>74</v>
      </c>
      <c r="U33" s="137" t="s">
        <v>75</v>
      </c>
      <c r="V33" s="139">
        <v>166800000</v>
      </c>
      <c r="W33" s="26">
        <f t="shared" si="0"/>
        <v>185148000</v>
      </c>
      <c r="X33" s="160">
        <v>5000043976</v>
      </c>
      <c r="Y33" s="109" t="s">
        <v>347</v>
      </c>
      <c r="Z33" s="84"/>
      <c r="AA33" s="55" t="s">
        <v>374</v>
      </c>
      <c r="AB33" s="55" t="s">
        <v>349</v>
      </c>
    </row>
    <row r="34" spans="1:28" ht="13.8">
      <c r="A34" s="113"/>
      <c r="B34" s="76">
        <v>37</v>
      </c>
      <c r="C34" s="119">
        <v>2000024402</v>
      </c>
      <c r="D34" s="119">
        <v>3000024137</v>
      </c>
      <c r="E34" s="144" t="s">
        <v>517</v>
      </c>
      <c r="F34" s="133">
        <v>45055</v>
      </c>
      <c r="G34" s="172">
        <v>14270000</v>
      </c>
      <c r="H34" s="55" t="s">
        <v>31</v>
      </c>
      <c r="I34" s="142" t="s">
        <v>32</v>
      </c>
      <c r="J34" s="55" t="s">
        <v>421</v>
      </c>
      <c r="K34" s="55" t="s">
        <v>422</v>
      </c>
      <c r="L34" s="144" t="s">
        <v>457</v>
      </c>
      <c r="M34" s="167">
        <v>45056</v>
      </c>
      <c r="N34" s="144" t="s">
        <v>424</v>
      </c>
      <c r="O34" s="55" t="s">
        <v>425</v>
      </c>
      <c r="P34" s="119">
        <v>5300008892</v>
      </c>
      <c r="Q34" s="144" t="s">
        <v>518</v>
      </c>
      <c r="R34" s="101">
        <v>45056</v>
      </c>
      <c r="S34" s="142" t="s">
        <v>39</v>
      </c>
      <c r="T34" s="104" t="s">
        <v>40</v>
      </c>
      <c r="U34" s="16" t="s">
        <v>41</v>
      </c>
      <c r="V34" s="172">
        <v>14270000</v>
      </c>
      <c r="W34" s="26">
        <f t="shared" si="0"/>
        <v>15839700</v>
      </c>
      <c r="X34" s="131">
        <v>5000043142</v>
      </c>
      <c r="Y34" s="109" t="s">
        <v>347</v>
      </c>
      <c r="Z34" s="84" t="s">
        <v>347</v>
      </c>
      <c r="AA34" s="55" t="s">
        <v>382</v>
      </c>
      <c r="AB34" s="55" t="s">
        <v>404</v>
      </c>
    </row>
    <row r="35" spans="1:28" ht="13.8">
      <c r="A35" s="113"/>
      <c r="B35" s="85">
        <v>38</v>
      </c>
      <c r="C35" s="119">
        <v>2000024435</v>
      </c>
      <c r="D35" s="119">
        <v>3000024182</v>
      </c>
      <c r="E35" s="144" t="s">
        <v>519</v>
      </c>
      <c r="F35" s="133">
        <v>45055</v>
      </c>
      <c r="G35" s="172">
        <v>13602000</v>
      </c>
      <c r="H35" s="55" t="s">
        <v>31</v>
      </c>
      <c r="I35" s="142" t="s">
        <v>43</v>
      </c>
      <c r="J35" s="55" t="s">
        <v>421</v>
      </c>
      <c r="K35" s="55" t="s">
        <v>422</v>
      </c>
      <c r="L35" s="144" t="s">
        <v>457</v>
      </c>
      <c r="M35" s="167">
        <v>45056</v>
      </c>
      <c r="N35" s="144" t="s">
        <v>424</v>
      </c>
      <c r="O35" s="55" t="s">
        <v>425</v>
      </c>
      <c r="P35" s="119">
        <v>5300008919</v>
      </c>
      <c r="Q35" s="144" t="s">
        <v>520</v>
      </c>
      <c r="R35" s="101">
        <v>45056</v>
      </c>
      <c r="S35" s="142" t="s">
        <v>39</v>
      </c>
      <c r="T35" s="104" t="s">
        <v>40</v>
      </c>
      <c r="U35" s="16" t="s">
        <v>41</v>
      </c>
      <c r="V35" s="166">
        <v>13602000</v>
      </c>
      <c r="W35" s="26">
        <f t="shared" si="0"/>
        <v>15098220</v>
      </c>
      <c r="X35" s="131">
        <v>5000043203</v>
      </c>
      <c r="Y35" s="109" t="s">
        <v>347</v>
      </c>
      <c r="Z35" s="84" t="s">
        <v>347</v>
      </c>
      <c r="AA35" s="55" t="s">
        <v>382</v>
      </c>
      <c r="AB35" s="55" t="s">
        <v>404</v>
      </c>
    </row>
    <row r="36" spans="1:28" ht="13.8">
      <c r="A36" s="113"/>
      <c r="B36" s="76">
        <v>39</v>
      </c>
      <c r="C36" s="119">
        <v>2000024482</v>
      </c>
      <c r="D36" s="119">
        <v>3000024252</v>
      </c>
      <c r="E36" s="144" t="s">
        <v>521</v>
      </c>
      <c r="F36" s="133">
        <v>45057</v>
      </c>
      <c r="G36" s="172">
        <v>7838000</v>
      </c>
      <c r="H36" s="55" t="s">
        <v>31</v>
      </c>
      <c r="I36" s="155" t="s">
        <v>522</v>
      </c>
      <c r="J36" s="55" t="s">
        <v>421</v>
      </c>
      <c r="K36" s="55" t="s">
        <v>422</v>
      </c>
      <c r="L36" s="144" t="s">
        <v>457</v>
      </c>
      <c r="M36" s="167">
        <v>45058</v>
      </c>
      <c r="N36" s="144" t="s">
        <v>424</v>
      </c>
      <c r="O36" s="55" t="s">
        <v>425</v>
      </c>
      <c r="P36" s="119">
        <v>5300008945</v>
      </c>
      <c r="Q36" s="144" t="s">
        <v>523</v>
      </c>
      <c r="R36" s="101">
        <v>45058</v>
      </c>
      <c r="S36" s="142" t="s">
        <v>39</v>
      </c>
      <c r="T36" s="104" t="s">
        <v>40</v>
      </c>
      <c r="U36" s="16" t="s">
        <v>41</v>
      </c>
      <c r="V36" s="166">
        <v>7838000</v>
      </c>
      <c r="W36" s="26">
        <f t="shared" si="0"/>
        <v>8700180</v>
      </c>
      <c r="X36" s="131">
        <v>5000043285</v>
      </c>
      <c r="Y36" s="109" t="s">
        <v>347</v>
      </c>
      <c r="Z36" s="150" t="s">
        <v>347</v>
      </c>
      <c r="AA36" s="55" t="s">
        <v>348</v>
      </c>
      <c r="AB36" s="55" t="s">
        <v>349</v>
      </c>
    </row>
    <row r="37" spans="1:28" ht="13.8">
      <c r="A37" s="113"/>
      <c r="B37" s="85">
        <v>40</v>
      </c>
      <c r="C37" s="119">
        <v>2000025218</v>
      </c>
      <c r="D37" s="119">
        <v>3000025097</v>
      </c>
      <c r="E37" s="144" t="s">
        <v>524</v>
      </c>
      <c r="F37" s="133">
        <v>45068</v>
      </c>
      <c r="G37" s="173">
        <v>61200000</v>
      </c>
      <c r="H37" s="55" t="s">
        <v>31</v>
      </c>
      <c r="I37" s="155" t="s">
        <v>525</v>
      </c>
      <c r="J37" s="55" t="s">
        <v>421</v>
      </c>
      <c r="K37" s="55" t="s">
        <v>505</v>
      </c>
      <c r="L37" s="144" t="s">
        <v>288</v>
      </c>
      <c r="M37" s="167">
        <v>45069</v>
      </c>
      <c r="N37" s="144" t="s">
        <v>424</v>
      </c>
      <c r="O37" s="55" t="s">
        <v>425</v>
      </c>
      <c r="P37" s="119">
        <v>5300009396</v>
      </c>
      <c r="Q37" s="144" t="s">
        <v>476</v>
      </c>
      <c r="R37" s="101">
        <v>45069</v>
      </c>
      <c r="S37" s="145" t="s">
        <v>109</v>
      </c>
      <c r="T37" s="104" t="s">
        <v>110</v>
      </c>
      <c r="U37" s="16" t="s">
        <v>111</v>
      </c>
      <c r="V37" s="166">
        <v>56400000</v>
      </c>
      <c r="W37" s="26">
        <f t="shared" si="0"/>
        <v>62604000</v>
      </c>
      <c r="X37" s="131">
        <v>5000044403</v>
      </c>
      <c r="Y37" s="109" t="s">
        <v>347</v>
      </c>
      <c r="Z37" s="84" t="s">
        <v>347</v>
      </c>
      <c r="AA37" s="55" t="s">
        <v>348</v>
      </c>
      <c r="AB37" s="55" t="s">
        <v>349</v>
      </c>
    </row>
    <row r="38" spans="1:28" ht="13.8">
      <c r="A38" s="113"/>
      <c r="B38" s="76">
        <v>41</v>
      </c>
      <c r="C38" s="119">
        <v>2000025157</v>
      </c>
      <c r="D38" s="119">
        <v>3000025165</v>
      </c>
      <c r="E38" s="144" t="s">
        <v>526</v>
      </c>
      <c r="F38" s="133">
        <v>45077</v>
      </c>
      <c r="G38" s="173">
        <v>50700000</v>
      </c>
      <c r="H38" s="55" t="s">
        <v>31</v>
      </c>
      <c r="I38" s="169" t="s">
        <v>527</v>
      </c>
      <c r="J38" s="55" t="s">
        <v>421</v>
      </c>
      <c r="K38" s="55" t="s">
        <v>505</v>
      </c>
      <c r="L38" s="144" t="s">
        <v>288</v>
      </c>
      <c r="M38" s="167">
        <v>45082</v>
      </c>
      <c r="N38" s="144" t="s">
        <v>424</v>
      </c>
      <c r="O38" s="55" t="s">
        <v>425</v>
      </c>
      <c r="P38" s="119">
        <v>5300009435</v>
      </c>
      <c r="Q38" s="144" t="s">
        <v>528</v>
      </c>
      <c r="R38" s="101">
        <v>45082</v>
      </c>
      <c r="S38" s="77" t="s">
        <v>109</v>
      </c>
      <c r="T38" s="104" t="s">
        <v>110</v>
      </c>
      <c r="U38" s="16" t="s">
        <v>111</v>
      </c>
      <c r="V38" s="166">
        <v>47400000</v>
      </c>
      <c r="W38" s="26">
        <f t="shared" si="0"/>
        <v>52614000</v>
      </c>
      <c r="X38" s="131">
        <v>5000044473</v>
      </c>
      <c r="Y38" s="109" t="s">
        <v>347</v>
      </c>
      <c r="Z38" s="84" t="s">
        <v>347</v>
      </c>
      <c r="AA38" s="55" t="s">
        <v>374</v>
      </c>
      <c r="AB38" s="55" t="s">
        <v>349</v>
      </c>
    </row>
    <row r="39" spans="1:28" ht="13.2">
      <c r="A39" s="113"/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174"/>
      <c r="V39" s="175">
        <f>SUM(V10:V38)</f>
        <v>1456473162</v>
      </c>
      <c r="W39" s="175">
        <f>SUM(W10:W38)</f>
        <v>1616685209.8199999</v>
      </c>
      <c r="X39" s="118"/>
    </row>
    <row r="40" spans="1:28" ht="13.2">
      <c r="A40" s="113"/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V40" s="176" t="s">
        <v>151</v>
      </c>
      <c r="W40" s="177">
        <v>7.6689999999999994E-2</v>
      </c>
      <c r="X40" s="118"/>
    </row>
    <row r="41" spans="1:28" ht="13.2">
      <c r="A41" s="113"/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118"/>
    </row>
    <row r="42" spans="1:28" ht="13.2">
      <c r="A42" s="113"/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7" t="s">
        <v>529</v>
      </c>
      <c r="V42" s="618"/>
      <c r="W42" s="618"/>
      <c r="X42" s="118"/>
    </row>
    <row r="43" spans="1:28" ht="13.2">
      <c r="A43" s="113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7" t="s">
        <v>153</v>
      </c>
      <c r="V43" s="618"/>
      <c r="W43" s="618"/>
      <c r="X43" s="118"/>
    </row>
    <row r="44" spans="1:28" ht="13.2">
      <c r="A44" s="113"/>
      <c r="B44" s="618"/>
      <c r="C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7" t="s">
        <v>154</v>
      </c>
      <c r="V44" s="618"/>
      <c r="W44" s="618"/>
      <c r="X44" s="118"/>
    </row>
    <row r="45" spans="1:28" ht="13.2">
      <c r="A45" s="113"/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118"/>
    </row>
    <row r="46" spans="1:28" ht="13.2">
      <c r="A46" s="113"/>
      <c r="B46" s="618"/>
      <c r="C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  <c r="X46" s="118"/>
    </row>
    <row r="47" spans="1:28" ht="13.2">
      <c r="A47" s="113"/>
      <c r="B47" s="618"/>
      <c r="C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118"/>
    </row>
    <row r="48" spans="1:28" ht="13.2">
      <c r="A48" s="113"/>
      <c r="B48" s="618"/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618"/>
      <c r="V48" s="618"/>
      <c r="W48" s="618"/>
      <c r="X48" s="118"/>
    </row>
    <row r="49" spans="1:24" ht="13.2">
      <c r="A49" s="113"/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7" t="s">
        <v>155</v>
      </c>
      <c r="V49" s="618"/>
      <c r="W49" s="618"/>
      <c r="X49" s="118"/>
    </row>
    <row r="50" spans="1:24" ht="13.2">
      <c r="A50" s="113"/>
      <c r="X50" s="118"/>
    </row>
    <row r="51" spans="1:24" ht="13.2">
      <c r="A51" s="113"/>
      <c r="X51" s="118"/>
    </row>
    <row r="52" spans="1:24" ht="13.2">
      <c r="A52" s="113"/>
      <c r="X52" s="118"/>
    </row>
    <row r="53" spans="1:24" ht="13.2">
      <c r="A53" s="113"/>
      <c r="X53" s="118"/>
    </row>
    <row r="54" spans="1:24" ht="13.2">
      <c r="A54" s="113"/>
      <c r="X54" s="118"/>
    </row>
    <row r="55" spans="1:24" ht="13.2">
      <c r="A55" s="113"/>
      <c r="X55" s="118"/>
    </row>
    <row r="56" spans="1:24" ht="13.2">
      <c r="A56" s="113"/>
      <c r="X56" s="118"/>
    </row>
    <row r="57" spans="1:24" ht="13.2">
      <c r="A57" s="113"/>
      <c r="X57" s="118"/>
    </row>
    <row r="58" spans="1:24" ht="13.2">
      <c r="A58" s="113"/>
      <c r="X58" s="118"/>
    </row>
    <row r="59" spans="1:24" ht="13.2">
      <c r="A59" s="113"/>
      <c r="X59" s="118"/>
    </row>
    <row r="60" spans="1:24" ht="13.2">
      <c r="A60" s="113"/>
      <c r="X60" s="118"/>
    </row>
    <row r="61" spans="1:24" ht="13.2">
      <c r="A61" s="113"/>
      <c r="X61" s="118"/>
    </row>
    <row r="62" spans="1:24" ht="13.2">
      <c r="A62" s="113"/>
      <c r="X62" s="118"/>
    </row>
    <row r="63" spans="1:24" ht="13.2">
      <c r="A63" s="113"/>
      <c r="X63" s="118"/>
    </row>
    <row r="64" spans="1:24" ht="13.2">
      <c r="A64" s="113"/>
      <c r="X64" s="118"/>
    </row>
    <row r="65" spans="1:24" ht="13.2">
      <c r="A65" s="113"/>
      <c r="X65" s="118"/>
    </row>
    <row r="66" spans="1:24" ht="13.2">
      <c r="A66" s="113"/>
      <c r="X66" s="118"/>
    </row>
    <row r="67" spans="1:24" ht="13.2">
      <c r="A67" s="113"/>
      <c r="X67" s="118"/>
    </row>
    <row r="68" spans="1:24" ht="13.2">
      <c r="A68" s="113"/>
      <c r="X68" s="118"/>
    </row>
    <row r="69" spans="1:24" ht="13.2">
      <c r="A69" s="113"/>
      <c r="X69" s="118"/>
    </row>
    <row r="70" spans="1:24" ht="13.2">
      <c r="A70" s="113"/>
      <c r="X70" s="118"/>
    </row>
    <row r="71" spans="1:24" ht="13.2">
      <c r="A71" s="113"/>
      <c r="X71" s="118"/>
    </row>
    <row r="72" spans="1:24" ht="13.2">
      <c r="A72" s="113"/>
      <c r="X72" s="118"/>
    </row>
    <row r="73" spans="1:24" ht="13.2">
      <c r="A73" s="113"/>
      <c r="X73" s="118"/>
    </row>
    <row r="74" spans="1:24" ht="13.2">
      <c r="A74" s="113"/>
      <c r="X74" s="118"/>
    </row>
    <row r="75" spans="1:24" ht="13.2">
      <c r="A75" s="113"/>
      <c r="X75" s="118"/>
    </row>
    <row r="76" spans="1:24" ht="13.2">
      <c r="A76" s="113"/>
      <c r="X76" s="118"/>
    </row>
    <row r="77" spans="1:24" ht="13.2">
      <c r="A77" s="113"/>
      <c r="X77" s="118"/>
    </row>
    <row r="78" spans="1:24" ht="13.2">
      <c r="A78" s="113"/>
      <c r="X78" s="118"/>
    </row>
    <row r="79" spans="1:24" ht="13.2">
      <c r="A79" s="113"/>
      <c r="X79" s="118"/>
    </row>
    <row r="80" spans="1:24" ht="13.2">
      <c r="A80" s="113"/>
      <c r="X80" s="118"/>
    </row>
    <row r="81" spans="1:24" ht="13.2">
      <c r="A81" s="113"/>
      <c r="X81" s="118"/>
    </row>
    <row r="82" spans="1:24" ht="13.2">
      <c r="A82" s="113"/>
      <c r="X82" s="118"/>
    </row>
    <row r="83" spans="1:24" ht="13.2">
      <c r="A83" s="113"/>
      <c r="X83" s="118"/>
    </row>
    <row r="84" spans="1:24" ht="13.2">
      <c r="A84" s="113"/>
      <c r="X84" s="118"/>
    </row>
    <row r="85" spans="1:24" ht="13.2">
      <c r="A85" s="113"/>
      <c r="X85" s="118"/>
    </row>
    <row r="86" spans="1:24" ht="13.2">
      <c r="A86" s="113"/>
      <c r="X86" s="118"/>
    </row>
    <row r="87" spans="1:24" ht="13.2">
      <c r="A87" s="113"/>
      <c r="X87" s="118"/>
    </row>
    <row r="88" spans="1:24" ht="13.2">
      <c r="A88" s="113"/>
      <c r="X88" s="118"/>
    </row>
    <row r="89" spans="1:24" ht="13.2">
      <c r="A89" s="113"/>
      <c r="X89" s="118"/>
    </row>
    <row r="90" spans="1:24" ht="13.2">
      <c r="A90" s="113"/>
      <c r="X90" s="118"/>
    </row>
    <row r="91" spans="1:24" ht="13.2">
      <c r="A91" s="113"/>
      <c r="X91" s="118"/>
    </row>
    <row r="92" spans="1:24" ht="13.2">
      <c r="A92" s="113"/>
      <c r="X92" s="118"/>
    </row>
    <row r="93" spans="1:24" ht="13.2">
      <c r="A93" s="113"/>
      <c r="X93" s="118"/>
    </row>
    <row r="94" spans="1:24" ht="13.2">
      <c r="A94" s="113"/>
      <c r="X94" s="118"/>
    </row>
    <row r="95" spans="1:24" ht="13.2">
      <c r="A95" s="113"/>
      <c r="X95" s="118"/>
    </row>
    <row r="96" spans="1:24" ht="13.2">
      <c r="A96" s="113"/>
      <c r="X96" s="118"/>
    </row>
    <row r="97" spans="1:24" ht="13.2">
      <c r="A97" s="113"/>
      <c r="X97" s="118"/>
    </row>
    <row r="98" spans="1:24" ht="13.2">
      <c r="A98" s="113"/>
      <c r="X98" s="118"/>
    </row>
    <row r="99" spans="1:24" ht="13.2">
      <c r="A99" s="113"/>
      <c r="X99" s="118"/>
    </row>
    <row r="100" spans="1:24" ht="13.2">
      <c r="A100" s="113"/>
      <c r="X100" s="118"/>
    </row>
    <row r="101" spans="1:24" ht="13.2">
      <c r="A101" s="113"/>
      <c r="X101" s="118"/>
    </row>
    <row r="102" spans="1:24" ht="13.2">
      <c r="A102" s="113"/>
      <c r="X102" s="118"/>
    </row>
    <row r="103" spans="1:24" ht="13.2">
      <c r="A103" s="113"/>
      <c r="X103" s="118"/>
    </row>
    <row r="104" spans="1:24" ht="13.2">
      <c r="A104" s="113"/>
      <c r="X104" s="118"/>
    </row>
    <row r="105" spans="1:24" ht="13.2">
      <c r="A105" s="113"/>
      <c r="X105" s="118"/>
    </row>
    <row r="106" spans="1:24" ht="13.2">
      <c r="A106" s="113"/>
      <c r="X106" s="118"/>
    </row>
    <row r="107" spans="1:24" ht="13.2">
      <c r="A107" s="113"/>
      <c r="X107" s="118"/>
    </row>
    <row r="108" spans="1:24" ht="13.2">
      <c r="A108" s="113"/>
      <c r="X108" s="118"/>
    </row>
    <row r="109" spans="1:24" ht="13.2">
      <c r="A109" s="113"/>
      <c r="X109" s="118"/>
    </row>
    <row r="110" spans="1:24" ht="13.2">
      <c r="A110" s="113"/>
      <c r="X110" s="118"/>
    </row>
    <row r="111" spans="1:24" ht="13.2">
      <c r="A111" s="113"/>
      <c r="X111" s="118"/>
    </row>
    <row r="112" spans="1:24" ht="13.2">
      <c r="A112" s="113"/>
      <c r="X112" s="118"/>
    </row>
    <row r="113" spans="1:24" ht="13.2">
      <c r="A113" s="113"/>
      <c r="X113" s="118"/>
    </row>
    <row r="114" spans="1:24" ht="13.2">
      <c r="A114" s="113"/>
      <c r="X114" s="118"/>
    </row>
    <row r="115" spans="1:24" ht="13.2">
      <c r="A115" s="113"/>
      <c r="X115" s="118"/>
    </row>
    <row r="116" spans="1:24" ht="13.2">
      <c r="A116" s="113"/>
      <c r="X116" s="118"/>
    </row>
    <row r="117" spans="1:24" ht="13.2">
      <c r="A117" s="113"/>
      <c r="X117" s="118"/>
    </row>
    <row r="118" spans="1:24" ht="13.2">
      <c r="A118" s="113"/>
      <c r="X118" s="118"/>
    </row>
    <row r="119" spans="1:24" ht="13.2">
      <c r="A119" s="113"/>
      <c r="X119" s="118"/>
    </row>
    <row r="120" spans="1:24" ht="13.2">
      <c r="A120" s="113"/>
      <c r="X120" s="118"/>
    </row>
    <row r="121" spans="1:24" ht="13.2">
      <c r="A121" s="113"/>
      <c r="X121" s="118"/>
    </row>
    <row r="122" spans="1:24" ht="13.2">
      <c r="A122" s="113"/>
      <c r="X122" s="118"/>
    </row>
    <row r="123" spans="1:24" ht="13.2">
      <c r="A123" s="113"/>
      <c r="X123" s="118"/>
    </row>
    <row r="124" spans="1:24" ht="13.2">
      <c r="A124" s="113"/>
      <c r="X124" s="118"/>
    </row>
    <row r="125" spans="1:24" ht="13.2">
      <c r="A125" s="113"/>
      <c r="X125" s="118"/>
    </row>
    <row r="126" spans="1:24" ht="13.2">
      <c r="A126" s="113"/>
      <c r="X126" s="118"/>
    </row>
    <row r="127" spans="1:24" ht="13.2">
      <c r="A127" s="113"/>
      <c r="X127" s="118"/>
    </row>
    <row r="128" spans="1:24" ht="13.2">
      <c r="A128" s="113"/>
      <c r="X128" s="118"/>
    </row>
    <row r="129" spans="1:24" ht="13.2">
      <c r="A129" s="113"/>
      <c r="X129" s="118"/>
    </row>
    <row r="130" spans="1:24" ht="13.2">
      <c r="A130" s="113"/>
      <c r="X130" s="118"/>
    </row>
    <row r="131" spans="1:24" ht="13.2">
      <c r="A131" s="113"/>
      <c r="X131" s="118"/>
    </row>
    <row r="132" spans="1:24" ht="13.2">
      <c r="A132" s="113"/>
      <c r="X132" s="118"/>
    </row>
    <row r="133" spans="1:24" ht="13.2">
      <c r="A133" s="113"/>
      <c r="X133" s="118"/>
    </row>
    <row r="134" spans="1:24" ht="13.2">
      <c r="A134" s="113"/>
      <c r="X134" s="118"/>
    </row>
    <row r="135" spans="1:24" ht="13.2">
      <c r="A135" s="113"/>
      <c r="X135" s="118"/>
    </row>
    <row r="136" spans="1:24" ht="13.2">
      <c r="A136" s="113"/>
      <c r="X136" s="118"/>
    </row>
    <row r="137" spans="1:24" ht="13.2">
      <c r="A137" s="113"/>
      <c r="X137" s="118"/>
    </row>
    <row r="138" spans="1:24" ht="13.2">
      <c r="A138" s="113"/>
      <c r="X138" s="118"/>
    </row>
    <row r="139" spans="1:24" ht="13.2">
      <c r="A139" s="113"/>
      <c r="X139" s="118"/>
    </row>
    <row r="140" spans="1:24" ht="13.2">
      <c r="A140" s="113"/>
      <c r="X140" s="118"/>
    </row>
    <row r="141" spans="1:24" ht="13.2">
      <c r="A141" s="113"/>
      <c r="X141" s="118"/>
    </row>
    <row r="142" spans="1:24" ht="13.2">
      <c r="A142" s="113"/>
      <c r="X142" s="118"/>
    </row>
    <row r="143" spans="1:24" ht="13.2">
      <c r="A143" s="113"/>
      <c r="X143" s="118"/>
    </row>
    <row r="144" spans="1:24" ht="13.2">
      <c r="A144" s="113"/>
      <c r="X144" s="118"/>
    </row>
    <row r="145" spans="1:24" ht="13.2">
      <c r="A145" s="113"/>
      <c r="X145" s="118"/>
    </row>
    <row r="146" spans="1:24" ht="13.2">
      <c r="A146" s="113"/>
      <c r="X146" s="118"/>
    </row>
    <row r="147" spans="1:24" ht="13.2">
      <c r="A147" s="113"/>
      <c r="X147" s="118"/>
    </row>
    <row r="148" spans="1:24" ht="13.2">
      <c r="A148" s="113"/>
      <c r="X148" s="118"/>
    </row>
    <row r="149" spans="1:24" ht="13.2">
      <c r="A149" s="113"/>
      <c r="X149" s="118"/>
    </row>
    <row r="150" spans="1:24" ht="13.2">
      <c r="A150" s="113"/>
      <c r="X150" s="118"/>
    </row>
    <row r="151" spans="1:24" ht="13.2">
      <c r="A151" s="113"/>
      <c r="X151" s="118"/>
    </row>
    <row r="152" spans="1:24" ht="13.2">
      <c r="A152" s="113"/>
      <c r="X152" s="118"/>
    </row>
    <row r="153" spans="1:24" ht="13.2">
      <c r="A153" s="113"/>
      <c r="X153" s="118"/>
    </row>
    <row r="154" spans="1:24" ht="13.2">
      <c r="A154" s="113"/>
      <c r="X154" s="118"/>
    </row>
    <row r="155" spans="1:24" ht="13.2">
      <c r="A155" s="113"/>
      <c r="X155" s="118"/>
    </row>
    <row r="156" spans="1:24" ht="13.2">
      <c r="A156" s="113"/>
      <c r="X156" s="118"/>
    </row>
    <row r="157" spans="1:24" ht="13.2">
      <c r="A157" s="113"/>
      <c r="X157" s="118"/>
    </row>
    <row r="158" spans="1:24" ht="13.2">
      <c r="A158" s="113"/>
      <c r="X158" s="118"/>
    </row>
    <row r="159" spans="1:24" ht="13.2">
      <c r="A159" s="113"/>
      <c r="X159" s="118"/>
    </row>
    <row r="160" spans="1:24" ht="13.2">
      <c r="A160" s="113"/>
      <c r="X160" s="118"/>
    </row>
    <row r="161" spans="1:24" ht="13.2">
      <c r="A161" s="113"/>
      <c r="X161" s="118"/>
    </row>
    <row r="162" spans="1:24" ht="13.2">
      <c r="A162" s="113"/>
      <c r="X162" s="118"/>
    </row>
    <row r="163" spans="1:24" ht="13.2">
      <c r="A163" s="113"/>
      <c r="X163" s="118"/>
    </row>
    <row r="164" spans="1:24" ht="13.2">
      <c r="A164" s="113"/>
      <c r="X164" s="118"/>
    </row>
    <row r="165" spans="1:24" ht="13.2">
      <c r="A165" s="113"/>
      <c r="X165" s="118"/>
    </row>
    <row r="166" spans="1:24" ht="13.2">
      <c r="A166" s="113"/>
      <c r="X166" s="118"/>
    </row>
    <row r="167" spans="1:24" ht="13.2">
      <c r="A167" s="113"/>
      <c r="X167" s="118"/>
    </row>
    <row r="168" spans="1:24" ht="13.2">
      <c r="A168" s="113"/>
      <c r="X168" s="118"/>
    </row>
    <row r="169" spans="1:24" ht="13.2">
      <c r="A169" s="113"/>
      <c r="X169" s="118"/>
    </row>
    <row r="170" spans="1:24" ht="13.2">
      <c r="A170" s="113"/>
      <c r="X170" s="118"/>
    </row>
    <row r="171" spans="1:24" ht="13.2">
      <c r="A171" s="113"/>
      <c r="X171" s="118"/>
    </row>
    <row r="172" spans="1:24" ht="13.2">
      <c r="A172" s="113"/>
      <c r="X172" s="118"/>
    </row>
    <row r="173" spans="1:24" ht="13.2">
      <c r="A173" s="113"/>
      <c r="X173" s="118"/>
    </row>
    <row r="174" spans="1:24" ht="13.2">
      <c r="A174" s="113"/>
      <c r="X174" s="118"/>
    </row>
    <row r="175" spans="1:24" ht="13.2">
      <c r="A175" s="113"/>
      <c r="X175" s="118"/>
    </row>
    <row r="176" spans="1:24" ht="13.2">
      <c r="A176" s="113"/>
      <c r="X176" s="118"/>
    </row>
    <row r="177" spans="1:24" ht="13.2">
      <c r="A177" s="113"/>
      <c r="X177" s="118"/>
    </row>
    <row r="178" spans="1:24" ht="13.2">
      <c r="A178" s="113"/>
      <c r="X178" s="118"/>
    </row>
    <row r="179" spans="1:24" ht="13.2">
      <c r="A179" s="113"/>
      <c r="X179" s="118"/>
    </row>
    <row r="180" spans="1:24" ht="13.2">
      <c r="A180" s="113"/>
      <c r="X180" s="118"/>
    </row>
    <row r="181" spans="1:24" ht="13.2">
      <c r="A181" s="113"/>
      <c r="X181" s="118"/>
    </row>
    <row r="182" spans="1:24" ht="13.2">
      <c r="A182" s="113"/>
      <c r="X182" s="118"/>
    </row>
    <row r="183" spans="1:24" ht="13.2">
      <c r="A183" s="113"/>
      <c r="X183" s="118"/>
    </row>
    <row r="184" spans="1:24" ht="13.2">
      <c r="A184" s="113"/>
      <c r="X184" s="118"/>
    </row>
    <row r="185" spans="1:24" ht="13.2">
      <c r="A185" s="113"/>
      <c r="X185" s="118"/>
    </row>
    <row r="186" spans="1:24" ht="13.2">
      <c r="A186" s="113"/>
      <c r="X186" s="118"/>
    </row>
    <row r="187" spans="1:24" ht="13.2">
      <c r="A187" s="113"/>
      <c r="X187" s="118"/>
    </row>
    <row r="188" spans="1:24" ht="13.2">
      <c r="A188" s="113"/>
      <c r="X188" s="118"/>
    </row>
    <row r="189" spans="1:24" ht="13.2">
      <c r="A189" s="113"/>
      <c r="X189" s="118"/>
    </row>
    <row r="190" spans="1:24" ht="13.2">
      <c r="A190" s="113"/>
      <c r="X190" s="118"/>
    </row>
    <row r="191" spans="1:24" ht="13.2">
      <c r="A191" s="113"/>
      <c r="X191" s="118"/>
    </row>
    <row r="192" spans="1:24" ht="13.2">
      <c r="A192" s="113"/>
      <c r="X192" s="118"/>
    </row>
    <row r="193" spans="1:24" ht="13.2">
      <c r="A193" s="113"/>
      <c r="X193" s="118"/>
    </row>
    <row r="194" spans="1:24" ht="13.2">
      <c r="A194" s="113"/>
      <c r="X194" s="118"/>
    </row>
    <row r="195" spans="1:24" ht="13.2">
      <c r="A195" s="113"/>
      <c r="X195" s="118"/>
    </row>
    <row r="196" spans="1:24" ht="13.2">
      <c r="A196" s="113"/>
      <c r="X196" s="118"/>
    </row>
    <row r="197" spans="1:24" ht="13.2">
      <c r="A197" s="113"/>
      <c r="X197" s="118"/>
    </row>
    <row r="198" spans="1:24" ht="13.2">
      <c r="A198" s="113"/>
      <c r="X198" s="118"/>
    </row>
    <row r="199" spans="1:24" ht="13.2">
      <c r="A199" s="113"/>
      <c r="X199" s="118"/>
    </row>
    <row r="200" spans="1:24" ht="13.2">
      <c r="A200" s="113"/>
      <c r="X200" s="118"/>
    </row>
    <row r="201" spans="1:24" ht="13.2">
      <c r="A201" s="113"/>
      <c r="X201" s="118"/>
    </row>
    <row r="202" spans="1:24" ht="13.2">
      <c r="A202" s="113"/>
      <c r="X202" s="118"/>
    </row>
    <row r="203" spans="1:24" ht="13.2">
      <c r="A203" s="113"/>
      <c r="X203" s="118"/>
    </row>
    <row r="204" spans="1:24" ht="13.2">
      <c r="A204" s="113"/>
      <c r="X204" s="118"/>
    </row>
    <row r="205" spans="1:24" ht="13.2">
      <c r="A205" s="113"/>
      <c r="X205" s="118"/>
    </row>
    <row r="206" spans="1:24" ht="13.2">
      <c r="A206" s="113"/>
      <c r="X206" s="118"/>
    </row>
    <row r="207" spans="1:24" ht="13.2">
      <c r="A207" s="113"/>
      <c r="X207" s="118"/>
    </row>
    <row r="208" spans="1:24" ht="13.2">
      <c r="A208" s="113"/>
      <c r="X208" s="118"/>
    </row>
    <row r="209" spans="1:24" ht="13.2">
      <c r="A209" s="113"/>
      <c r="X209" s="118"/>
    </row>
    <row r="210" spans="1:24" ht="13.2">
      <c r="A210" s="113"/>
      <c r="X210" s="118"/>
    </row>
    <row r="211" spans="1:24" ht="13.2">
      <c r="A211" s="113"/>
      <c r="X211" s="118"/>
    </row>
    <row r="212" spans="1:24" ht="13.2">
      <c r="A212" s="113"/>
      <c r="X212" s="118"/>
    </row>
    <row r="213" spans="1:24" ht="13.2">
      <c r="A213" s="113"/>
      <c r="X213" s="118"/>
    </row>
    <row r="214" spans="1:24" ht="13.2">
      <c r="A214" s="113"/>
      <c r="X214" s="118"/>
    </row>
    <row r="215" spans="1:24" ht="13.2">
      <c r="A215" s="113"/>
      <c r="X215" s="118"/>
    </row>
    <row r="216" spans="1:24" ht="13.2">
      <c r="A216" s="113"/>
      <c r="X216" s="118"/>
    </row>
    <row r="217" spans="1:24" ht="13.2">
      <c r="A217" s="113"/>
      <c r="X217" s="118"/>
    </row>
    <row r="218" spans="1:24" ht="13.2">
      <c r="A218" s="113"/>
      <c r="X218" s="118"/>
    </row>
    <row r="219" spans="1:24" ht="13.2">
      <c r="A219" s="113"/>
      <c r="X219" s="118"/>
    </row>
    <row r="220" spans="1:24" ht="13.2">
      <c r="A220" s="113"/>
      <c r="X220" s="118"/>
    </row>
    <row r="221" spans="1:24" ht="13.2">
      <c r="A221" s="113"/>
      <c r="X221" s="118"/>
    </row>
    <row r="222" spans="1:24" ht="13.2">
      <c r="A222" s="113"/>
      <c r="X222" s="118"/>
    </row>
    <row r="223" spans="1:24" ht="13.2">
      <c r="A223" s="113"/>
      <c r="X223" s="118"/>
    </row>
    <row r="224" spans="1:24" ht="13.2">
      <c r="A224" s="113"/>
      <c r="X224" s="118"/>
    </row>
    <row r="225" spans="1:24" ht="13.2">
      <c r="A225" s="113"/>
      <c r="X225" s="118"/>
    </row>
    <row r="226" spans="1:24" ht="13.2">
      <c r="A226" s="113"/>
      <c r="X226" s="118"/>
    </row>
    <row r="227" spans="1:24" ht="13.2">
      <c r="A227" s="113"/>
      <c r="X227" s="118"/>
    </row>
    <row r="228" spans="1:24" ht="13.2">
      <c r="A228" s="113"/>
      <c r="X228" s="118"/>
    </row>
    <row r="229" spans="1:24" ht="13.2">
      <c r="A229" s="113"/>
      <c r="X229" s="118"/>
    </row>
    <row r="230" spans="1:24" ht="13.2">
      <c r="A230" s="113"/>
      <c r="X230" s="118"/>
    </row>
    <row r="231" spans="1:24" ht="13.2">
      <c r="A231" s="113"/>
      <c r="X231" s="118"/>
    </row>
    <row r="232" spans="1:24" ht="13.2">
      <c r="A232" s="113"/>
      <c r="X232" s="118"/>
    </row>
    <row r="233" spans="1:24" ht="13.2">
      <c r="A233" s="113"/>
      <c r="X233" s="118"/>
    </row>
    <row r="234" spans="1:24" ht="13.2">
      <c r="A234" s="113"/>
      <c r="X234" s="118"/>
    </row>
    <row r="235" spans="1:24" ht="13.2">
      <c r="A235" s="113"/>
      <c r="X235" s="118"/>
    </row>
    <row r="236" spans="1:24" ht="13.2">
      <c r="A236" s="113"/>
      <c r="X236" s="118"/>
    </row>
    <row r="237" spans="1:24" ht="13.2">
      <c r="A237" s="113"/>
      <c r="X237" s="118"/>
    </row>
    <row r="238" spans="1:24" ht="13.2">
      <c r="A238" s="113"/>
      <c r="X238" s="118"/>
    </row>
    <row r="239" spans="1:24" ht="13.2">
      <c r="A239" s="113"/>
      <c r="X239" s="118"/>
    </row>
    <row r="240" spans="1:24" ht="13.2">
      <c r="A240" s="113"/>
      <c r="X240" s="118"/>
    </row>
    <row r="241" spans="1:24" ht="13.2">
      <c r="A241" s="113"/>
      <c r="X241" s="118"/>
    </row>
    <row r="242" spans="1:24" ht="13.2">
      <c r="A242" s="113"/>
      <c r="X242" s="118"/>
    </row>
    <row r="243" spans="1:24" ht="13.2">
      <c r="A243" s="113"/>
      <c r="X243" s="118"/>
    </row>
    <row r="244" spans="1:24" ht="13.2">
      <c r="A244" s="113"/>
      <c r="X244" s="118"/>
    </row>
    <row r="245" spans="1:24" ht="13.2">
      <c r="A245" s="113"/>
      <c r="X245" s="118"/>
    </row>
    <row r="246" spans="1:24" ht="13.2">
      <c r="A246" s="113"/>
      <c r="X246" s="118"/>
    </row>
    <row r="247" spans="1:24" ht="13.2">
      <c r="A247" s="113"/>
      <c r="X247" s="118"/>
    </row>
    <row r="248" spans="1:24" ht="13.2">
      <c r="A248" s="113"/>
      <c r="X248" s="118"/>
    </row>
    <row r="249" spans="1:24" ht="13.2">
      <c r="A249" s="113"/>
      <c r="X249" s="118"/>
    </row>
    <row r="250" spans="1:24" ht="13.2">
      <c r="A250" s="113"/>
      <c r="X250" s="118"/>
    </row>
    <row r="251" spans="1:24" ht="13.2">
      <c r="A251" s="113"/>
      <c r="X251" s="118"/>
    </row>
    <row r="252" spans="1:24" ht="13.2">
      <c r="A252" s="113"/>
      <c r="X252" s="118"/>
    </row>
    <row r="253" spans="1:24" ht="13.2">
      <c r="A253" s="113"/>
      <c r="X253" s="118"/>
    </row>
    <row r="254" spans="1:24" ht="13.2">
      <c r="A254" s="113"/>
      <c r="X254" s="118"/>
    </row>
    <row r="255" spans="1:24" ht="13.2">
      <c r="A255" s="113"/>
      <c r="X255" s="118"/>
    </row>
    <row r="256" spans="1:24" ht="13.2">
      <c r="A256" s="113"/>
      <c r="X256" s="118"/>
    </row>
    <row r="257" spans="1:24" ht="13.2">
      <c r="A257" s="113"/>
      <c r="X257" s="118"/>
    </row>
    <row r="258" spans="1:24" ht="13.2">
      <c r="A258" s="113"/>
      <c r="X258" s="118"/>
    </row>
    <row r="259" spans="1:24" ht="13.2">
      <c r="A259" s="113"/>
      <c r="X259" s="118"/>
    </row>
    <row r="260" spans="1:24" ht="13.2">
      <c r="A260" s="113"/>
      <c r="X260" s="118"/>
    </row>
    <row r="261" spans="1:24" ht="13.2">
      <c r="A261" s="113"/>
      <c r="X261" s="118"/>
    </row>
    <row r="262" spans="1:24" ht="13.2">
      <c r="A262" s="113"/>
      <c r="X262" s="118"/>
    </row>
    <row r="263" spans="1:24" ht="13.2">
      <c r="A263" s="113"/>
      <c r="X263" s="118"/>
    </row>
    <row r="264" spans="1:24" ht="13.2">
      <c r="A264" s="113"/>
      <c r="X264" s="118"/>
    </row>
    <row r="265" spans="1:24" ht="13.2">
      <c r="A265" s="113"/>
      <c r="X265" s="118"/>
    </row>
    <row r="266" spans="1:24" ht="13.2">
      <c r="A266" s="113"/>
      <c r="X266" s="118"/>
    </row>
    <row r="267" spans="1:24" ht="13.2">
      <c r="A267" s="113"/>
      <c r="X267" s="118"/>
    </row>
    <row r="268" spans="1:24" ht="13.2">
      <c r="A268" s="113"/>
      <c r="X268" s="118"/>
    </row>
    <row r="269" spans="1:24" ht="13.2">
      <c r="A269" s="113"/>
      <c r="X269" s="118"/>
    </row>
    <row r="270" spans="1:24" ht="13.2">
      <c r="A270" s="113"/>
      <c r="X270" s="118"/>
    </row>
    <row r="271" spans="1:24" ht="13.2">
      <c r="A271" s="113"/>
      <c r="X271" s="118"/>
    </row>
    <row r="272" spans="1:24" ht="13.2">
      <c r="A272" s="113"/>
      <c r="X272" s="118"/>
    </row>
    <row r="273" spans="1:24" ht="13.2">
      <c r="A273" s="113"/>
      <c r="X273" s="118"/>
    </row>
    <row r="274" spans="1:24" ht="13.2">
      <c r="A274" s="113"/>
      <c r="X274" s="118"/>
    </row>
    <row r="275" spans="1:24" ht="13.2">
      <c r="A275" s="113"/>
      <c r="X275" s="118"/>
    </row>
    <row r="276" spans="1:24" ht="13.2">
      <c r="A276" s="113"/>
      <c r="X276" s="118"/>
    </row>
    <row r="277" spans="1:24" ht="13.2">
      <c r="A277" s="113"/>
      <c r="X277" s="118"/>
    </row>
    <row r="278" spans="1:24" ht="13.2">
      <c r="A278" s="113"/>
      <c r="X278" s="118"/>
    </row>
    <row r="279" spans="1:24" ht="13.2">
      <c r="A279" s="113"/>
      <c r="X279" s="118"/>
    </row>
    <row r="280" spans="1:24" ht="13.2">
      <c r="A280" s="113"/>
      <c r="X280" s="118"/>
    </row>
    <row r="281" spans="1:24" ht="13.2">
      <c r="A281" s="113"/>
      <c r="X281" s="118"/>
    </row>
    <row r="282" spans="1:24" ht="13.2">
      <c r="A282" s="113"/>
      <c r="X282" s="118"/>
    </row>
    <row r="283" spans="1:24" ht="13.2">
      <c r="A283" s="113"/>
      <c r="X283" s="118"/>
    </row>
    <row r="284" spans="1:24" ht="13.2">
      <c r="A284" s="113"/>
      <c r="X284" s="118"/>
    </row>
    <row r="285" spans="1:24" ht="13.2">
      <c r="A285" s="113"/>
      <c r="X285" s="118"/>
    </row>
    <row r="286" spans="1:24" ht="13.2">
      <c r="A286" s="113"/>
      <c r="X286" s="118"/>
    </row>
    <row r="287" spans="1:24" ht="13.2">
      <c r="A287" s="113"/>
      <c r="X287" s="118"/>
    </row>
    <row r="288" spans="1:24" ht="13.2">
      <c r="A288" s="113"/>
      <c r="X288" s="118"/>
    </row>
    <row r="289" spans="1:24" ht="13.2">
      <c r="A289" s="113"/>
      <c r="X289" s="118"/>
    </row>
    <row r="290" spans="1:24" ht="13.2">
      <c r="A290" s="113"/>
      <c r="X290" s="118"/>
    </row>
    <row r="291" spans="1:24" ht="13.2">
      <c r="A291" s="113"/>
      <c r="X291" s="118"/>
    </row>
    <row r="292" spans="1:24" ht="13.2">
      <c r="A292" s="113"/>
      <c r="X292" s="118"/>
    </row>
    <row r="293" spans="1:24" ht="13.2">
      <c r="A293" s="113"/>
      <c r="X293" s="118"/>
    </row>
    <row r="294" spans="1:24" ht="13.2">
      <c r="A294" s="113"/>
      <c r="X294" s="118"/>
    </row>
    <row r="295" spans="1:24" ht="13.2">
      <c r="A295" s="113"/>
      <c r="X295" s="118"/>
    </row>
    <row r="296" spans="1:24" ht="13.2">
      <c r="A296" s="113"/>
      <c r="X296" s="118"/>
    </row>
    <row r="297" spans="1:24" ht="13.2">
      <c r="A297" s="113"/>
      <c r="X297" s="118"/>
    </row>
    <row r="298" spans="1:24" ht="13.2">
      <c r="A298" s="113"/>
      <c r="X298" s="118"/>
    </row>
    <row r="299" spans="1:24" ht="13.2">
      <c r="A299" s="113"/>
      <c r="X299" s="118"/>
    </row>
    <row r="300" spans="1:24" ht="13.2">
      <c r="A300" s="113"/>
      <c r="X300" s="118"/>
    </row>
    <row r="301" spans="1:24" ht="13.2">
      <c r="A301" s="113"/>
      <c r="X301" s="118"/>
    </row>
    <row r="302" spans="1:24" ht="13.2">
      <c r="A302" s="113"/>
      <c r="X302" s="118"/>
    </row>
    <row r="303" spans="1:24" ht="13.2">
      <c r="A303" s="113"/>
      <c r="X303" s="118"/>
    </row>
    <row r="304" spans="1:24" ht="13.2">
      <c r="A304" s="113"/>
      <c r="X304" s="118"/>
    </row>
    <row r="305" spans="1:24" ht="13.2">
      <c r="A305" s="113"/>
      <c r="X305" s="118"/>
    </row>
    <row r="306" spans="1:24" ht="13.2">
      <c r="A306" s="113"/>
      <c r="X306" s="118"/>
    </row>
    <row r="307" spans="1:24" ht="13.2">
      <c r="A307" s="113"/>
      <c r="X307" s="118"/>
    </row>
    <row r="308" spans="1:24" ht="13.2">
      <c r="A308" s="113"/>
      <c r="X308" s="118"/>
    </row>
    <row r="309" spans="1:24" ht="13.2">
      <c r="A309" s="113"/>
      <c r="X309" s="118"/>
    </row>
    <row r="310" spans="1:24" ht="13.2">
      <c r="A310" s="113"/>
      <c r="X310" s="118"/>
    </row>
    <row r="311" spans="1:24" ht="13.2">
      <c r="A311" s="113"/>
      <c r="X311" s="118"/>
    </row>
    <row r="312" spans="1:24" ht="13.2">
      <c r="A312" s="113"/>
      <c r="X312" s="118"/>
    </row>
    <row r="313" spans="1:24" ht="13.2">
      <c r="A313" s="113"/>
      <c r="X313" s="118"/>
    </row>
    <row r="314" spans="1:24" ht="13.2">
      <c r="A314" s="113"/>
      <c r="X314" s="118"/>
    </row>
    <row r="315" spans="1:24" ht="13.2">
      <c r="A315" s="113"/>
      <c r="X315" s="118"/>
    </row>
    <row r="316" spans="1:24" ht="13.2">
      <c r="A316" s="113"/>
      <c r="X316" s="118"/>
    </row>
    <row r="317" spans="1:24" ht="13.2">
      <c r="A317" s="113"/>
      <c r="X317" s="118"/>
    </row>
    <row r="318" spans="1:24" ht="13.2">
      <c r="A318" s="113"/>
      <c r="X318" s="118"/>
    </row>
    <row r="319" spans="1:24" ht="13.2">
      <c r="A319" s="113"/>
      <c r="X319" s="118"/>
    </row>
    <row r="320" spans="1:24" ht="13.2">
      <c r="A320" s="113"/>
      <c r="X320" s="118"/>
    </row>
    <row r="321" spans="1:24" ht="13.2">
      <c r="A321" s="113"/>
      <c r="X321" s="118"/>
    </row>
    <row r="322" spans="1:24" ht="13.2">
      <c r="A322" s="113"/>
      <c r="X322" s="118"/>
    </row>
    <row r="323" spans="1:24" ht="13.2">
      <c r="A323" s="113"/>
      <c r="X323" s="118"/>
    </row>
    <row r="324" spans="1:24" ht="13.2">
      <c r="A324" s="113"/>
      <c r="X324" s="118"/>
    </row>
    <row r="325" spans="1:24" ht="13.2">
      <c r="A325" s="113"/>
      <c r="X325" s="118"/>
    </row>
    <row r="326" spans="1:24" ht="13.2">
      <c r="A326" s="113"/>
      <c r="X326" s="118"/>
    </row>
    <row r="327" spans="1:24" ht="13.2">
      <c r="A327" s="113"/>
      <c r="X327" s="118"/>
    </row>
    <row r="328" spans="1:24" ht="13.2">
      <c r="A328" s="113"/>
      <c r="X328" s="118"/>
    </row>
    <row r="329" spans="1:24" ht="13.2">
      <c r="A329" s="113"/>
      <c r="X329" s="118"/>
    </row>
    <row r="330" spans="1:24" ht="13.2">
      <c r="A330" s="113"/>
      <c r="X330" s="118"/>
    </row>
    <row r="331" spans="1:24" ht="13.2">
      <c r="A331" s="113"/>
      <c r="X331" s="118"/>
    </row>
    <row r="332" spans="1:24" ht="13.2">
      <c r="A332" s="113"/>
      <c r="X332" s="118"/>
    </row>
    <row r="333" spans="1:24" ht="13.2">
      <c r="A333" s="113"/>
      <c r="X333" s="118"/>
    </row>
    <row r="334" spans="1:24" ht="13.2">
      <c r="A334" s="113"/>
      <c r="X334" s="118"/>
    </row>
    <row r="335" spans="1:24" ht="13.2">
      <c r="A335" s="113"/>
      <c r="X335" s="118"/>
    </row>
    <row r="336" spans="1:24" ht="13.2">
      <c r="A336" s="113"/>
      <c r="X336" s="118"/>
    </row>
    <row r="337" spans="1:24" ht="13.2">
      <c r="A337" s="113"/>
      <c r="X337" s="118"/>
    </row>
    <row r="338" spans="1:24" ht="13.2">
      <c r="A338" s="113"/>
      <c r="X338" s="118"/>
    </row>
    <row r="339" spans="1:24" ht="13.2">
      <c r="A339" s="113"/>
      <c r="X339" s="118"/>
    </row>
    <row r="340" spans="1:24" ht="13.2">
      <c r="A340" s="113"/>
      <c r="X340" s="118"/>
    </row>
    <row r="341" spans="1:24" ht="13.2">
      <c r="A341" s="113"/>
      <c r="X341" s="118"/>
    </row>
    <row r="342" spans="1:24" ht="13.2">
      <c r="A342" s="113"/>
      <c r="X342" s="118"/>
    </row>
    <row r="343" spans="1:24" ht="13.2">
      <c r="A343" s="113"/>
      <c r="X343" s="118"/>
    </row>
    <row r="344" spans="1:24" ht="13.2">
      <c r="A344" s="113"/>
      <c r="X344" s="118"/>
    </row>
    <row r="345" spans="1:24" ht="13.2">
      <c r="A345" s="113"/>
      <c r="X345" s="118"/>
    </row>
    <row r="346" spans="1:24" ht="13.2">
      <c r="A346" s="113"/>
      <c r="X346" s="118"/>
    </row>
    <row r="347" spans="1:24" ht="13.2">
      <c r="A347" s="113"/>
      <c r="X347" s="118"/>
    </row>
    <row r="348" spans="1:24" ht="13.2">
      <c r="A348" s="113"/>
      <c r="X348" s="118"/>
    </row>
    <row r="349" spans="1:24" ht="13.2">
      <c r="A349" s="113"/>
      <c r="X349" s="118"/>
    </row>
    <row r="350" spans="1:24" ht="13.2">
      <c r="A350" s="113"/>
      <c r="X350" s="118"/>
    </row>
    <row r="351" spans="1:24" ht="13.2">
      <c r="A351" s="113"/>
      <c r="X351" s="118"/>
    </row>
    <row r="352" spans="1:24" ht="13.2">
      <c r="A352" s="113"/>
      <c r="X352" s="118"/>
    </row>
    <row r="353" spans="1:24" ht="13.2">
      <c r="A353" s="113"/>
      <c r="X353" s="118"/>
    </row>
    <row r="354" spans="1:24" ht="13.2">
      <c r="A354" s="113"/>
      <c r="X354" s="118"/>
    </row>
    <row r="355" spans="1:24" ht="13.2">
      <c r="A355" s="113"/>
      <c r="X355" s="118"/>
    </row>
    <row r="356" spans="1:24" ht="13.2">
      <c r="A356" s="113"/>
      <c r="X356" s="118"/>
    </row>
    <row r="357" spans="1:24" ht="13.2">
      <c r="A357" s="113"/>
      <c r="X357" s="118"/>
    </row>
    <row r="358" spans="1:24" ht="13.2">
      <c r="A358" s="113"/>
      <c r="X358" s="118"/>
    </row>
    <row r="359" spans="1:24" ht="13.2">
      <c r="A359" s="113"/>
      <c r="X359" s="118"/>
    </row>
    <row r="360" spans="1:24" ht="13.2">
      <c r="A360" s="113"/>
      <c r="X360" s="118"/>
    </row>
    <row r="361" spans="1:24" ht="13.2">
      <c r="A361" s="113"/>
      <c r="X361" s="118"/>
    </row>
    <row r="362" spans="1:24" ht="13.2">
      <c r="A362" s="113"/>
      <c r="X362" s="118"/>
    </row>
    <row r="363" spans="1:24" ht="13.2">
      <c r="A363" s="113"/>
      <c r="X363" s="118"/>
    </row>
    <row r="364" spans="1:24" ht="13.2">
      <c r="A364" s="113"/>
      <c r="X364" s="118"/>
    </row>
    <row r="365" spans="1:24" ht="13.2">
      <c r="A365" s="113"/>
      <c r="X365" s="118"/>
    </row>
    <row r="366" spans="1:24" ht="13.2">
      <c r="A366" s="113"/>
      <c r="X366" s="118"/>
    </row>
    <row r="367" spans="1:24" ht="13.2">
      <c r="A367" s="113"/>
      <c r="X367" s="118"/>
    </row>
    <row r="368" spans="1:24" ht="13.2">
      <c r="A368" s="113"/>
      <c r="X368" s="118"/>
    </row>
    <row r="369" spans="1:24" ht="13.2">
      <c r="A369" s="113"/>
      <c r="X369" s="118"/>
    </row>
    <row r="370" spans="1:24" ht="13.2">
      <c r="A370" s="113"/>
      <c r="X370" s="118"/>
    </row>
    <row r="371" spans="1:24" ht="13.2">
      <c r="A371" s="113"/>
      <c r="X371" s="118"/>
    </row>
    <row r="372" spans="1:24" ht="13.2">
      <c r="A372" s="113"/>
      <c r="X372" s="118"/>
    </row>
    <row r="373" spans="1:24" ht="13.2">
      <c r="A373" s="113"/>
      <c r="X373" s="118"/>
    </row>
    <row r="374" spans="1:24" ht="13.2">
      <c r="A374" s="113"/>
      <c r="X374" s="118"/>
    </row>
    <row r="375" spans="1:24" ht="13.2">
      <c r="A375" s="113"/>
      <c r="X375" s="118"/>
    </row>
    <row r="376" spans="1:24" ht="13.2">
      <c r="A376" s="113"/>
      <c r="X376" s="118"/>
    </row>
    <row r="377" spans="1:24" ht="13.2">
      <c r="A377" s="113"/>
      <c r="X377" s="118"/>
    </row>
    <row r="378" spans="1:24" ht="13.2">
      <c r="A378" s="113"/>
      <c r="X378" s="118"/>
    </row>
    <row r="379" spans="1:24" ht="13.2">
      <c r="A379" s="113"/>
      <c r="X379" s="118"/>
    </row>
    <row r="380" spans="1:24" ht="13.2">
      <c r="A380" s="113"/>
      <c r="X380" s="118"/>
    </row>
    <row r="381" spans="1:24" ht="13.2">
      <c r="A381" s="113"/>
      <c r="X381" s="118"/>
    </row>
    <row r="382" spans="1:24" ht="13.2">
      <c r="A382" s="113"/>
      <c r="X382" s="118"/>
    </row>
    <row r="383" spans="1:24" ht="13.2">
      <c r="A383" s="113"/>
      <c r="X383" s="118"/>
    </row>
    <row r="384" spans="1:24" ht="13.2">
      <c r="A384" s="113"/>
      <c r="X384" s="118"/>
    </row>
    <row r="385" spans="1:24" ht="13.2">
      <c r="A385" s="113"/>
      <c r="X385" s="118"/>
    </row>
    <row r="386" spans="1:24" ht="13.2">
      <c r="A386" s="113"/>
      <c r="X386" s="118"/>
    </row>
    <row r="387" spans="1:24" ht="13.2">
      <c r="A387" s="113"/>
      <c r="X387" s="118"/>
    </row>
    <row r="388" spans="1:24" ht="13.2">
      <c r="A388" s="113"/>
      <c r="X388" s="118"/>
    </row>
    <row r="389" spans="1:24" ht="13.2">
      <c r="A389" s="113"/>
      <c r="X389" s="118"/>
    </row>
    <row r="390" spans="1:24" ht="13.2">
      <c r="A390" s="113"/>
      <c r="X390" s="118"/>
    </row>
    <row r="391" spans="1:24" ht="13.2">
      <c r="A391" s="113"/>
      <c r="X391" s="118"/>
    </row>
    <row r="392" spans="1:24" ht="13.2">
      <c r="A392" s="113"/>
      <c r="X392" s="118"/>
    </row>
    <row r="393" spans="1:24" ht="13.2">
      <c r="A393" s="113"/>
      <c r="X393" s="118"/>
    </row>
    <row r="394" spans="1:24" ht="13.2">
      <c r="A394" s="113"/>
      <c r="X394" s="118"/>
    </row>
    <row r="395" spans="1:24" ht="13.2">
      <c r="A395" s="113"/>
      <c r="X395" s="118"/>
    </row>
    <row r="396" spans="1:24" ht="13.2">
      <c r="A396" s="113"/>
      <c r="X396" s="118"/>
    </row>
    <row r="397" spans="1:24" ht="13.2">
      <c r="A397" s="113"/>
      <c r="X397" s="118"/>
    </row>
    <row r="398" spans="1:24" ht="13.2">
      <c r="A398" s="113"/>
      <c r="X398" s="118"/>
    </row>
    <row r="399" spans="1:24" ht="13.2">
      <c r="A399" s="113"/>
      <c r="X399" s="118"/>
    </row>
    <row r="400" spans="1:24" ht="13.2">
      <c r="A400" s="113"/>
      <c r="X400" s="118"/>
    </row>
    <row r="401" spans="1:24" ht="13.2">
      <c r="A401" s="113"/>
      <c r="X401" s="118"/>
    </row>
    <row r="402" spans="1:24" ht="13.2">
      <c r="A402" s="113"/>
      <c r="X402" s="118"/>
    </row>
    <row r="403" spans="1:24" ht="13.2">
      <c r="A403" s="113"/>
      <c r="X403" s="118"/>
    </row>
    <row r="404" spans="1:24" ht="13.2">
      <c r="A404" s="113"/>
      <c r="X404" s="118"/>
    </row>
    <row r="405" spans="1:24" ht="13.2">
      <c r="A405" s="113"/>
      <c r="X405" s="118"/>
    </row>
    <row r="406" spans="1:24" ht="13.2">
      <c r="A406" s="113"/>
      <c r="X406" s="118"/>
    </row>
    <row r="407" spans="1:24" ht="13.2">
      <c r="A407" s="113"/>
      <c r="X407" s="118"/>
    </row>
    <row r="408" spans="1:24" ht="13.2">
      <c r="A408" s="113"/>
      <c r="X408" s="118"/>
    </row>
    <row r="409" spans="1:24" ht="13.2">
      <c r="A409" s="113"/>
      <c r="X409" s="118"/>
    </row>
    <row r="410" spans="1:24" ht="13.2">
      <c r="A410" s="113"/>
      <c r="X410" s="118"/>
    </row>
    <row r="411" spans="1:24" ht="13.2">
      <c r="A411" s="113"/>
      <c r="X411" s="118"/>
    </row>
    <row r="412" spans="1:24" ht="13.2">
      <c r="A412" s="113"/>
      <c r="X412" s="118"/>
    </row>
    <row r="413" spans="1:24" ht="13.2">
      <c r="A413" s="113"/>
      <c r="X413" s="118"/>
    </row>
    <row r="414" spans="1:24" ht="13.2">
      <c r="A414" s="113"/>
      <c r="X414" s="118"/>
    </row>
    <row r="415" spans="1:24" ht="13.2">
      <c r="A415" s="113"/>
      <c r="X415" s="118"/>
    </row>
    <row r="416" spans="1:24" ht="13.2">
      <c r="A416" s="113"/>
      <c r="X416" s="118"/>
    </row>
    <row r="417" spans="1:24" ht="13.2">
      <c r="A417" s="113"/>
      <c r="X417" s="118"/>
    </row>
    <row r="418" spans="1:24" ht="13.2">
      <c r="A418" s="113"/>
      <c r="X418" s="118"/>
    </row>
    <row r="419" spans="1:24" ht="13.2">
      <c r="A419" s="113"/>
      <c r="X419" s="118"/>
    </row>
    <row r="420" spans="1:24" ht="13.2">
      <c r="A420" s="113"/>
      <c r="X420" s="118"/>
    </row>
    <row r="421" spans="1:24" ht="13.2">
      <c r="A421" s="113"/>
      <c r="X421" s="118"/>
    </row>
    <row r="422" spans="1:24" ht="13.2">
      <c r="A422" s="113"/>
      <c r="X422" s="118"/>
    </row>
    <row r="423" spans="1:24" ht="13.2">
      <c r="A423" s="113"/>
      <c r="X423" s="118"/>
    </row>
    <row r="424" spans="1:24" ht="13.2">
      <c r="A424" s="113"/>
      <c r="X424" s="118"/>
    </row>
    <row r="425" spans="1:24" ht="13.2">
      <c r="A425" s="113"/>
      <c r="X425" s="118"/>
    </row>
    <row r="426" spans="1:24" ht="13.2">
      <c r="A426" s="113"/>
      <c r="X426" s="118"/>
    </row>
    <row r="427" spans="1:24" ht="13.2">
      <c r="A427" s="113"/>
      <c r="X427" s="118"/>
    </row>
    <row r="428" spans="1:24" ht="13.2">
      <c r="A428" s="113"/>
      <c r="X428" s="118"/>
    </row>
    <row r="429" spans="1:24" ht="13.2">
      <c r="A429" s="113"/>
      <c r="X429" s="118"/>
    </row>
    <row r="430" spans="1:24" ht="13.2">
      <c r="A430" s="113"/>
      <c r="X430" s="118"/>
    </row>
    <row r="431" spans="1:24" ht="13.2">
      <c r="A431" s="113"/>
      <c r="X431" s="118"/>
    </row>
    <row r="432" spans="1:24" ht="13.2">
      <c r="A432" s="113"/>
      <c r="X432" s="118"/>
    </row>
    <row r="433" spans="1:24" ht="13.2">
      <c r="A433" s="113"/>
      <c r="X433" s="118"/>
    </row>
    <row r="434" spans="1:24" ht="13.2">
      <c r="A434" s="113"/>
      <c r="X434" s="118"/>
    </row>
    <row r="435" spans="1:24" ht="13.2">
      <c r="A435" s="113"/>
      <c r="X435" s="118"/>
    </row>
    <row r="436" spans="1:24" ht="13.2">
      <c r="A436" s="113"/>
      <c r="X436" s="118"/>
    </row>
    <row r="437" spans="1:24" ht="13.2">
      <c r="A437" s="113"/>
      <c r="X437" s="118"/>
    </row>
    <row r="438" spans="1:24" ht="13.2">
      <c r="A438" s="113"/>
      <c r="X438" s="118"/>
    </row>
    <row r="439" spans="1:24" ht="13.2">
      <c r="A439" s="113"/>
      <c r="X439" s="118"/>
    </row>
    <row r="440" spans="1:24" ht="13.2">
      <c r="A440" s="113"/>
      <c r="X440" s="118"/>
    </row>
    <row r="441" spans="1:24" ht="13.2">
      <c r="A441" s="113"/>
      <c r="X441" s="118"/>
    </row>
    <row r="442" spans="1:24" ht="13.2">
      <c r="A442" s="113"/>
      <c r="X442" s="118"/>
    </row>
    <row r="443" spans="1:24" ht="13.2">
      <c r="A443" s="113"/>
      <c r="X443" s="118"/>
    </row>
    <row r="444" spans="1:24" ht="13.2">
      <c r="A444" s="113"/>
      <c r="X444" s="118"/>
    </row>
    <row r="445" spans="1:24" ht="13.2">
      <c r="A445" s="113"/>
      <c r="X445" s="118"/>
    </row>
    <row r="446" spans="1:24" ht="13.2">
      <c r="A446" s="113"/>
      <c r="X446" s="118"/>
    </row>
    <row r="447" spans="1:24" ht="13.2">
      <c r="A447" s="113"/>
      <c r="X447" s="118"/>
    </row>
    <row r="448" spans="1:24" ht="13.2">
      <c r="A448" s="113"/>
      <c r="X448" s="118"/>
    </row>
    <row r="449" spans="1:24" ht="13.2">
      <c r="A449" s="113"/>
      <c r="X449" s="118"/>
    </row>
    <row r="450" spans="1:24" ht="13.2">
      <c r="A450" s="113"/>
      <c r="X450" s="118"/>
    </row>
    <row r="451" spans="1:24" ht="13.2">
      <c r="A451" s="113"/>
      <c r="X451" s="118"/>
    </row>
    <row r="452" spans="1:24" ht="13.2">
      <c r="A452" s="113"/>
      <c r="X452" s="118"/>
    </row>
    <row r="453" spans="1:24" ht="13.2">
      <c r="A453" s="113"/>
      <c r="X453" s="118"/>
    </row>
    <row r="454" spans="1:24" ht="13.2">
      <c r="A454" s="113"/>
      <c r="X454" s="118"/>
    </row>
    <row r="455" spans="1:24" ht="13.2">
      <c r="A455" s="113"/>
      <c r="X455" s="118"/>
    </row>
    <row r="456" spans="1:24" ht="13.2">
      <c r="A456" s="113"/>
      <c r="X456" s="118"/>
    </row>
    <row r="457" spans="1:24" ht="13.2">
      <c r="A457" s="113"/>
      <c r="X457" s="118"/>
    </row>
    <row r="458" spans="1:24" ht="13.2">
      <c r="A458" s="113"/>
      <c r="X458" s="118"/>
    </row>
    <row r="459" spans="1:24" ht="13.2">
      <c r="A459" s="113"/>
      <c r="X459" s="118"/>
    </row>
    <row r="460" spans="1:24" ht="13.2">
      <c r="A460" s="113"/>
      <c r="X460" s="118"/>
    </row>
    <row r="461" spans="1:24" ht="13.2">
      <c r="A461" s="113"/>
      <c r="X461" s="118"/>
    </row>
    <row r="462" spans="1:24" ht="13.2">
      <c r="A462" s="113"/>
      <c r="X462" s="118"/>
    </row>
    <row r="463" spans="1:24" ht="13.2">
      <c r="A463" s="113"/>
      <c r="X463" s="118"/>
    </row>
    <row r="464" spans="1:24" ht="13.2">
      <c r="A464" s="113"/>
      <c r="X464" s="118"/>
    </row>
    <row r="465" spans="1:24" ht="13.2">
      <c r="A465" s="113"/>
      <c r="X465" s="118"/>
    </row>
    <row r="466" spans="1:24" ht="13.2">
      <c r="A466" s="113"/>
      <c r="X466" s="118"/>
    </row>
    <row r="467" spans="1:24" ht="13.2">
      <c r="A467" s="113"/>
      <c r="X467" s="118"/>
    </row>
    <row r="468" spans="1:24" ht="13.2">
      <c r="A468" s="113"/>
      <c r="X468" s="118"/>
    </row>
    <row r="469" spans="1:24" ht="13.2">
      <c r="A469" s="113"/>
      <c r="X469" s="118"/>
    </row>
    <row r="470" spans="1:24" ht="13.2">
      <c r="A470" s="113"/>
      <c r="X470" s="118"/>
    </row>
    <row r="471" spans="1:24" ht="13.2">
      <c r="A471" s="113"/>
      <c r="X471" s="118"/>
    </row>
    <row r="472" spans="1:24" ht="13.2">
      <c r="A472" s="113"/>
      <c r="X472" s="118"/>
    </row>
    <row r="473" spans="1:24" ht="13.2">
      <c r="A473" s="113"/>
      <c r="X473" s="118"/>
    </row>
    <row r="474" spans="1:24" ht="13.2">
      <c r="A474" s="113"/>
      <c r="X474" s="118"/>
    </row>
    <row r="475" spans="1:24" ht="13.2">
      <c r="A475" s="113"/>
      <c r="X475" s="118"/>
    </row>
    <row r="476" spans="1:24" ht="13.2">
      <c r="A476" s="113"/>
      <c r="X476" s="118"/>
    </row>
    <row r="477" spans="1:24" ht="13.2">
      <c r="A477" s="113"/>
      <c r="X477" s="118"/>
    </row>
    <row r="478" spans="1:24" ht="13.2">
      <c r="A478" s="113"/>
      <c r="X478" s="118"/>
    </row>
    <row r="479" spans="1:24" ht="13.2">
      <c r="A479" s="113"/>
      <c r="X479" s="118"/>
    </row>
    <row r="480" spans="1:24" ht="13.2">
      <c r="A480" s="113"/>
      <c r="X480" s="118"/>
    </row>
    <row r="481" spans="1:24" ht="13.2">
      <c r="A481" s="113"/>
      <c r="X481" s="118"/>
    </row>
    <row r="482" spans="1:24" ht="13.2">
      <c r="A482" s="113"/>
      <c r="X482" s="118"/>
    </row>
    <row r="483" spans="1:24" ht="13.2">
      <c r="A483" s="113"/>
      <c r="X483" s="118"/>
    </row>
    <row r="484" spans="1:24" ht="13.2">
      <c r="A484" s="113"/>
      <c r="X484" s="118"/>
    </row>
    <row r="485" spans="1:24" ht="13.2">
      <c r="A485" s="113"/>
      <c r="X485" s="118"/>
    </row>
    <row r="486" spans="1:24" ht="13.2">
      <c r="A486" s="113"/>
      <c r="X486" s="118"/>
    </row>
    <row r="487" spans="1:24" ht="13.2">
      <c r="A487" s="113"/>
      <c r="X487" s="118"/>
    </row>
    <row r="488" spans="1:24" ht="13.2">
      <c r="A488" s="113"/>
      <c r="X488" s="118"/>
    </row>
    <row r="489" spans="1:24" ht="13.2">
      <c r="A489" s="113"/>
      <c r="X489" s="118"/>
    </row>
    <row r="490" spans="1:24" ht="13.2">
      <c r="A490" s="113"/>
      <c r="X490" s="118"/>
    </row>
    <row r="491" spans="1:24" ht="13.2">
      <c r="A491" s="113"/>
      <c r="X491" s="118"/>
    </row>
    <row r="492" spans="1:24" ht="13.2">
      <c r="A492" s="113"/>
      <c r="X492" s="118"/>
    </row>
    <row r="493" spans="1:24" ht="13.2">
      <c r="A493" s="113"/>
      <c r="X493" s="118"/>
    </row>
    <row r="494" spans="1:24" ht="13.2">
      <c r="A494" s="113"/>
      <c r="X494" s="118"/>
    </row>
    <row r="495" spans="1:24" ht="13.2">
      <c r="A495" s="113"/>
      <c r="X495" s="118"/>
    </row>
    <row r="496" spans="1:24" ht="13.2">
      <c r="A496" s="113"/>
      <c r="X496" s="118"/>
    </row>
    <row r="497" spans="1:24" ht="13.2">
      <c r="A497" s="113"/>
      <c r="X497" s="118"/>
    </row>
    <row r="498" spans="1:24" ht="13.2">
      <c r="A498" s="113"/>
      <c r="X498" s="118"/>
    </row>
    <row r="499" spans="1:24" ht="13.2">
      <c r="A499" s="113"/>
      <c r="X499" s="118"/>
    </row>
    <row r="500" spans="1:24" ht="13.2">
      <c r="A500" s="113"/>
      <c r="X500" s="118"/>
    </row>
    <row r="501" spans="1:24" ht="13.2">
      <c r="A501" s="113"/>
      <c r="X501" s="118"/>
    </row>
    <row r="502" spans="1:24" ht="13.2">
      <c r="A502" s="113"/>
      <c r="X502" s="118"/>
    </row>
    <row r="503" spans="1:24" ht="13.2">
      <c r="A503" s="113"/>
      <c r="X503" s="118"/>
    </row>
    <row r="504" spans="1:24" ht="13.2">
      <c r="A504" s="113"/>
      <c r="X504" s="118"/>
    </row>
    <row r="505" spans="1:24" ht="13.2">
      <c r="A505" s="113"/>
      <c r="X505" s="118"/>
    </row>
    <row r="506" spans="1:24" ht="13.2">
      <c r="A506" s="113"/>
      <c r="X506" s="118"/>
    </row>
    <row r="507" spans="1:24" ht="13.2">
      <c r="A507" s="113"/>
      <c r="X507" s="118"/>
    </row>
    <row r="508" spans="1:24" ht="13.2">
      <c r="A508" s="113"/>
      <c r="X508" s="118"/>
    </row>
    <row r="509" spans="1:24" ht="13.2">
      <c r="A509" s="113"/>
      <c r="X509" s="118"/>
    </row>
    <row r="510" spans="1:24" ht="13.2">
      <c r="A510" s="113"/>
      <c r="X510" s="118"/>
    </row>
    <row r="511" spans="1:24" ht="13.2">
      <c r="A511" s="113"/>
      <c r="X511" s="118"/>
    </row>
    <row r="512" spans="1:24" ht="13.2">
      <c r="A512" s="113"/>
      <c r="X512" s="118"/>
    </row>
    <row r="513" spans="1:24" ht="13.2">
      <c r="A513" s="113"/>
      <c r="X513" s="118"/>
    </row>
    <row r="514" spans="1:24" ht="13.2">
      <c r="A514" s="113"/>
      <c r="X514" s="118"/>
    </row>
    <row r="515" spans="1:24" ht="13.2">
      <c r="A515" s="113"/>
      <c r="X515" s="118"/>
    </row>
    <row r="516" spans="1:24" ht="13.2">
      <c r="A516" s="113"/>
      <c r="X516" s="118"/>
    </row>
    <row r="517" spans="1:24" ht="13.2">
      <c r="A517" s="113"/>
      <c r="X517" s="118"/>
    </row>
    <row r="518" spans="1:24" ht="13.2">
      <c r="A518" s="113"/>
      <c r="X518" s="118"/>
    </row>
    <row r="519" spans="1:24" ht="13.2">
      <c r="A519" s="113"/>
      <c r="X519" s="118"/>
    </row>
    <row r="520" spans="1:24" ht="13.2">
      <c r="A520" s="113"/>
      <c r="X520" s="118"/>
    </row>
    <row r="521" spans="1:24" ht="13.2">
      <c r="A521" s="113"/>
      <c r="X521" s="118"/>
    </row>
    <row r="522" spans="1:24" ht="13.2">
      <c r="A522" s="113"/>
      <c r="X522" s="118"/>
    </row>
    <row r="523" spans="1:24" ht="13.2">
      <c r="A523" s="113"/>
      <c r="X523" s="118"/>
    </row>
    <row r="524" spans="1:24" ht="13.2">
      <c r="A524" s="113"/>
      <c r="X524" s="118"/>
    </row>
    <row r="525" spans="1:24" ht="13.2">
      <c r="A525" s="113"/>
      <c r="X525" s="118"/>
    </row>
    <row r="526" spans="1:24" ht="13.2">
      <c r="A526" s="113"/>
      <c r="X526" s="118"/>
    </row>
    <row r="527" spans="1:24" ht="13.2">
      <c r="A527" s="113"/>
      <c r="X527" s="118"/>
    </row>
    <row r="528" spans="1:24" ht="13.2">
      <c r="A528" s="113"/>
      <c r="X528" s="118"/>
    </row>
    <row r="529" spans="1:24" ht="13.2">
      <c r="A529" s="113"/>
      <c r="X529" s="118"/>
    </row>
    <row r="530" spans="1:24" ht="13.2">
      <c r="A530" s="113"/>
      <c r="X530" s="118"/>
    </row>
    <row r="531" spans="1:24" ht="13.2">
      <c r="A531" s="113"/>
      <c r="X531" s="118"/>
    </row>
    <row r="532" spans="1:24" ht="13.2">
      <c r="A532" s="113"/>
      <c r="X532" s="118"/>
    </row>
    <row r="533" spans="1:24" ht="13.2">
      <c r="A533" s="113"/>
      <c r="X533" s="118"/>
    </row>
    <row r="534" spans="1:24" ht="13.2">
      <c r="A534" s="113"/>
      <c r="X534" s="118"/>
    </row>
    <row r="535" spans="1:24" ht="13.2">
      <c r="A535" s="113"/>
      <c r="X535" s="118"/>
    </row>
    <row r="536" spans="1:24" ht="13.2">
      <c r="A536" s="113"/>
      <c r="X536" s="118"/>
    </row>
    <row r="537" spans="1:24" ht="13.2">
      <c r="A537" s="113"/>
      <c r="X537" s="118"/>
    </row>
    <row r="538" spans="1:24" ht="13.2">
      <c r="A538" s="113"/>
      <c r="X538" s="118"/>
    </row>
    <row r="539" spans="1:24" ht="13.2">
      <c r="A539" s="113"/>
      <c r="X539" s="118"/>
    </row>
    <row r="540" spans="1:24" ht="13.2">
      <c r="A540" s="113"/>
      <c r="X540" s="118"/>
    </row>
    <row r="541" spans="1:24" ht="13.2">
      <c r="A541" s="113"/>
      <c r="X541" s="118"/>
    </row>
    <row r="542" spans="1:24" ht="13.2">
      <c r="A542" s="113"/>
      <c r="X542" s="118"/>
    </row>
    <row r="543" spans="1:24" ht="13.2">
      <c r="A543" s="113"/>
      <c r="X543" s="118"/>
    </row>
    <row r="544" spans="1:24" ht="13.2">
      <c r="A544" s="113"/>
      <c r="X544" s="118"/>
    </row>
    <row r="545" spans="1:24" ht="13.2">
      <c r="A545" s="113"/>
      <c r="X545" s="118"/>
    </row>
    <row r="546" spans="1:24" ht="13.2">
      <c r="A546" s="113"/>
      <c r="X546" s="118"/>
    </row>
    <row r="547" spans="1:24" ht="13.2">
      <c r="A547" s="113"/>
      <c r="X547" s="118"/>
    </row>
    <row r="548" spans="1:24" ht="13.2">
      <c r="A548" s="113"/>
      <c r="X548" s="118"/>
    </row>
    <row r="549" spans="1:24" ht="13.2">
      <c r="A549" s="113"/>
      <c r="X549" s="118"/>
    </row>
    <row r="550" spans="1:24" ht="13.2">
      <c r="A550" s="113"/>
      <c r="X550" s="118"/>
    </row>
    <row r="551" spans="1:24" ht="13.2">
      <c r="A551" s="113"/>
      <c r="X551" s="118"/>
    </row>
    <row r="552" spans="1:24" ht="13.2">
      <c r="A552" s="113"/>
      <c r="X552" s="118"/>
    </row>
    <row r="553" spans="1:24" ht="13.2">
      <c r="A553" s="113"/>
      <c r="X553" s="118"/>
    </row>
    <row r="554" spans="1:24" ht="13.2">
      <c r="A554" s="113"/>
      <c r="X554" s="118"/>
    </row>
    <row r="555" spans="1:24" ht="13.2">
      <c r="A555" s="113"/>
      <c r="X555" s="118"/>
    </row>
    <row r="556" spans="1:24" ht="13.2">
      <c r="A556" s="113"/>
      <c r="X556" s="118"/>
    </row>
    <row r="557" spans="1:24" ht="13.2">
      <c r="A557" s="113"/>
      <c r="X557" s="118"/>
    </row>
    <row r="558" spans="1:24" ht="13.2">
      <c r="A558" s="113"/>
      <c r="X558" s="118"/>
    </row>
    <row r="559" spans="1:24" ht="13.2">
      <c r="A559" s="113"/>
      <c r="X559" s="118"/>
    </row>
    <row r="560" spans="1:24" ht="13.2">
      <c r="A560" s="113"/>
      <c r="X560" s="118"/>
    </row>
    <row r="561" spans="1:24" ht="13.2">
      <c r="A561" s="113"/>
      <c r="X561" s="118"/>
    </row>
    <row r="562" spans="1:24" ht="13.2">
      <c r="A562" s="113"/>
      <c r="X562" s="118"/>
    </row>
    <row r="563" spans="1:24" ht="13.2">
      <c r="A563" s="113"/>
      <c r="X563" s="118"/>
    </row>
    <row r="564" spans="1:24" ht="13.2">
      <c r="A564" s="113"/>
      <c r="X564" s="118"/>
    </row>
    <row r="565" spans="1:24" ht="13.2">
      <c r="A565" s="113"/>
      <c r="X565" s="118"/>
    </row>
    <row r="566" spans="1:24" ht="13.2">
      <c r="A566" s="113"/>
      <c r="X566" s="118"/>
    </row>
    <row r="567" spans="1:24" ht="13.2">
      <c r="A567" s="113"/>
      <c r="X567" s="118"/>
    </row>
    <row r="568" spans="1:24" ht="13.2">
      <c r="A568" s="113"/>
      <c r="X568" s="118"/>
    </row>
    <row r="569" spans="1:24" ht="13.2">
      <c r="A569" s="113"/>
      <c r="X569" s="118"/>
    </row>
    <row r="570" spans="1:24" ht="13.2">
      <c r="A570" s="113"/>
      <c r="X570" s="118"/>
    </row>
    <row r="571" spans="1:24" ht="13.2">
      <c r="A571" s="113"/>
      <c r="X571" s="118"/>
    </row>
    <row r="572" spans="1:24" ht="13.2">
      <c r="A572" s="113"/>
      <c r="X572" s="118"/>
    </row>
    <row r="573" spans="1:24" ht="13.2">
      <c r="A573" s="113"/>
      <c r="X573" s="118"/>
    </row>
    <row r="574" spans="1:24" ht="13.2">
      <c r="A574" s="113"/>
      <c r="X574" s="118"/>
    </row>
    <row r="575" spans="1:24" ht="13.2">
      <c r="A575" s="113"/>
      <c r="X575" s="118"/>
    </row>
    <row r="576" spans="1:24" ht="13.2">
      <c r="A576" s="113"/>
      <c r="X576" s="118"/>
    </row>
    <row r="577" spans="1:24" ht="13.2">
      <c r="A577" s="113"/>
      <c r="X577" s="118"/>
    </row>
    <row r="578" spans="1:24" ht="13.2">
      <c r="A578" s="113"/>
      <c r="X578" s="118"/>
    </row>
    <row r="579" spans="1:24" ht="13.2">
      <c r="A579" s="113"/>
      <c r="X579" s="118"/>
    </row>
    <row r="580" spans="1:24" ht="13.2">
      <c r="A580" s="113"/>
      <c r="X580" s="118"/>
    </row>
    <row r="581" spans="1:24" ht="13.2">
      <c r="A581" s="113"/>
      <c r="X581" s="118"/>
    </row>
    <row r="582" spans="1:24" ht="13.2">
      <c r="A582" s="113"/>
      <c r="X582" s="118"/>
    </row>
    <row r="583" spans="1:24" ht="13.2">
      <c r="A583" s="113"/>
      <c r="X583" s="118"/>
    </row>
    <row r="584" spans="1:24" ht="13.2">
      <c r="A584" s="113"/>
      <c r="X584" s="118"/>
    </row>
    <row r="585" spans="1:24" ht="13.2">
      <c r="A585" s="113"/>
      <c r="X585" s="118"/>
    </row>
    <row r="586" spans="1:24" ht="13.2">
      <c r="A586" s="113"/>
      <c r="X586" s="118"/>
    </row>
    <row r="587" spans="1:24" ht="13.2">
      <c r="A587" s="113"/>
      <c r="X587" s="118"/>
    </row>
    <row r="588" spans="1:24" ht="13.2">
      <c r="A588" s="113"/>
      <c r="X588" s="118"/>
    </row>
    <row r="589" spans="1:24" ht="13.2">
      <c r="A589" s="113"/>
      <c r="X589" s="118"/>
    </row>
    <row r="590" spans="1:24" ht="13.2">
      <c r="A590" s="113"/>
      <c r="X590" s="118"/>
    </row>
    <row r="591" spans="1:24" ht="13.2">
      <c r="A591" s="113"/>
      <c r="X591" s="118"/>
    </row>
    <row r="592" spans="1:24" ht="13.2">
      <c r="A592" s="113"/>
      <c r="X592" s="118"/>
    </row>
    <row r="593" spans="1:24" ht="13.2">
      <c r="A593" s="113"/>
      <c r="X593" s="118"/>
    </row>
    <row r="594" spans="1:24" ht="13.2">
      <c r="A594" s="113"/>
      <c r="X594" s="118"/>
    </row>
    <row r="595" spans="1:24" ht="13.2">
      <c r="A595" s="113"/>
      <c r="X595" s="118"/>
    </row>
    <row r="596" spans="1:24" ht="13.2">
      <c r="A596" s="113"/>
      <c r="X596" s="118"/>
    </row>
    <row r="597" spans="1:24" ht="13.2">
      <c r="A597" s="113"/>
      <c r="X597" s="118"/>
    </row>
    <row r="598" spans="1:24" ht="13.2">
      <c r="A598" s="113"/>
      <c r="X598" s="118"/>
    </row>
    <row r="599" spans="1:24" ht="13.2">
      <c r="A599" s="113"/>
      <c r="X599" s="118"/>
    </row>
    <row r="600" spans="1:24" ht="13.2">
      <c r="A600" s="113"/>
      <c r="X600" s="118"/>
    </row>
    <row r="601" spans="1:24" ht="13.2">
      <c r="A601" s="113"/>
      <c r="X601" s="118"/>
    </row>
    <row r="602" spans="1:24" ht="13.2">
      <c r="A602" s="113"/>
      <c r="X602" s="118"/>
    </row>
    <row r="603" spans="1:24" ht="13.2">
      <c r="A603" s="113"/>
      <c r="X603" s="118"/>
    </row>
    <row r="604" spans="1:24" ht="13.2">
      <c r="A604" s="113"/>
      <c r="X604" s="118"/>
    </row>
    <row r="605" spans="1:24" ht="13.2">
      <c r="A605" s="113"/>
      <c r="X605" s="118"/>
    </row>
    <row r="606" spans="1:24" ht="13.2">
      <c r="A606" s="113"/>
      <c r="X606" s="118"/>
    </row>
    <row r="607" spans="1:24" ht="13.2">
      <c r="A607" s="113"/>
      <c r="X607" s="118"/>
    </row>
    <row r="608" spans="1:24" ht="13.2">
      <c r="A608" s="113"/>
      <c r="X608" s="118"/>
    </row>
    <row r="609" spans="1:24" ht="13.2">
      <c r="A609" s="113"/>
      <c r="X609" s="118"/>
    </row>
    <row r="610" spans="1:24" ht="13.2">
      <c r="A610" s="113"/>
      <c r="X610" s="118"/>
    </row>
    <row r="611" spans="1:24" ht="13.2">
      <c r="A611" s="113"/>
      <c r="X611" s="118"/>
    </row>
    <row r="612" spans="1:24" ht="13.2">
      <c r="A612" s="113"/>
      <c r="X612" s="118"/>
    </row>
    <row r="613" spans="1:24" ht="13.2">
      <c r="A613" s="113"/>
      <c r="X613" s="118"/>
    </row>
    <row r="614" spans="1:24" ht="13.2">
      <c r="A614" s="113"/>
      <c r="X614" s="118"/>
    </row>
    <row r="615" spans="1:24" ht="13.2">
      <c r="A615" s="113"/>
      <c r="X615" s="118"/>
    </row>
    <row r="616" spans="1:24" ht="13.2">
      <c r="A616" s="113"/>
      <c r="X616" s="118"/>
    </row>
    <row r="617" spans="1:24" ht="13.2">
      <c r="A617" s="113"/>
      <c r="X617" s="118"/>
    </row>
    <row r="618" spans="1:24" ht="13.2">
      <c r="A618" s="113"/>
      <c r="X618" s="118"/>
    </row>
    <row r="619" spans="1:24" ht="13.2">
      <c r="A619" s="113"/>
      <c r="X619" s="118"/>
    </row>
    <row r="620" spans="1:24" ht="13.2">
      <c r="A620" s="113"/>
      <c r="X620" s="118"/>
    </row>
    <row r="621" spans="1:24" ht="13.2">
      <c r="A621" s="113"/>
      <c r="X621" s="118"/>
    </row>
    <row r="622" spans="1:24" ht="13.2">
      <c r="A622" s="113"/>
      <c r="X622" s="118"/>
    </row>
    <row r="623" spans="1:24" ht="13.2">
      <c r="A623" s="113"/>
      <c r="X623" s="118"/>
    </row>
    <row r="624" spans="1:24" ht="13.2">
      <c r="A624" s="113"/>
      <c r="X624" s="118"/>
    </row>
    <row r="625" spans="1:24" ht="13.2">
      <c r="A625" s="113"/>
      <c r="X625" s="118"/>
    </row>
    <row r="626" spans="1:24" ht="13.2">
      <c r="A626" s="113"/>
      <c r="X626" s="118"/>
    </row>
    <row r="627" spans="1:24" ht="13.2">
      <c r="A627" s="113"/>
      <c r="X627" s="118"/>
    </row>
    <row r="628" spans="1:24" ht="13.2">
      <c r="A628" s="113"/>
      <c r="X628" s="118"/>
    </row>
    <row r="629" spans="1:24" ht="13.2">
      <c r="A629" s="113"/>
      <c r="X629" s="118"/>
    </row>
    <row r="630" spans="1:24" ht="13.2">
      <c r="A630" s="113"/>
      <c r="X630" s="118"/>
    </row>
    <row r="631" spans="1:24" ht="13.2">
      <c r="A631" s="113"/>
      <c r="X631" s="118"/>
    </row>
    <row r="632" spans="1:24" ht="13.2">
      <c r="A632" s="113"/>
      <c r="X632" s="118"/>
    </row>
    <row r="633" spans="1:24" ht="13.2">
      <c r="A633" s="113"/>
      <c r="X633" s="118"/>
    </row>
    <row r="634" spans="1:24" ht="13.2">
      <c r="A634" s="113"/>
      <c r="X634" s="118"/>
    </row>
    <row r="635" spans="1:24" ht="13.2">
      <c r="A635" s="113"/>
      <c r="X635" s="118"/>
    </row>
    <row r="636" spans="1:24" ht="13.2">
      <c r="A636" s="113"/>
      <c r="X636" s="118"/>
    </row>
    <row r="637" spans="1:24" ht="13.2">
      <c r="A637" s="113"/>
      <c r="X637" s="118"/>
    </row>
    <row r="638" spans="1:24" ht="13.2">
      <c r="A638" s="113"/>
      <c r="X638" s="118"/>
    </row>
    <row r="639" spans="1:24" ht="13.2">
      <c r="A639" s="113"/>
      <c r="X639" s="118"/>
    </row>
    <row r="640" spans="1:24" ht="13.2">
      <c r="A640" s="113"/>
      <c r="X640" s="118"/>
    </row>
    <row r="641" spans="1:24" ht="13.2">
      <c r="A641" s="113"/>
      <c r="X641" s="118"/>
    </row>
    <row r="642" spans="1:24" ht="13.2">
      <c r="A642" s="113"/>
      <c r="X642" s="118"/>
    </row>
    <row r="643" spans="1:24" ht="13.2">
      <c r="A643" s="113"/>
      <c r="X643" s="118"/>
    </row>
    <row r="644" spans="1:24" ht="13.2">
      <c r="A644" s="113"/>
      <c r="X644" s="118"/>
    </row>
    <row r="645" spans="1:24" ht="13.2">
      <c r="A645" s="113"/>
      <c r="X645" s="118"/>
    </row>
    <row r="646" spans="1:24" ht="13.2">
      <c r="A646" s="113"/>
      <c r="X646" s="118"/>
    </row>
    <row r="647" spans="1:24" ht="13.2">
      <c r="A647" s="113"/>
      <c r="X647" s="118"/>
    </row>
    <row r="648" spans="1:24" ht="13.2">
      <c r="A648" s="113"/>
      <c r="X648" s="118"/>
    </row>
    <row r="649" spans="1:24" ht="13.2">
      <c r="A649" s="113"/>
      <c r="X649" s="118"/>
    </row>
    <row r="650" spans="1:24" ht="13.2">
      <c r="A650" s="113"/>
      <c r="X650" s="118"/>
    </row>
    <row r="651" spans="1:24" ht="13.2">
      <c r="A651" s="113"/>
      <c r="X651" s="118"/>
    </row>
    <row r="652" spans="1:24" ht="13.2">
      <c r="A652" s="113"/>
      <c r="X652" s="118"/>
    </row>
    <row r="653" spans="1:24" ht="13.2">
      <c r="A653" s="113"/>
      <c r="X653" s="118"/>
    </row>
    <row r="654" spans="1:24" ht="13.2">
      <c r="A654" s="113"/>
      <c r="X654" s="118"/>
    </row>
    <row r="655" spans="1:24" ht="13.2">
      <c r="A655" s="113"/>
      <c r="X655" s="118"/>
    </row>
    <row r="656" spans="1:24" ht="13.2">
      <c r="A656" s="113"/>
      <c r="X656" s="118"/>
    </row>
    <row r="657" spans="1:24" ht="13.2">
      <c r="A657" s="113"/>
      <c r="X657" s="118"/>
    </row>
    <row r="658" spans="1:24" ht="13.2">
      <c r="A658" s="113"/>
      <c r="X658" s="118"/>
    </row>
    <row r="659" spans="1:24" ht="13.2">
      <c r="A659" s="113"/>
      <c r="X659" s="118"/>
    </row>
    <row r="660" spans="1:24" ht="13.2">
      <c r="A660" s="113"/>
      <c r="X660" s="118"/>
    </row>
    <row r="661" spans="1:24" ht="13.2">
      <c r="A661" s="113"/>
      <c r="X661" s="118"/>
    </row>
    <row r="662" spans="1:24" ht="13.2">
      <c r="A662" s="113"/>
      <c r="X662" s="118"/>
    </row>
    <row r="663" spans="1:24" ht="13.2">
      <c r="A663" s="113"/>
      <c r="X663" s="118"/>
    </row>
    <row r="664" spans="1:24" ht="13.2">
      <c r="A664" s="113"/>
      <c r="X664" s="118"/>
    </row>
    <row r="665" spans="1:24" ht="13.2">
      <c r="A665" s="113"/>
      <c r="X665" s="118"/>
    </row>
    <row r="666" spans="1:24" ht="13.2">
      <c r="A666" s="113"/>
      <c r="X666" s="118"/>
    </row>
    <row r="667" spans="1:24" ht="13.2">
      <c r="A667" s="113"/>
      <c r="X667" s="118"/>
    </row>
    <row r="668" spans="1:24" ht="13.2">
      <c r="A668" s="113"/>
      <c r="X668" s="118"/>
    </row>
    <row r="669" spans="1:24" ht="13.2">
      <c r="A669" s="113"/>
      <c r="X669" s="118"/>
    </row>
    <row r="670" spans="1:24" ht="13.2">
      <c r="A670" s="113"/>
      <c r="X670" s="118"/>
    </row>
    <row r="671" spans="1:24" ht="13.2">
      <c r="A671" s="113"/>
      <c r="X671" s="118"/>
    </row>
    <row r="672" spans="1:24" ht="13.2">
      <c r="A672" s="113"/>
      <c r="X672" s="118"/>
    </row>
    <row r="673" spans="1:24" ht="13.2">
      <c r="A673" s="113"/>
      <c r="X673" s="118"/>
    </row>
    <row r="674" spans="1:24" ht="13.2">
      <c r="A674" s="113"/>
      <c r="X674" s="118"/>
    </row>
    <row r="675" spans="1:24" ht="13.2">
      <c r="A675" s="113"/>
      <c r="X675" s="118"/>
    </row>
    <row r="676" spans="1:24" ht="13.2">
      <c r="A676" s="113"/>
      <c r="X676" s="118"/>
    </row>
    <row r="677" spans="1:24" ht="13.2">
      <c r="A677" s="113"/>
      <c r="X677" s="118"/>
    </row>
    <row r="678" spans="1:24" ht="13.2">
      <c r="A678" s="113"/>
      <c r="X678" s="118"/>
    </row>
    <row r="679" spans="1:24" ht="13.2">
      <c r="A679" s="113"/>
      <c r="X679" s="118"/>
    </row>
    <row r="680" spans="1:24" ht="13.2">
      <c r="A680" s="113"/>
      <c r="X680" s="118"/>
    </row>
    <row r="681" spans="1:24" ht="13.2">
      <c r="A681" s="113"/>
      <c r="X681" s="118"/>
    </row>
    <row r="682" spans="1:24" ht="13.2">
      <c r="A682" s="113"/>
      <c r="X682" s="118"/>
    </row>
    <row r="683" spans="1:24" ht="13.2">
      <c r="A683" s="113"/>
      <c r="X683" s="118"/>
    </row>
    <row r="684" spans="1:24" ht="13.2">
      <c r="A684" s="113"/>
      <c r="X684" s="118"/>
    </row>
    <row r="685" spans="1:24" ht="13.2">
      <c r="A685" s="113"/>
      <c r="X685" s="118"/>
    </row>
    <row r="686" spans="1:24" ht="13.2">
      <c r="A686" s="113"/>
      <c r="X686" s="118"/>
    </row>
    <row r="687" spans="1:24" ht="13.2">
      <c r="A687" s="113"/>
      <c r="X687" s="118"/>
    </row>
    <row r="688" spans="1:24" ht="13.2">
      <c r="A688" s="113"/>
      <c r="X688" s="118"/>
    </row>
    <row r="689" spans="1:24" ht="13.2">
      <c r="A689" s="113"/>
      <c r="X689" s="118"/>
    </row>
    <row r="690" spans="1:24" ht="13.2">
      <c r="A690" s="113"/>
      <c r="X690" s="118"/>
    </row>
    <row r="691" spans="1:24" ht="13.2">
      <c r="A691" s="113"/>
      <c r="X691" s="118"/>
    </row>
    <row r="692" spans="1:24" ht="13.2">
      <c r="A692" s="113"/>
      <c r="X692" s="118"/>
    </row>
    <row r="693" spans="1:24" ht="13.2">
      <c r="A693" s="113"/>
      <c r="X693" s="118"/>
    </row>
    <row r="694" spans="1:24" ht="13.2">
      <c r="A694" s="113"/>
      <c r="X694" s="118"/>
    </row>
    <row r="695" spans="1:24" ht="13.2">
      <c r="A695" s="113"/>
      <c r="X695" s="118"/>
    </row>
    <row r="696" spans="1:24" ht="13.2">
      <c r="A696" s="113"/>
      <c r="X696" s="118"/>
    </row>
    <row r="697" spans="1:24" ht="13.2">
      <c r="A697" s="113"/>
      <c r="X697" s="118"/>
    </row>
    <row r="698" spans="1:24" ht="13.2">
      <c r="A698" s="113"/>
      <c r="X698" s="118"/>
    </row>
    <row r="699" spans="1:24" ht="13.2">
      <c r="A699" s="113"/>
      <c r="X699" s="118"/>
    </row>
    <row r="700" spans="1:24" ht="13.2">
      <c r="A700" s="113"/>
      <c r="X700" s="118"/>
    </row>
    <row r="701" spans="1:24" ht="13.2">
      <c r="A701" s="113"/>
      <c r="X701" s="118"/>
    </row>
    <row r="702" spans="1:24" ht="13.2">
      <c r="A702" s="113"/>
      <c r="X702" s="118"/>
    </row>
    <row r="703" spans="1:24" ht="13.2">
      <c r="A703" s="113"/>
      <c r="X703" s="118"/>
    </row>
    <row r="704" spans="1:24" ht="13.2">
      <c r="A704" s="113"/>
      <c r="X704" s="118"/>
    </row>
    <row r="705" spans="1:24" ht="13.2">
      <c r="A705" s="113"/>
      <c r="X705" s="118"/>
    </row>
    <row r="706" spans="1:24" ht="13.2">
      <c r="A706" s="113"/>
      <c r="X706" s="118"/>
    </row>
    <row r="707" spans="1:24" ht="13.2">
      <c r="A707" s="113"/>
      <c r="X707" s="118"/>
    </row>
    <row r="708" spans="1:24" ht="13.2">
      <c r="A708" s="113"/>
      <c r="X708" s="118"/>
    </row>
    <row r="709" spans="1:24" ht="13.2">
      <c r="A709" s="113"/>
      <c r="X709" s="118"/>
    </row>
    <row r="710" spans="1:24" ht="13.2">
      <c r="A710" s="113"/>
      <c r="X710" s="118"/>
    </row>
    <row r="711" spans="1:24" ht="13.2">
      <c r="A711" s="113"/>
      <c r="X711" s="118"/>
    </row>
    <row r="712" spans="1:24" ht="13.2">
      <c r="A712" s="113"/>
      <c r="X712" s="118"/>
    </row>
    <row r="713" spans="1:24" ht="13.2">
      <c r="A713" s="113"/>
      <c r="X713" s="118"/>
    </row>
    <row r="714" spans="1:24" ht="13.2">
      <c r="A714" s="113"/>
      <c r="X714" s="118"/>
    </row>
    <row r="715" spans="1:24" ht="13.2">
      <c r="A715" s="113"/>
      <c r="X715" s="118"/>
    </row>
    <row r="716" spans="1:24" ht="13.2">
      <c r="A716" s="113"/>
      <c r="X716" s="118"/>
    </row>
    <row r="717" spans="1:24" ht="13.2">
      <c r="A717" s="113"/>
      <c r="X717" s="118"/>
    </row>
    <row r="718" spans="1:24" ht="13.2">
      <c r="A718" s="113"/>
      <c r="X718" s="118"/>
    </row>
    <row r="719" spans="1:24" ht="13.2">
      <c r="A719" s="113"/>
      <c r="X719" s="118"/>
    </row>
    <row r="720" spans="1:24" ht="13.2">
      <c r="A720" s="113"/>
      <c r="X720" s="118"/>
    </row>
    <row r="721" spans="1:24" ht="13.2">
      <c r="A721" s="113"/>
      <c r="X721" s="118"/>
    </row>
    <row r="722" spans="1:24" ht="13.2">
      <c r="A722" s="113"/>
      <c r="X722" s="118"/>
    </row>
    <row r="723" spans="1:24" ht="13.2">
      <c r="A723" s="113"/>
      <c r="X723" s="118"/>
    </row>
    <row r="724" spans="1:24" ht="13.2">
      <c r="A724" s="113"/>
      <c r="X724" s="118"/>
    </row>
    <row r="725" spans="1:24" ht="13.2">
      <c r="A725" s="113"/>
      <c r="X725" s="118"/>
    </row>
    <row r="726" spans="1:24" ht="13.2">
      <c r="A726" s="113"/>
      <c r="X726" s="118"/>
    </row>
    <row r="727" spans="1:24" ht="13.2">
      <c r="A727" s="113"/>
      <c r="X727" s="118"/>
    </row>
    <row r="728" spans="1:24" ht="13.2">
      <c r="A728" s="113"/>
      <c r="X728" s="118"/>
    </row>
    <row r="729" spans="1:24" ht="13.2">
      <c r="A729" s="113"/>
      <c r="X729" s="118"/>
    </row>
    <row r="730" spans="1:24" ht="13.2">
      <c r="A730" s="113"/>
      <c r="X730" s="118"/>
    </row>
    <row r="731" spans="1:24" ht="13.2">
      <c r="A731" s="113"/>
      <c r="X731" s="118"/>
    </row>
    <row r="732" spans="1:24" ht="13.2">
      <c r="A732" s="113"/>
      <c r="X732" s="118"/>
    </row>
    <row r="733" spans="1:24" ht="13.2">
      <c r="A733" s="113"/>
      <c r="X733" s="118"/>
    </row>
    <row r="734" spans="1:24" ht="13.2">
      <c r="A734" s="113"/>
      <c r="X734" s="118"/>
    </row>
    <row r="735" spans="1:24" ht="13.2">
      <c r="A735" s="113"/>
      <c r="X735" s="118"/>
    </row>
    <row r="736" spans="1:24" ht="13.2">
      <c r="A736" s="113"/>
      <c r="X736" s="118"/>
    </row>
    <row r="737" spans="1:24" ht="13.2">
      <c r="A737" s="113"/>
      <c r="X737" s="118"/>
    </row>
    <row r="738" spans="1:24" ht="13.2">
      <c r="A738" s="113"/>
      <c r="X738" s="118"/>
    </row>
    <row r="739" spans="1:24" ht="13.2">
      <c r="A739" s="113"/>
      <c r="X739" s="118"/>
    </row>
    <row r="740" spans="1:24" ht="13.2">
      <c r="A740" s="113"/>
      <c r="X740" s="118"/>
    </row>
    <row r="741" spans="1:24" ht="13.2">
      <c r="A741" s="113"/>
      <c r="X741" s="118"/>
    </row>
    <row r="742" spans="1:24" ht="13.2">
      <c r="A742" s="113"/>
      <c r="X742" s="118"/>
    </row>
    <row r="743" spans="1:24" ht="13.2">
      <c r="A743" s="113"/>
      <c r="X743" s="118"/>
    </row>
    <row r="744" spans="1:24" ht="13.2">
      <c r="A744" s="113"/>
      <c r="X744" s="118"/>
    </row>
    <row r="745" spans="1:24" ht="13.2">
      <c r="A745" s="113"/>
      <c r="X745" s="118"/>
    </row>
    <row r="746" spans="1:24" ht="13.2">
      <c r="A746" s="113"/>
      <c r="X746" s="118"/>
    </row>
    <row r="747" spans="1:24" ht="13.2">
      <c r="A747" s="113"/>
      <c r="X747" s="118"/>
    </row>
    <row r="748" spans="1:24" ht="13.2">
      <c r="A748" s="113"/>
      <c r="X748" s="118"/>
    </row>
    <row r="749" spans="1:24" ht="13.2">
      <c r="A749" s="113"/>
      <c r="X749" s="118"/>
    </row>
    <row r="750" spans="1:24" ht="13.2">
      <c r="A750" s="113"/>
      <c r="X750" s="118"/>
    </row>
    <row r="751" spans="1:24" ht="13.2">
      <c r="A751" s="113"/>
      <c r="X751" s="118"/>
    </row>
    <row r="752" spans="1:24" ht="13.2">
      <c r="A752" s="113"/>
      <c r="X752" s="118"/>
    </row>
    <row r="753" spans="1:24" ht="13.2">
      <c r="A753" s="113"/>
      <c r="X753" s="118"/>
    </row>
    <row r="754" spans="1:24" ht="13.2">
      <c r="A754" s="113"/>
      <c r="X754" s="118"/>
    </row>
    <row r="755" spans="1:24" ht="13.2">
      <c r="A755" s="113"/>
      <c r="X755" s="118"/>
    </row>
    <row r="756" spans="1:24" ht="13.2">
      <c r="A756" s="113"/>
      <c r="X756" s="118"/>
    </row>
    <row r="757" spans="1:24" ht="13.2">
      <c r="A757" s="113"/>
      <c r="X757" s="118"/>
    </row>
    <row r="758" spans="1:24" ht="13.2">
      <c r="A758" s="113"/>
      <c r="X758" s="118"/>
    </row>
    <row r="759" spans="1:24" ht="13.2">
      <c r="A759" s="113"/>
      <c r="X759" s="118"/>
    </row>
    <row r="760" spans="1:24" ht="13.2">
      <c r="A760" s="113"/>
      <c r="X760" s="118"/>
    </row>
    <row r="761" spans="1:24" ht="13.2">
      <c r="A761" s="113"/>
      <c r="X761" s="118"/>
    </row>
    <row r="762" spans="1:24" ht="13.2">
      <c r="A762" s="113"/>
      <c r="X762" s="118"/>
    </row>
    <row r="763" spans="1:24" ht="13.2">
      <c r="A763" s="113"/>
      <c r="X763" s="118"/>
    </row>
    <row r="764" spans="1:24" ht="13.2">
      <c r="A764" s="113"/>
      <c r="X764" s="118"/>
    </row>
    <row r="765" spans="1:24" ht="13.2">
      <c r="A765" s="113"/>
      <c r="X765" s="118"/>
    </row>
    <row r="766" spans="1:24" ht="13.2">
      <c r="A766" s="113"/>
      <c r="X766" s="118"/>
    </row>
    <row r="767" spans="1:24" ht="13.2">
      <c r="A767" s="113"/>
      <c r="X767" s="118"/>
    </row>
    <row r="768" spans="1:24" ht="13.2">
      <c r="A768" s="113"/>
      <c r="X768" s="118"/>
    </row>
    <row r="769" spans="1:24" ht="13.2">
      <c r="A769" s="113"/>
      <c r="X769" s="118"/>
    </row>
    <row r="770" spans="1:24" ht="13.2">
      <c r="A770" s="113"/>
      <c r="X770" s="118"/>
    </row>
    <row r="771" spans="1:24" ht="13.2">
      <c r="A771" s="113"/>
      <c r="X771" s="118"/>
    </row>
    <row r="772" spans="1:24" ht="13.2">
      <c r="A772" s="113"/>
      <c r="X772" s="118"/>
    </row>
    <row r="773" spans="1:24" ht="13.2">
      <c r="A773" s="113"/>
      <c r="X773" s="118"/>
    </row>
    <row r="774" spans="1:24" ht="13.2">
      <c r="A774" s="113"/>
      <c r="X774" s="118"/>
    </row>
    <row r="775" spans="1:24" ht="13.2">
      <c r="A775" s="113"/>
      <c r="X775" s="118"/>
    </row>
    <row r="776" spans="1:24" ht="13.2">
      <c r="A776" s="113"/>
      <c r="X776" s="118"/>
    </row>
    <row r="777" spans="1:24" ht="13.2">
      <c r="A777" s="113"/>
      <c r="X777" s="118"/>
    </row>
    <row r="778" spans="1:24" ht="13.2">
      <c r="A778" s="113"/>
      <c r="X778" s="118"/>
    </row>
    <row r="779" spans="1:24" ht="13.2">
      <c r="A779" s="113"/>
      <c r="X779" s="118"/>
    </row>
    <row r="780" spans="1:24" ht="13.2">
      <c r="A780" s="113"/>
      <c r="X780" s="118"/>
    </row>
    <row r="781" spans="1:24" ht="13.2">
      <c r="A781" s="113"/>
      <c r="X781" s="118"/>
    </row>
    <row r="782" spans="1:24" ht="13.2">
      <c r="A782" s="113"/>
      <c r="X782" s="118"/>
    </row>
    <row r="783" spans="1:24" ht="13.2">
      <c r="A783" s="113"/>
      <c r="X783" s="118"/>
    </row>
    <row r="784" spans="1:24" ht="13.2">
      <c r="A784" s="113"/>
      <c r="X784" s="118"/>
    </row>
    <row r="785" spans="1:24" ht="13.2">
      <c r="A785" s="113"/>
      <c r="X785" s="118"/>
    </row>
    <row r="786" spans="1:24" ht="13.2">
      <c r="A786" s="113"/>
      <c r="X786" s="118"/>
    </row>
    <row r="787" spans="1:24" ht="13.2">
      <c r="A787" s="113"/>
      <c r="X787" s="118"/>
    </row>
    <row r="788" spans="1:24" ht="13.2">
      <c r="A788" s="113"/>
      <c r="X788" s="118"/>
    </row>
    <row r="789" spans="1:24" ht="13.2">
      <c r="A789" s="113"/>
      <c r="X789" s="118"/>
    </row>
    <row r="790" spans="1:24" ht="13.2">
      <c r="A790" s="113"/>
      <c r="X790" s="118"/>
    </row>
    <row r="791" spans="1:24" ht="13.2">
      <c r="A791" s="113"/>
      <c r="X791" s="118"/>
    </row>
    <row r="792" spans="1:24" ht="13.2">
      <c r="A792" s="113"/>
      <c r="X792" s="118"/>
    </row>
    <row r="793" spans="1:24" ht="13.2">
      <c r="A793" s="113"/>
      <c r="X793" s="118"/>
    </row>
    <row r="794" spans="1:24" ht="13.2">
      <c r="A794" s="113"/>
      <c r="X794" s="118"/>
    </row>
    <row r="795" spans="1:24" ht="13.2">
      <c r="A795" s="113"/>
      <c r="X795" s="118"/>
    </row>
    <row r="796" spans="1:24" ht="13.2">
      <c r="A796" s="113"/>
      <c r="X796" s="118"/>
    </row>
    <row r="797" spans="1:24" ht="13.2">
      <c r="A797" s="113"/>
      <c r="X797" s="118"/>
    </row>
    <row r="798" spans="1:24" ht="13.2">
      <c r="A798" s="113"/>
      <c r="X798" s="118"/>
    </row>
    <row r="799" spans="1:24" ht="13.2">
      <c r="A799" s="113"/>
      <c r="X799" s="118"/>
    </row>
    <row r="800" spans="1:24" ht="13.2">
      <c r="A800" s="113"/>
      <c r="X800" s="118"/>
    </row>
    <row r="801" spans="1:24" ht="13.2">
      <c r="A801" s="113"/>
      <c r="X801" s="118"/>
    </row>
    <row r="802" spans="1:24" ht="13.2">
      <c r="A802" s="113"/>
      <c r="X802" s="118"/>
    </row>
    <row r="803" spans="1:24" ht="13.2">
      <c r="A803" s="113"/>
      <c r="X803" s="118"/>
    </row>
    <row r="804" spans="1:24" ht="13.2">
      <c r="A804" s="113"/>
      <c r="X804" s="118"/>
    </row>
    <row r="805" spans="1:24" ht="13.2">
      <c r="A805" s="113"/>
      <c r="X805" s="118"/>
    </row>
    <row r="806" spans="1:24" ht="13.2">
      <c r="A806" s="113"/>
      <c r="X806" s="118"/>
    </row>
    <row r="807" spans="1:24" ht="13.2">
      <c r="A807" s="113"/>
      <c r="X807" s="118"/>
    </row>
    <row r="808" spans="1:24" ht="13.2">
      <c r="A808" s="113"/>
      <c r="X808" s="118"/>
    </row>
    <row r="809" spans="1:24" ht="13.2">
      <c r="A809" s="113"/>
      <c r="X809" s="118"/>
    </row>
    <row r="810" spans="1:24" ht="13.2">
      <c r="A810" s="113"/>
      <c r="X810" s="118"/>
    </row>
    <row r="811" spans="1:24" ht="13.2">
      <c r="A811" s="113"/>
      <c r="X811" s="118"/>
    </row>
    <row r="812" spans="1:24" ht="13.2">
      <c r="A812" s="113"/>
      <c r="X812" s="118"/>
    </row>
    <row r="813" spans="1:24" ht="13.2">
      <c r="A813" s="113"/>
      <c r="X813" s="118"/>
    </row>
    <row r="814" spans="1:24" ht="13.2">
      <c r="A814" s="113"/>
      <c r="X814" s="118"/>
    </row>
    <row r="815" spans="1:24" ht="13.2">
      <c r="A815" s="113"/>
      <c r="X815" s="118"/>
    </row>
    <row r="816" spans="1:24" ht="13.2">
      <c r="A816" s="113"/>
      <c r="X816" s="118"/>
    </row>
    <row r="817" spans="1:24" ht="13.2">
      <c r="A817" s="113"/>
      <c r="X817" s="118"/>
    </row>
    <row r="818" spans="1:24" ht="13.2">
      <c r="A818" s="113"/>
      <c r="X818" s="118"/>
    </row>
    <row r="819" spans="1:24" ht="13.2">
      <c r="A819" s="113"/>
      <c r="X819" s="118"/>
    </row>
    <row r="820" spans="1:24" ht="13.2">
      <c r="A820" s="113"/>
      <c r="X820" s="118"/>
    </row>
    <row r="821" spans="1:24" ht="13.2">
      <c r="A821" s="113"/>
      <c r="X821" s="118"/>
    </row>
    <row r="822" spans="1:24" ht="13.2">
      <c r="A822" s="113"/>
      <c r="X822" s="118"/>
    </row>
    <row r="823" spans="1:24" ht="13.2">
      <c r="A823" s="113"/>
      <c r="X823" s="118"/>
    </row>
    <row r="824" spans="1:24" ht="13.2">
      <c r="A824" s="113"/>
      <c r="X824" s="118"/>
    </row>
    <row r="825" spans="1:24" ht="13.2">
      <c r="A825" s="113"/>
      <c r="X825" s="118"/>
    </row>
    <row r="826" spans="1:24" ht="13.2">
      <c r="A826" s="113"/>
      <c r="X826" s="118"/>
    </row>
    <row r="827" spans="1:24" ht="13.2">
      <c r="A827" s="113"/>
      <c r="X827" s="118"/>
    </row>
    <row r="828" spans="1:24" ht="13.2">
      <c r="A828" s="113"/>
      <c r="X828" s="118"/>
    </row>
    <row r="829" spans="1:24" ht="13.2">
      <c r="A829" s="113"/>
      <c r="X829" s="118"/>
    </row>
    <row r="830" spans="1:24" ht="13.2">
      <c r="A830" s="113"/>
      <c r="X830" s="118"/>
    </row>
    <row r="831" spans="1:24" ht="13.2">
      <c r="A831" s="113"/>
      <c r="X831" s="118"/>
    </row>
    <row r="832" spans="1:24" ht="13.2">
      <c r="A832" s="113"/>
      <c r="X832" s="118"/>
    </row>
    <row r="833" spans="1:24" ht="13.2">
      <c r="A833" s="113"/>
      <c r="X833" s="118"/>
    </row>
    <row r="834" spans="1:24" ht="13.2">
      <c r="A834" s="113"/>
      <c r="X834" s="118"/>
    </row>
    <row r="835" spans="1:24" ht="13.2">
      <c r="A835" s="113"/>
      <c r="X835" s="118"/>
    </row>
    <row r="836" spans="1:24" ht="13.2">
      <c r="A836" s="113"/>
      <c r="X836" s="118"/>
    </row>
    <row r="837" spans="1:24" ht="13.2">
      <c r="A837" s="113"/>
      <c r="X837" s="118"/>
    </row>
    <row r="838" spans="1:24" ht="13.2">
      <c r="A838" s="113"/>
      <c r="X838" s="118"/>
    </row>
    <row r="839" spans="1:24" ht="13.2">
      <c r="A839" s="113"/>
      <c r="X839" s="118"/>
    </row>
    <row r="840" spans="1:24" ht="13.2">
      <c r="A840" s="113"/>
      <c r="X840" s="118"/>
    </row>
    <row r="841" spans="1:24" ht="13.2">
      <c r="A841" s="113"/>
      <c r="X841" s="118"/>
    </row>
    <row r="842" spans="1:24" ht="13.2">
      <c r="A842" s="113"/>
      <c r="X842" s="118"/>
    </row>
    <row r="843" spans="1:24" ht="13.2">
      <c r="A843" s="113"/>
      <c r="X843" s="118"/>
    </row>
    <row r="844" spans="1:24" ht="13.2">
      <c r="A844" s="113"/>
      <c r="X844" s="118"/>
    </row>
    <row r="845" spans="1:24" ht="13.2">
      <c r="A845" s="113"/>
      <c r="X845" s="118"/>
    </row>
    <row r="846" spans="1:24" ht="13.2">
      <c r="A846" s="113"/>
      <c r="X846" s="118"/>
    </row>
    <row r="847" spans="1:24" ht="13.2">
      <c r="A847" s="113"/>
      <c r="X847" s="118"/>
    </row>
    <row r="848" spans="1:24" ht="13.2">
      <c r="A848" s="113"/>
      <c r="X848" s="118"/>
    </row>
    <row r="849" spans="1:24" ht="13.2">
      <c r="A849" s="113"/>
      <c r="X849" s="118"/>
    </row>
    <row r="850" spans="1:24" ht="13.2">
      <c r="A850" s="113"/>
      <c r="X850" s="118"/>
    </row>
    <row r="851" spans="1:24" ht="13.2">
      <c r="A851" s="113"/>
      <c r="X851" s="118"/>
    </row>
    <row r="852" spans="1:24" ht="13.2">
      <c r="A852" s="113"/>
      <c r="X852" s="118"/>
    </row>
    <row r="853" spans="1:24" ht="13.2">
      <c r="A853" s="113"/>
      <c r="X853" s="118"/>
    </row>
    <row r="854" spans="1:24" ht="13.2">
      <c r="A854" s="113"/>
      <c r="X854" s="118"/>
    </row>
    <row r="855" spans="1:24" ht="13.2">
      <c r="A855" s="113"/>
      <c r="X855" s="118"/>
    </row>
    <row r="856" spans="1:24" ht="13.2">
      <c r="A856" s="113"/>
      <c r="X856" s="118"/>
    </row>
    <row r="857" spans="1:24" ht="13.2">
      <c r="A857" s="113"/>
      <c r="X857" s="118"/>
    </row>
    <row r="858" spans="1:24" ht="13.2">
      <c r="A858" s="113"/>
      <c r="X858" s="118"/>
    </row>
    <row r="859" spans="1:24" ht="13.2">
      <c r="A859" s="113"/>
      <c r="X859" s="118"/>
    </row>
    <row r="860" spans="1:24" ht="13.2">
      <c r="A860" s="113"/>
      <c r="X860" s="118"/>
    </row>
    <row r="861" spans="1:24" ht="13.2">
      <c r="A861" s="113"/>
      <c r="X861" s="118"/>
    </row>
    <row r="862" spans="1:24" ht="13.2">
      <c r="A862" s="113"/>
      <c r="X862" s="118"/>
    </row>
    <row r="863" spans="1:24" ht="13.2">
      <c r="A863" s="113"/>
      <c r="X863" s="118"/>
    </row>
    <row r="864" spans="1:24" ht="13.2">
      <c r="A864" s="113"/>
      <c r="X864" s="118"/>
    </row>
    <row r="865" spans="1:24" ht="13.2">
      <c r="A865" s="113"/>
      <c r="X865" s="118"/>
    </row>
    <row r="866" spans="1:24" ht="13.2">
      <c r="A866" s="113"/>
      <c r="X866" s="118"/>
    </row>
    <row r="867" spans="1:24" ht="13.2">
      <c r="A867" s="113"/>
      <c r="X867" s="118"/>
    </row>
    <row r="868" spans="1:24" ht="13.2">
      <c r="A868" s="113"/>
      <c r="X868" s="118"/>
    </row>
    <row r="869" spans="1:24" ht="13.2">
      <c r="A869" s="113"/>
      <c r="X869" s="118"/>
    </row>
    <row r="870" spans="1:24" ht="13.2">
      <c r="A870" s="113"/>
      <c r="X870" s="118"/>
    </row>
    <row r="871" spans="1:24" ht="13.2">
      <c r="A871" s="113"/>
      <c r="X871" s="118"/>
    </row>
    <row r="872" spans="1:24" ht="13.2">
      <c r="A872" s="113"/>
      <c r="X872" s="118"/>
    </row>
    <row r="873" spans="1:24" ht="13.2">
      <c r="A873" s="113"/>
      <c r="X873" s="118"/>
    </row>
    <row r="874" spans="1:24" ht="13.2">
      <c r="A874" s="113"/>
      <c r="X874" s="118"/>
    </row>
    <row r="875" spans="1:24" ht="13.2">
      <c r="A875" s="113"/>
      <c r="X875" s="118"/>
    </row>
    <row r="876" spans="1:24" ht="13.2">
      <c r="A876" s="113"/>
      <c r="X876" s="118"/>
    </row>
    <row r="877" spans="1:24" ht="13.2">
      <c r="A877" s="113"/>
      <c r="X877" s="118"/>
    </row>
    <row r="878" spans="1:24" ht="13.2">
      <c r="A878" s="113"/>
      <c r="X878" s="118"/>
    </row>
    <row r="879" spans="1:24" ht="13.2">
      <c r="A879" s="113"/>
      <c r="X879" s="118"/>
    </row>
    <row r="880" spans="1:24" ht="13.2">
      <c r="A880" s="113"/>
      <c r="X880" s="118"/>
    </row>
    <row r="881" spans="1:24" ht="13.2">
      <c r="A881" s="113"/>
      <c r="X881" s="118"/>
    </row>
    <row r="882" spans="1:24" ht="13.2">
      <c r="A882" s="113"/>
      <c r="X882" s="118"/>
    </row>
    <row r="883" spans="1:24" ht="13.2">
      <c r="A883" s="113"/>
      <c r="X883" s="118"/>
    </row>
    <row r="884" spans="1:24" ht="13.2">
      <c r="A884" s="113"/>
      <c r="X884" s="118"/>
    </row>
    <row r="885" spans="1:24" ht="13.2">
      <c r="A885" s="113"/>
      <c r="X885" s="118"/>
    </row>
    <row r="886" spans="1:24" ht="13.2">
      <c r="A886" s="113"/>
      <c r="X886" s="118"/>
    </row>
    <row r="887" spans="1:24" ht="13.2">
      <c r="A887" s="113"/>
      <c r="X887" s="118"/>
    </row>
    <row r="888" spans="1:24" ht="13.2">
      <c r="A888" s="113"/>
      <c r="X888" s="118"/>
    </row>
    <row r="889" spans="1:24" ht="13.2">
      <c r="A889" s="113"/>
      <c r="X889" s="118"/>
    </row>
    <row r="890" spans="1:24" ht="13.2">
      <c r="A890" s="113"/>
      <c r="X890" s="118"/>
    </row>
    <row r="891" spans="1:24" ht="13.2">
      <c r="A891" s="113"/>
      <c r="X891" s="118"/>
    </row>
    <row r="892" spans="1:24" ht="13.2">
      <c r="A892" s="113"/>
      <c r="X892" s="118"/>
    </row>
    <row r="893" spans="1:24" ht="13.2">
      <c r="A893" s="113"/>
      <c r="X893" s="118"/>
    </row>
    <row r="894" spans="1:24" ht="13.2">
      <c r="A894" s="113"/>
      <c r="X894" s="118"/>
    </row>
    <row r="895" spans="1:24" ht="13.2">
      <c r="A895" s="113"/>
      <c r="X895" s="118"/>
    </row>
    <row r="896" spans="1:24" ht="13.2">
      <c r="A896" s="113"/>
      <c r="X896" s="118"/>
    </row>
    <row r="897" spans="1:24" ht="13.2">
      <c r="A897" s="113"/>
      <c r="X897" s="118"/>
    </row>
    <row r="898" spans="1:24" ht="13.2">
      <c r="A898" s="113"/>
      <c r="X898" s="118"/>
    </row>
    <row r="899" spans="1:24" ht="13.2">
      <c r="A899" s="113"/>
      <c r="X899" s="118"/>
    </row>
    <row r="900" spans="1:24" ht="13.2">
      <c r="A900" s="113"/>
      <c r="X900" s="118"/>
    </row>
    <row r="901" spans="1:24" ht="13.2">
      <c r="A901" s="113"/>
      <c r="X901" s="118"/>
    </row>
    <row r="902" spans="1:24" ht="13.2">
      <c r="A902" s="113"/>
      <c r="X902" s="118"/>
    </row>
    <row r="903" spans="1:24" ht="13.2">
      <c r="A903" s="113"/>
      <c r="X903" s="118"/>
    </row>
    <row r="904" spans="1:24" ht="13.2">
      <c r="A904" s="113"/>
      <c r="X904" s="118"/>
    </row>
    <row r="905" spans="1:24" ht="13.2">
      <c r="A905" s="113"/>
      <c r="X905" s="118"/>
    </row>
    <row r="906" spans="1:24" ht="13.2">
      <c r="A906" s="113"/>
      <c r="X906" s="118"/>
    </row>
    <row r="907" spans="1:24" ht="13.2">
      <c r="A907" s="113"/>
      <c r="X907" s="118"/>
    </row>
    <row r="908" spans="1:24" ht="13.2">
      <c r="A908" s="113"/>
      <c r="X908" s="118"/>
    </row>
    <row r="909" spans="1:24" ht="13.2">
      <c r="A909" s="113"/>
      <c r="X909" s="118"/>
    </row>
    <row r="910" spans="1:24" ht="13.2">
      <c r="A910" s="113"/>
      <c r="X910" s="118"/>
    </row>
    <row r="911" spans="1:24" ht="13.2">
      <c r="A911" s="113"/>
      <c r="X911" s="118"/>
    </row>
    <row r="912" spans="1:24" ht="13.2">
      <c r="A912" s="113"/>
      <c r="X912" s="118"/>
    </row>
    <row r="913" spans="1:24" ht="13.2">
      <c r="A913" s="113"/>
      <c r="X913" s="118"/>
    </row>
    <row r="914" spans="1:24" ht="13.2">
      <c r="A914" s="113"/>
      <c r="X914" s="118"/>
    </row>
    <row r="915" spans="1:24" ht="13.2">
      <c r="A915" s="113"/>
      <c r="X915" s="118"/>
    </row>
    <row r="916" spans="1:24" ht="13.2">
      <c r="A916" s="113"/>
      <c r="X916" s="118"/>
    </row>
    <row r="917" spans="1:24" ht="13.2">
      <c r="A917" s="113"/>
      <c r="X917" s="118"/>
    </row>
    <row r="918" spans="1:24" ht="13.2">
      <c r="A918" s="113"/>
      <c r="X918" s="118"/>
    </row>
    <row r="919" spans="1:24" ht="13.2">
      <c r="A919" s="113"/>
      <c r="X919" s="118"/>
    </row>
    <row r="920" spans="1:24" ht="13.2">
      <c r="A920" s="113"/>
      <c r="X920" s="118"/>
    </row>
    <row r="921" spans="1:24" ht="13.2">
      <c r="A921" s="113"/>
      <c r="X921" s="118"/>
    </row>
    <row r="922" spans="1:24" ht="13.2">
      <c r="A922" s="113"/>
      <c r="X922" s="118"/>
    </row>
    <row r="923" spans="1:24" ht="13.2">
      <c r="A923" s="113"/>
      <c r="X923" s="118"/>
    </row>
    <row r="924" spans="1:24" ht="13.2">
      <c r="A924" s="113"/>
      <c r="X924" s="118"/>
    </row>
    <row r="925" spans="1:24" ht="13.2">
      <c r="A925" s="113"/>
      <c r="X925" s="118"/>
    </row>
    <row r="926" spans="1:24" ht="13.2">
      <c r="A926" s="113"/>
      <c r="X926" s="118"/>
    </row>
    <row r="927" spans="1:24" ht="13.2">
      <c r="A927" s="113"/>
      <c r="X927" s="118"/>
    </row>
    <row r="928" spans="1:24" ht="13.2">
      <c r="A928" s="113"/>
      <c r="X928" s="118"/>
    </row>
    <row r="929" spans="1:24" ht="13.2">
      <c r="A929" s="113"/>
      <c r="X929" s="118"/>
    </row>
    <row r="930" spans="1:24" ht="13.2">
      <c r="A930" s="113"/>
      <c r="X930" s="118"/>
    </row>
    <row r="931" spans="1:24" ht="13.2">
      <c r="A931" s="113"/>
      <c r="X931" s="118"/>
    </row>
    <row r="932" spans="1:24" ht="13.2">
      <c r="A932" s="113"/>
      <c r="X932" s="118"/>
    </row>
    <row r="933" spans="1:24" ht="13.2">
      <c r="A933" s="113"/>
      <c r="X933" s="118"/>
    </row>
    <row r="934" spans="1:24" ht="13.2">
      <c r="A934" s="113"/>
      <c r="X934" s="118"/>
    </row>
    <row r="935" spans="1:24" ht="13.2">
      <c r="A935" s="113"/>
      <c r="X935" s="118"/>
    </row>
    <row r="936" spans="1:24" ht="13.2">
      <c r="A936" s="113"/>
      <c r="X936" s="118"/>
    </row>
    <row r="937" spans="1:24" ht="13.2">
      <c r="A937" s="113"/>
      <c r="X937" s="118"/>
    </row>
    <row r="938" spans="1:24" ht="13.2">
      <c r="A938" s="113"/>
      <c r="X938" s="118"/>
    </row>
    <row r="939" spans="1:24" ht="13.2">
      <c r="A939" s="113"/>
      <c r="X939" s="118"/>
    </row>
    <row r="940" spans="1:24" ht="13.2">
      <c r="A940" s="113"/>
      <c r="X940" s="118"/>
    </row>
    <row r="941" spans="1:24" ht="13.2">
      <c r="A941" s="113"/>
      <c r="X941" s="118"/>
    </row>
    <row r="942" spans="1:24" ht="13.2">
      <c r="A942" s="113"/>
      <c r="X942" s="118"/>
    </row>
    <row r="943" spans="1:24" ht="13.2">
      <c r="A943" s="113"/>
      <c r="X943" s="118"/>
    </row>
    <row r="944" spans="1:24" ht="13.2">
      <c r="A944" s="113"/>
      <c r="X944" s="118"/>
    </row>
    <row r="945" spans="1:24" ht="13.2">
      <c r="A945" s="113"/>
      <c r="X945" s="118"/>
    </row>
    <row r="946" spans="1:24" ht="13.2">
      <c r="A946" s="113"/>
      <c r="X946" s="118"/>
    </row>
    <row r="947" spans="1:24" ht="13.2">
      <c r="A947" s="113"/>
      <c r="X947" s="118"/>
    </row>
    <row r="948" spans="1:24" ht="13.2">
      <c r="A948" s="113"/>
      <c r="X948" s="118"/>
    </row>
    <row r="949" spans="1:24" ht="13.2">
      <c r="A949" s="113"/>
      <c r="X949" s="118"/>
    </row>
    <row r="950" spans="1:24" ht="13.2">
      <c r="A950" s="113"/>
      <c r="X950" s="118"/>
    </row>
    <row r="951" spans="1:24" ht="13.2">
      <c r="A951" s="113"/>
      <c r="X951" s="118"/>
    </row>
    <row r="952" spans="1:24" ht="13.2">
      <c r="A952" s="113"/>
      <c r="X952" s="118"/>
    </row>
    <row r="953" spans="1:24" ht="13.2">
      <c r="A953" s="113"/>
      <c r="X953" s="118"/>
    </row>
    <row r="954" spans="1:24" ht="13.2">
      <c r="A954" s="113"/>
      <c r="X954" s="118"/>
    </row>
    <row r="955" spans="1:24" ht="13.2">
      <c r="A955" s="113"/>
      <c r="X955" s="118"/>
    </row>
    <row r="956" spans="1:24" ht="13.2">
      <c r="A956" s="113"/>
      <c r="X956" s="118"/>
    </row>
    <row r="957" spans="1:24" ht="13.2">
      <c r="A957" s="113"/>
      <c r="X957" s="118"/>
    </row>
    <row r="958" spans="1:24" ht="13.2">
      <c r="A958" s="113"/>
      <c r="X958" s="118"/>
    </row>
    <row r="959" spans="1:24" ht="13.2">
      <c r="A959" s="113"/>
      <c r="X959" s="118"/>
    </row>
    <row r="960" spans="1:24" ht="13.2">
      <c r="A960" s="113"/>
      <c r="X960" s="118"/>
    </row>
    <row r="961" spans="1:24" ht="13.2">
      <c r="A961" s="113"/>
      <c r="X961" s="118"/>
    </row>
    <row r="962" spans="1:24" ht="13.2">
      <c r="A962" s="113"/>
      <c r="X962" s="118"/>
    </row>
    <row r="963" spans="1:24" ht="13.2">
      <c r="A963" s="113"/>
      <c r="X963" s="118"/>
    </row>
    <row r="964" spans="1:24" ht="13.2">
      <c r="A964" s="113"/>
      <c r="X964" s="118"/>
    </row>
    <row r="965" spans="1:24" ht="13.2">
      <c r="A965" s="113"/>
      <c r="X965" s="118"/>
    </row>
    <row r="966" spans="1:24" ht="13.2">
      <c r="A966" s="113"/>
      <c r="X966" s="118"/>
    </row>
    <row r="967" spans="1:24" ht="13.2">
      <c r="A967" s="113"/>
      <c r="X967" s="118"/>
    </row>
    <row r="968" spans="1:24" ht="13.2">
      <c r="A968" s="113"/>
      <c r="X968" s="118"/>
    </row>
    <row r="969" spans="1:24" ht="13.2">
      <c r="A969" s="113"/>
      <c r="X969" s="118"/>
    </row>
    <row r="970" spans="1:24" ht="13.2">
      <c r="A970" s="113"/>
      <c r="X970" s="118"/>
    </row>
    <row r="971" spans="1:24" ht="13.2">
      <c r="A971" s="113"/>
      <c r="X971" s="118"/>
    </row>
    <row r="972" spans="1:24" ht="13.2">
      <c r="A972" s="113"/>
      <c r="X972" s="118"/>
    </row>
    <row r="973" spans="1:24" ht="13.2">
      <c r="A973" s="113"/>
      <c r="X973" s="118"/>
    </row>
    <row r="974" spans="1:24" ht="13.2">
      <c r="A974" s="113"/>
      <c r="X974" s="118"/>
    </row>
    <row r="975" spans="1:24" ht="13.2">
      <c r="A975" s="113"/>
      <c r="X975" s="118"/>
    </row>
    <row r="976" spans="1:24" ht="13.2">
      <c r="A976" s="113"/>
      <c r="X976" s="118"/>
    </row>
    <row r="977" spans="1:24" ht="13.2">
      <c r="A977" s="113"/>
      <c r="X977" s="118"/>
    </row>
    <row r="978" spans="1:24" ht="13.2">
      <c r="A978" s="113"/>
      <c r="X978" s="118"/>
    </row>
    <row r="979" spans="1:24" ht="13.2">
      <c r="A979" s="113"/>
      <c r="X979" s="118"/>
    </row>
    <row r="980" spans="1:24" ht="13.2">
      <c r="A980" s="113"/>
      <c r="X980" s="118"/>
    </row>
    <row r="981" spans="1:24" ht="13.2">
      <c r="A981" s="113"/>
      <c r="X981" s="118"/>
    </row>
    <row r="982" spans="1:24" ht="13.2">
      <c r="A982" s="113"/>
      <c r="X982" s="118"/>
    </row>
    <row r="983" spans="1:24" ht="13.2">
      <c r="A983" s="113"/>
      <c r="X983" s="118"/>
    </row>
    <row r="984" spans="1:24" ht="13.2">
      <c r="A984" s="113"/>
      <c r="X984" s="118"/>
    </row>
    <row r="985" spans="1:24" ht="13.2">
      <c r="A985" s="113"/>
      <c r="X985" s="118"/>
    </row>
    <row r="986" spans="1:24" ht="13.2">
      <c r="A986" s="113"/>
      <c r="X986" s="118"/>
    </row>
    <row r="987" spans="1:24" ht="13.2">
      <c r="A987" s="113"/>
      <c r="X987" s="118"/>
    </row>
    <row r="988" spans="1:24" ht="13.2">
      <c r="A988" s="113"/>
      <c r="X988" s="118"/>
    </row>
    <row r="989" spans="1:24" ht="13.2">
      <c r="A989" s="113"/>
      <c r="X989" s="118"/>
    </row>
    <row r="990" spans="1:24" ht="13.2">
      <c r="A990" s="113"/>
      <c r="X990" s="118"/>
    </row>
    <row r="991" spans="1:24" ht="13.2">
      <c r="A991" s="113"/>
      <c r="X991" s="118"/>
    </row>
    <row r="992" spans="1:24" ht="13.2">
      <c r="A992" s="113"/>
      <c r="X992" s="118"/>
    </row>
    <row r="993" spans="1:24" ht="13.2">
      <c r="A993" s="113"/>
      <c r="X993" s="118"/>
    </row>
    <row r="994" spans="1:24" ht="13.2">
      <c r="A994" s="113"/>
      <c r="X994" s="118"/>
    </row>
    <row r="995" spans="1:24" ht="13.2">
      <c r="A995" s="113"/>
      <c r="X995" s="118"/>
    </row>
    <row r="996" spans="1:24" ht="13.2">
      <c r="A996" s="113"/>
      <c r="X996" s="118"/>
    </row>
    <row r="997" spans="1:24" ht="13.2">
      <c r="A997" s="113"/>
      <c r="X997" s="118"/>
    </row>
    <row r="998" spans="1:24" ht="13.2">
      <c r="A998" s="113"/>
      <c r="X998" s="118"/>
    </row>
    <row r="999" spans="1:24" ht="13.2">
      <c r="A999" s="113"/>
      <c r="X999" s="118"/>
    </row>
    <row r="1000" spans="1:24" ht="13.2">
      <c r="A1000" s="113"/>
      <c r="Q1000" s="77"/>
      <c r="X1000" s="118"/>
    </row>
  </sheetData>
  <autoFilter ref="B7:AB38" xr:uid="{00000000-0009-0000-0000-000004000000}">
    <sortState xmlns:xlrd2="http://schemas.microsoft.com/office/spreadsheetml/2017/richdata2" ref="B10:AB38">
      <sortCondition ref="B7:B38"/>
    </sortState>
  </autoFilter>
  <mergeCells count="13">
    <mergeCell ref="U49:W49"/>
    <mergeCell ref="B3:J6"/>
    <mergeCell ref="K3:V4"/>
    <mergeCell ref="W3:W4"/>
    <mergeCell ref="K5:V6"/>
    <mergeCell ref="W5:W6"/>
    <mergeCell ref="S7:U7"/>
    <mergeCell ref="B39:T49"/>
    <mergeCell ref="U41:W41"/>
    <mergeCell ref="U42:W42"/>
    <mergeCell ref="U43:W43"/>
    <mergeCell ref="U44:W44"/>
    <mergeCell ref="U45:W48"/>
  </mergeCells>
  <hyperlinks>
    <hyperlink ref="Z8" r:id="rId1" xr:uid="{00000000-0004-0000-04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C1014"/>
  <sheetViews>
    <sheetView topLeftCell="A13" workbookViewId="0">
      <selection activeCell="X35" sqref="X35"/>
    </sheetView>
  </sheetViews>
  <sheetFormatPr defaultColWidth="12.6640625" defaultRowHeight="15.75" customHeight="1"/>
  <cols>
    <col min="3" max="3" width="0" hidden="1" customWidth="1"/>
    <col min="4" max="4" width="15.6640625" hidden="1" customWidth="1"/>
    <col min="5" max="5" width="20.6640625" hidden="1" customWidth="1"/>
    <col min="6" max="7" width="0" hidden="1" customWidth="1"/>
    <col min="9" max="9" width="35.21875" customWidth="1"/>
    <col min="10" max="10" width="0" hidden="1" customWidth="1"/>
    <col min="11" max="12" width="13.44140625" hidden="1" customWidth="1"/>
    <col min="13" max="13" width="0" hidden="1" customWidth="1"/>
    <col min="14" max="14" width="13.77734375" hidden="1" customWidth="1"/>
    <col min="15" max="21" width="0" hidden="1" customWidth="1"/>
    <col min="22" max="22" width="13.88671875" hidden="1" customWidth="1"/>
    <col min="23" max="23" width="18.21875" customWidth="1"/>
    <col min="24" max="24" width="0" hidden="1" customWidth="1"/>
    <col min="25" max="25" width="13.6640625" hidden="1" customWidth="1"/>
    <col min="26" max="26" width="1.6640625" hidden="1" customWidth="1"/>
    <col min="27" max="27" width="12.33203125" customWidth="1"/>
    <col min="28" max="28" width="12.33203125" hidden="1" customWidth="1"/>
    <col min="29" max="29" width="12.33203125" customWidth="1"/>
  </cols>
  <sheetData>
    <row r="1" spans="1:29" ht="15.75" customHeight="1">
      <c r="A1" s="113"/>
      <c r="X1" s="114"/>
      <c r="Y1" s="61" t="s">
        <v>327</v>
      </c>
      <c r="AA1" s="178"/>
      <c r="AB1" s="178"/>
      <c r="AC1" s="178"/>
    </row>
    <row r="2" spans="1:29" ht="15.75" customHeight="1">
      <c r="A2" s="113"/>
      <c r="X2" s="115"/>
      <c r="Y2" s="61" t="s">
        <v>328</v>
      </c>
      <c r="AA2" s="178"/>
      <c r="AB2" s="178"/>
      <c r="AC2" s="178"/>
    </row>
    <row r="3" spans="1:29" ht="15.75" customHeight="1">
      <c r="A3" s="113"/>
      <c r="B3" s="618"/>
      <c r="C3" s="618"/>
      <c r="D3" s="618"/>
      <c r="E3" s="618"/>
      <c r="F3" s="618"/>
      <c r="G3" s="618"/>
      <c r="H3" s="618"/>
      <c r="I3" s="618"/>
      <c r="J3" s="618"/>
      <c r="K3" s="637" t="s">
        <v>329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39"/>
      <c r="X3" s="116"/>
      <c r="Y3" s="61" t="s">
        <v>330</v>
      </c>
      <c r="AA3" s="178"/>
      <c r="AB3" s="178"/>
      <c r="AC3" s="178"/>
    </row>
    <row r="4" spans="1:29" ht="15.75" customHeight="1">
      <c r="A4" s="113"/>
      <c r="B4" s="618"/>
      <c r="C4" s="618"/>
      <c r="D4" s="618"/>
      <c r="E4" s="618"/>
      <c r="F4" s="618"/>
      <c r="G4" s="618"/>
      <c r="H4" s="618"/>
      <c r="I4" s="618"/>
      <c r="J4" s="618"/>
      <c r="K4" s="638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34"/>
      <c r="X4" s="117"/>
      <c r="Y4" s="61" t="s">
        <v>417</v>
      </c>
      <c r="AA4" s="178"/>
      <c r="AB4" s="178"/>
      <c r="AC4" s="178"/>
    </row>
    <row r="5" spans="1:29" ht="15.75" customHeight="1">
      <c r="A5" s="113"/>
      <c r="B5" s="618"/>
      <c r="C5" s="618"/>
      <c r="D5" s="618"/>
      <c r="E5" s="618"/>
      <c r="F5" s="618"/>
      <c r="G5" s="618"/>
      <c r="H5" s="618"/>
      <c r="I5" s="618"/>
      <c r="J5" s="618"/>
      <c r="K5" s="637" t="s">
        <v>530</v>
      </c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8"/>
      <c r="W5" s="640"/>
      <c r="X5" s="118"/>
      <c r="AA5" s="178"/>
      <c r="AB5" s="178"/>
      <c r="AC5" s="178"/>
    </row>
    <row r="6" spans="1:29" ht="15.75" customHeight="1">
      <c r="A6" s="113"/>
      <c r="B6" s="618"/>
      <c r="C6" s="618"/>
      <c r="D6" s="618"/>
      <c r="E6" s="618"/>
      <c r="F6" s="618"/>
      <c r="G6" s="618"/>
      <c r="H6" s="618"/>
      <c r="I6" s="618"/>
      <c r="J6" s="618"/>
      <c r="K6" s="638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34"/>
      <c r="X6" s="118"/>
      <c r="AA6" s="178"/>
      <c r="AB6" s="178"/>
      <c r="AC6" s="178"/>
    </row>
    <row r="7" spans="1:29" ht="15.75" customHeight="1">
      <c r="A7" s="113"/>
      <c r="B7" s="179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1" t="s">
        <v>19</v>
      </c>
      <c r="T7" s="642"/>
      <c r="U7" s="643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  <c r="AC7" s="180"/>
    </row>
    <row r="8" spans="1:29" ht="15.75" customHeight="1">
      <c r="A8" s="113"/>
      <c r="B8" s="181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  <c r="AC8" s="180"/>
    </row>
    <row r="9" spans="1:29" ht="15.75" customHeight="1">
      <c r="A9" s="113"/>
      <c r="B9" s="73">
        <v>1</v>
      </c>
      <c r="C9" s="75">
        <v>2</v>
      </c>
      <c r="D9" s="75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25</v>
      </c>
      <c r="AA9" s="75">
        <v>26</v>
      </c>
      <c r="AB9" s="75">
        <v>27</v>
      </c>
      <c r="AC9" s="182"/>
    </row>
    <row r="10" spans="1:29" ht="13.2">
      <c r="A10" s="113"/>
      <c r="B10" s="76">
        <v>1</v>
      </c>
      <c r="C10" s="183">
        <v>2000025137</v>
      </c>
      <c r="D10" s="183">
        <v>3000024998</v>
      </c>
      <c r="E10" s="184" t="s">
        <v>531</v>
      </c>
      <c r="F10" s="185">
        <v>45077</v>
      </c>
      <c r="G10" s="186">
        <v>524742500</v>
      </c>
      <c r="H10" s="187" t="s">
        <v>31</v>
      </c>
      <c r="I10" s="188" t="s">
        <v>532</v>
      </c>
      <c r="J10" s="187" t="s">
        <v>421</v>
      </c>
      <c r="K10" s="187" t="s">
        <v>505</v>
      </c>
      <c r="L10" s="130" t="s">
        <v>533</v>
      </c>
      <c r="M10" s="189">
        <v>45078</v>
      </c>
      <c r="N10" s="130" t="s">
        <v>506</v>
      </c>
      <c r="O10" s="187" t="s">
        <v>37</v>
      </c>
      <c r="P10" s="130">
        <v>5200013833</v>
      </c>
      <c r="Q10" s="77" t="s">
        <v>534</v>
      </c>
      <c r="R10" s="101">
        <v>45083</v>
      </c>
      <c r="S10" s="77" t="s">
        <v>508</v>
      </c>
      <c r="T10" s="104" t="s">
        <v>509</v>
      </c>
      <c r="U10" s="16" t="s">
        <v>510</v>
      </c>
      <c r="V10" s="138">
        <v>459028500</v>
      </c>
      <c r="W10" s="26">
        <f t="shared" ref="W10:W31" si="0">V10+(V10*11%)</f>
        <v>509521635</v>
      </c>
      <c r="X10" s="142">
        <v>5000044352</v>
      </c>
      <c r="Y10" s="165" t="s">
        <v>347</v>
      </c>
      <c r="Z10" s="84"/>
      <c r="AA10" s="162" t="s">
        <v>374</v>
      </c>
      <c r="AB10" s="162" t="s">
        <v>349</v>
      </c>
      <c r="AC10" s="178"/>
    </row>
    <row r="11" spans="1:29" ht="13.2">
      <c r="A11" s="113"/>
      <c r="B11" s="76">
        <v>2</v>
      </c>
      <c r="C11" s="145">
        <v>2000025368</v>
      </c>
      <c r="D11" s="93">
        <v>3000025209</v>
      </c>
      <c r="E11" s="184" t="s">
        <v>535</v>
      </c>
      <c r="F11" s="161">
        <v>45082</v>
      </c>
      <c r="G11" s="186">
        <v>2500000</v>
      </c>
      <c r="H11" s="187" t="s">
        <v>31</v>
      </c>
      <c r="I11" s="190" t="s">
        <v>536</v>
      </c>
      <c r="J11" s="187" t="s">
        <v>421</v>
      </c>
      <c r="K11" s="187" t="s">
        <v>422</v>
      </c>
      <c r="L11" s="130" t="s">
        <v>457</v>
      </c>
      <c r="M11" s="163">
        <v>45083</v>
      </c>
      <c r="N11" s="191" t="s">
        <v>424</v>
      </c>
      <c r="O11" s="187" t="s">
        <v>37</v>
      </c>
      <c r="P11" s="130">
        <v>5300009463</v>
      </c>
      <c r="Q11" s="145" t="s">
        <v>537</v>
      </c>
      <c r="R11" s="164">
        <v>45083</v>
      </c>
      <c r="S11" s="11" t="s">
        <v>39</v>
      </c>
      <c r="T11" s="104" t="s">
        <v>40</v>
      </c>
      <c r="U11" s="16" t="s">
        <v>41</v>
      </c>
      <c r="V11" s="186">
        <v>2500000</v>
      </c>
      <c r="W11" s="26">
        <f t="shared" si="0"/>
        <v>2775000</v>
      </c>
      <c r="X11" s="142">
        <v>5000044522</v>
      </c>
      <c r="Y11" s="165" t="s">
        <v>347</v>
      </c>
      <c r="Z11" s="84" t="s">
        <v>347</v>
      </c>
      <c r="AA11" s="162" t="s">
        <v>396</v>
      </c>
      <c r="AB11" s="162" t="s">
        <v>357</v>
      </c>
      <c r="AC11" s="178"/>
    </row>
    <row r="12" spans="1:29" ht="13.2">
      <c r="A12" s="113"/>
      <c r="B12" s="85">
        <v>3</v>
      </c>
      <c r="C12" s="145">
        <v>2000025307</v>
      </c>
      <c r="D12" s="145">
        <v>3000025208</v>
      </c>
      <c r="E12" s="184" t="s">
        <v>538</v>
      </c>
      <c r="F12" s="161">
        <v>45082</v>
      </c>
      <c r="G12" s="139">
        <v>3600000</v>
      </c>
      <c r="H12" s="170" t="s">
        <v>31</v>
      </c>
      <c r="I12" s="184" t="s">
        <v>539</v>
      </c>
      <c r="J12" s="170" t="s">
        <v>421</v>
      </c>
      <c r="K12" s="170" t="s">
        <v>422</v>
      </c>
      <c r="L12" s="130" t="s">
        <v>423</v>
      </c>
      <c r="M12" s="163">
        <v>45083</v>
      </c>
      <c r="N12" s="145" t="s">
        <v>424</v>
      </c>
      <c r="O12" s="170" t="s">
        <v>37</v>
      </c>
      <c r="P12" s="145">
        <v>5300009462</v>
      </c>
      <c r="Q12" s="145" t="s">
        <v>540</v>
      </c>
      <c r="R12" s="164">
        <v>45083</v>
      </c>
      <c r="S12" s="137" t="s">
        <v>39</v>
      </c>
      <c r="T12" s="104" t="s">
        <v>40</v>
      </c>
      <c r="U12" s="16" t="s">
        <v>41</v>
      </c>
      <c r="V12" s="139">
        <v>3600000</v>
      </c>
      <c r="W12" s="26">
        <f t="shared" si="0"/>
        <v>3996000</v>
      </c>
      <c r="X12" s="142">
        <v>5000044521</v>
      </c>
      <c r="Y12" s="165" t="s">
        <v>347</v>
      </c>
      <c r="Z12" s="84" t="s">
        <v>347</v>
      </c>
      <c r="AA12" s="162" t="s">
        <v>396</v>
      </c>
      <c r="AB12" s="162" t="s">
        <v>357</v>
      </c>
      <c r="AC12" s="178"/>
    </row>
    <row r="13" spans="1:29" ht="13.8">
      <c r="A13" s="113"/>
      <c r="B13" s="85">
        <v>4</v>
      </c>
      <c r="C13" s="149">
        <v>2000026455</v>
      </c>
      <c r="D13" s="192">
        <v>3000026240</v>
      </c>
      <c r="E13" s="184" t="s">
        <v>541</v>
      </c>
      <c r="F13" s="161">
        <v>45082</v>
      </c>
      <c r="G13" s="139">
        <v>9000000</v>
      </c>
      <c r="H13" s="193" t="s">
        <v>31</v>
      </c>
      <c r="I13" s="184" t="s">
        <v>542</v>
      </c>
      <c r="J13" s="170" t="s">
        <v>421</v>
      </c>
      <c r="K13" s="170" t="s">
        <v>422</v>
      </c>
      <c r="L13" s="130" t="s">
        <v>423</v>
      </c>
      <c r="M13" s="163">
        <v>45083</v>
      </c>
      <c r="N13" s="145" t="s">
        <v>424</v>
      </c>
      <c r="O13" s="170" t="s">
        <v>37</v>
      </c>
      <c r="P13" s="171">
        <v>53000010126</v>
      </c>
      <c r="Q13" s="145" t="s">
        <v>543</v>
      </c>
      <c r="R13" s="164">
        <v>45083</v>
      </c>
      <c r="S13" s="145" t="s">
        <v>177</v>
      </c>
      <c r="T13" s="136" t="s">
        <v>40</v>
      </c>
      <c r="U13" s="136" t="s">
        <v>317</v>
      </c>
      <c r="V13" s="139">
        <v>6600000</v>
      </c>
      <c r="W13" s="26">
        <f t="shared" si="0"/>
        <v>7326000</v>
      </c>
      <c r="X13" s="142">
        <v>5000045789</v>
      </c>
      <c r="Y13" s="165" t="s">
        <v>347</v>
      </c>
      <c r="Z13" s="84" t="s">
        <v>347</v>
      </c>
      <c r="AA13" s="162" t="s">
        <v>396</v>
      </c>
      <c r="AB13" s="162" t="s">
        <v>357</v>
      </c>
      <c r="AC13" s="178"/>
    </row>
    <row r="14" spans="1:29" ht="13.2">
      <c r="A14" s="113"/>
      <c r="B14" s="85">
        <v>5</v>
      </c>
      <c r="C14" s="105">
        <v>2000025220</v>
      </c>
      <c r="D14" s="145">
        <v>3000025098</v>
      </c>
      <c r="E14" s="184" t="s">
        <v>544</v>
      </c>
      <c r="F14" s="194">
        <v>45082</v>
      </c>
      <c r="G14" s="139">
        <v>12000000</v>
      </c>
      <c r="H14" s="170" t="s">
        <v>31</v>
      </c>
      <c r="I14" s="152" t="s">
        <v>545</v>
      </c>
      <c r="J14" s="170" t="s">
        <v>421</v>
      </c>
      <c r="K14" s="170" t="s">
        <v>422</v>
      </c>
      <c r="L14" s="145" t="s">
        <v>457</v>
      </c>
      <c r="M14" s="163">
        <v>45083</v>
      </c>
      <c r="N14" s="145" t="s">
        <v>424</v>
      </c>
      <c r="O14" s="170" t="s">
        <v>37</v>
      </c>
      <c r="P14" s="145">
        <v>5300009397</v>
      </c>
      <c r="Q14" s="145" t="s">
        <v>546</v>
      </c>
      <c r="R14" s="164">
        <v>45083</v>
      </c>
      <c r="S14" s="137" t="s">
        <v>109</v>
      </c>
      <c r="T14" s="104" t="s">
        <v>110</v>
      </c>
      <c r="U14" s="16" t="s">
        <v>111</v>
      </c>
      <c r="V14" s="139">
        <v>11000000</v>
      </c>
      <c r="W14" s="26">
        <f t="shared" si="0"/>
        <v>12210000</v>
      </c>
      <c r="X14" s="142">
        <v>5000044403</v>
      </c>
      <c r="Y14" s="165" t="s">
        <v>347</v>
      </c>
      <c r="Z14" s="84" t="s">
        <v>347</v>
      </c>
      <c r="AA14" s="162" t="s">
        <v>348</v>
      </c>
      <c r="AB14" s="162" t="s">
        <v>349</v>
      </c>
      <c r="AC14" s="178"/>
    </row>
    <row r="15" spans="1:29" ht="13.2">
      <c r="A15" s="113"/>
      <c r="B15" s="85">
        <v>6</v>
      </c>
      <c r="C15" s="105">
        <v>2000025372</v>
      </c>
      <c r="D15" s="145">
        <v>3000025213</v>
      </c>
      <c r="E15" s="184" t="s">
        <v>547</v>
      </c>
      <c r="F15" s="194">
        <v>45082</v>
      </c>
      <c r="G15" s="139">
        <v>15650000</v>
      </c>
      <c r="H15" s="170" t="s">
        <v>31</v>
      </c>
      <c r="I15" s="152" t="s">
        <v>548</v>
      </c>
      <c r="J15" s="170" t="s">
        <v>421</v>
      </c>
      <c r="K15" s="170" t="s">
        <v>422</v>
      </c>
      <c r="L15" s="145" t="s">
        <v>457</v>
      </c>
      <c r="M15" s="163">
        <v>45083</v>
      </c>
      <c r="N15" s="145" t="s">
        <v>424</v>
      </c>
      <c r="O15" s="170" t="s">
        <v>37</v>
      </c>
      <c r="P15" s="145">
        <v>5300009467</v>
      </c>
      <c r="Q15" s="145" t="s">
        <v>549</v>
      </c>
      <c r="R15" s="164">
        <v>45083</v>
      </c>
      <c r="S15" s="137" t="s">
        <v>109</v>
      </c>
      <c r="T15" s="104" t="s">
        <v>110</v>
      </c>
      <c r="U15" s="16" t="s">
        <v>111</v>
      </c>
      <c r="V15" s="139">
        <v>13660000</v>
      </c>
      <c r="W15" s="26">
        <f t="shared" si="0"/>
        <v>15162600</v>
      </c>
      <c r="X15" s="142">
        <v>5000044524</v>
      </c>
      <c r="Y15" s="165" t="s">
        <v>347</v>
      </c>
      <c r="Z15" s="84" t="s">
        <v>347</v>
      </c>
      <c r="AA15" s="162" t="s">
        <v>348</v>
      </c>
      <c r="AB15" s="162" t="s">
        <v>349</v>
      </c>
      <c r="AC15" s="178"/>
    </row>
    <row r="16" spans="1:29" ht="13.2">
      <c r="A16" s="113"/>
      <c r="B16" s="85">
        <v>7</v>
      </c>
      <c r="C16" s="105">
        <v>2000025215</v>
      </c>
      <c r="D16" s="145">
        <v>3000025159</v>
      </c>
      <c r="E16" s="184" t="s">
        <v>550</v>
      </c>
      <c r="F16" s="194">
        <v>45084</v>
      </c>
      <c r="G16" s="139">
        <v>6800000</v>
      </c>
      <c r="H16" s="170" t="s">
        <v>31</v>
      </c>
      <c r="I16" s="195" t="s">
        <v>551</v>
      </c>
      <c r="J16" s="170" t="s">
        <v>421</v>
      </c>
      <c r="K16" s="170" t="s">
        <v>422</v>
      </c>
      <c r="L16" s="145" t="s">
        <v>423</v>
      </c>
      <c r="M16" s="163">
        <v>45085</v>
      </c>
      <c r="N16" s="145" t="s">
        <v>424</v>
      </c>
      <c r="O16" s="170" t="s">
        <v>37</v>
      </c>
      <c r="P16" s="145">
        <v>5300009430</v>
      </c>
      <c r="Q16" s="145" t="s">
        <v>552</v>
      </c>
      <c r="R16" s="164">
        <v>45085</v>
      </c>
      <c r="S16" s="130" t="s">
        <v>183</v>
      </c>
      <c r="T16" s="130"/>
      <c r="U16" s="130"/>
      <c r="V16" s="139">
        <v>6240000</v>
      </c>
      <c r="W16" s="26">
        <f t="shared" si="0"/>
        <v>6926400</v>
      </c>
      <c r="X16" s="142">
        <v>5000046265</v>
      </c>
      <c r="Y16" s="165" t="s">
        <v>347</v>
      </c>
      <c r="Z16" s="84" t="s">
        <v>347</v>
      </c>
      <c r="AA16" s="162" t="s">
        <v>374</v>
      </c>
      <c r="AB16" s="162" t="s">
        <v>349</v>
      </c>
      <c r="AC16" s="178"/>
    </row>
    <row r="17" spans="1:29" ht="13.2">
      <c r="A17" s="113"/>
      <c r="B17" s="85">
        <v>8</v>
      </c>
      <c r="C17" s="149">
        <v>2000026432</v>
      </c>
      <c r="D17" s="192">
        <v>3000026198</v>
      </c>
      <c r="E17" s="184" t="s">
        <v>553</v>
      </c>
      <c r="F17" s="194">
        <v>45082</v>
      </c>
      <c r="G17" s="141">
        <v>63655000</v>
      </c>
      <c r="H17" s="170" t="s">
        <v>31</v>
      </c>
      <c r="I17" s="195" t="s">
        <v>554</v>
      </c>
      <c r="J17" s="170" t="s">
        <v>421</v>
      </c>
      <c r="K17" s="170" t="s">
        <v>422</v>
      </c>
      <c r="L17" s="145" t="s">
        <v>555</v>
      </c>
      <c r="M17" s="163">
        <v>45083</v>
      </c>
      <c r="N17" s="145" t="s">
        <v>424</v>
      </c>
      <c r="O17" s="170" t="s">
        <v>37</v>
      </c>
      <c r="P17" s="149">
        <v>53000010095</v>
      </c>
      <c r="Q17" s="145" t="s">
        <v>556</v>
      </c>
      <c r="R17" s="164">
        <v>45083</v>
      </c>
      <c r="S17" s="137" t="s">
        <v>132</v>
      </c>
      <c r="T17" s="106" t="s">
        <v>133</v>
      </c>
      <c r="U17" s="16" t="s">
        <v>134</v>
      </c>
      <c r="V17" s="139">
        <v>63655000</v>
      </c>
      <c r="W17" s="26">
        <f t="shared" si="0"/>
        <v>70657050</v>
      </c>
      <c r="X17" s="142">
        <v>5000045757</v>
      </c>
      <c r="Y17" s="165" t="s">
        <v>347</v>
      </c>
      <c r="Z17" s="84" t="s">
        <v>347</v>
      </c>
      <c r="AA17" s="162" t="s">
        <v>374</v>
      </c>
      <c r="AB17" s="162" t="s">
        <v>349</v>
      </c>
      <c r="AC17" s="178"/>
    </row>
    <row r="18" spans="1:29" ht="13.2">
      <c r="A18" s="113"/>
      <c r="B18" s="85">
        <v>9</v>
      </c>
      <c r="C18" s="196">
        <v>2000026434</v>
      </c>
      <c r="D18" s="104">
        <v>3000026209</v>
      </c>
      <c r="E18" s="184" t="s">
        <v>557</v>
      </c>
      <c r="F18" s="194">
        <v>45082</v>
      </c>
      <c r="G18" s="141">
        <v>56050000</v>
      </c>
      <c r="H18" s="170" t="s">
        <v>31</v>
      </c>
      <c r="I18" s="195" t="s">
        <v>558</v>
      </c>
      <c r="J18" s="170" t="s">
        <v>421</v>
      </c>
      <c r="K18" s="170" t="s">
        <v>422</v>
      </c>
      <c r="L18" s="145" t="s">
        <v>555</v>
      </c>
      <c r="M18" s="163">
        <v>45083</v>
      </c>
      <c r="N18" s="145" t="s">
        <v>424</v>
      </c>
      <c r="O18" s="170" t="s">
        <v>37</v>
      </c>
      <c r="P18" s="196">
        <v>53000010099</v>
      </c>
      <c r="Q18" s="145" t="s">
        <v>559</v>
      </c>
      <c r="R18" s="164">
        <v>45083</v>
      </c>
      <c r="S18" s="137" t="s">
        <v>132</v>
      </c>
      <c r="T18" s="106" t="s">
        <v>133</v>
      </c>
      <c r="U18" s="16" t="s">
        <v>134</v>
      </c>
      <c r="V18" s="139">
        <v>56050000</v>
      </c>
      <c r="W18" s="26">
        <f t="shared" si="0"/>
        <v>62215500</v>
      </c>
      <c r="X18" s="142">
        <v>5000045763</v>
      </c>
      <c r="Y18" s="165" t="s">
        <v>347</v>
      </c>
      <c r="Z18" s="84" t="s">
        <v>347</v>
      </c>
      <c r="AA18" s="162" t="s">
        <v>374</v>
      </c>
      <c r="AB18" s="162" t="s">
        <v>349</v>
      </c>
      <c r="AC18" s="178"/>
    </row>
    <row r="19" spans="1:29" ht="13.2">
      <c r="A19" s="113"/>
      <c r="B19" s="85">
        <v>10</v>
      </c>
      <c r="C19" s="196">
        <v>2000026435</v>
      </c>
      <c r="D19" s="104">
        <v>3000026212</v>
      </c>
      <c r="E19" s="184" t="s">
        <v>560</v>
      </c>
      <c r="F19" s="194">
        <v>45082</v>
      </c>
      <c r="G19" s="139">
        <v>11040000</v>
      </c>
      <c r="H19" s="170" t="s">
        <v>31</v>
      </c>
      <c r="I19" s="195" t="s">
        <v>561</v>
      </c>
      <c r="J19" s="170" t="s">
        <v>421</v>
      </c>
      <c r="K19" s="170" t="s">
        <v>422</v>
      </c>
      <c r="L19" s="145" t="s">
        <v>555</v>
      </c>
      <c r="M19" s="163">
        <v>45083</v>
      </c>
      <c r="N19" s="145" t="s">
        <v>424</v>
      </c>
      <c r="O19" s="170" t="s">
        <v>37</v>
      </c>
      <c r="P19" s="196">
        <v>53000010101</v>
      </c>
      <c r="Q19" s="145" t="s">
        <v>562</v>
      </c>
      <c r="R19" s="164">
        <v>45083</v>
      </c>
      <c r="S19" s="137" t="s">
        <v>132</v>
      </c>
      <c r="T19" s="106" t="s">
        <v>133</v>
      </c>
      <c r="U19" s="16" t="s">
        <v>134</v>
      </c>
      <c r="V19" s="139">
        <v>11040000</v>
      </c>
      <c r="W19" s="26">
        <f t="shared" si="0"/>
        <v>12254400</v>
      </c>
      <c r="X19" s="142">
        <v>5000045775</v>
      </c>
      <c r="Y19" s="165" t="s">
        <v>347</v>
      </c>
      <c r="Z19" s="84" t="s">
        <v>347</v>
      </c>
      <c r="AA19" s="162" t="s">
        <v>374</v>
      </c>
      <c r="AB19" s="162" t="s">
        <v>349</v>
      </c>
      <c r="AC19" s="178"/>
    </row>
    <row r="20" spans="1:29" ht="13.2">
      <c r="A20" s="113"/>
      <c r="B20" s="85">
        <v>12</v>
      </c>
      <c r="C20" s="105">
        <v>2000025304</v>
      </c>
      <c r="D20" s="145">
        <v>3000025166</v>
      </c>
      <c r="E20" s="184" t="s">
        <v>564</v>
      </c>
      <c r="F20" s="194">
        <v>45082</v>
      </c>
      <c r="G20" s="139">
        <v>13912500</v>
      </c>
      <c r="H20" s="170" t="s">
        <v>31</v>
      </c>
      <c r="I20" s="195" t="s">
        <v>565</v>
      </c>
      <c r="J20" s="170" t="s">
        <v>421</v>
      </c>
      <c r="K20" s="170" t="s">
        <v>422</v>
      </c>
      <c r="L20" s="145" t="s">
        <v>457</v>
      </c>
      <c r="M20" s="163">
        <v>45083</v>
      </c>
      <c r="N20" s="145" t="s">
        <v>424</v>
      </c>
      <c r="O20" s="170" t="s">
        <v>37</v>
      </c>
      <c r="P20" s="145">
        <v>5300009436</v>
      </c>
      <c r="Q20" s="145" t="s">
        <v>566</v>
      </c>
      <c r="R20" s="164">
        <v>45083</v>
      </c>
      <c r="S20" s="137" t="s">
        <v>39</v>
      </c>
      <c r="T20" s="104" t="s">
        <v>40</v>
      </c>
      <c r="U20" s="16" t="s">
        <v>41</v>
      </c>
      <c r="V20" s="139">
        <v>13912500</v>
      </c>
      <c r="W20" s="26">
        <f t="shared" si="0"/>
        <v>15442875</v>
      </c>
      <c r="X20" s="142">
        <v>5000044474</v>
      </c>
      <c r="Y20" s="165" t="s">
        <v>347</v>
      </c>
      <c r="Z20" s="84" t="s">
        <v>347</v>
      </c>
      <c r="AA20" s="162" t="s">
        <v>374</v>
      </c>
      <c r="AB20" s="162" t="s">
        <v>349</v>
      </c>
      <c r="AC20" s="178"/>
    </row>
    <row r="21" spans="1:29" ht="13.2">
      <c r="A21" s="113"/>
      <c r="B21" s="85">
        <v>13</v>
      </c>
      <c r="C21" s="105">
        <v>2000025305</v>
      </c>
      <c r="D21" s="145">
        <v>3000025167</v>
      </c>
      <c r="E21" s="184" t="s">
        <v>567</v>
      </c>
      <c r="F21" s="194">
        <v>45082</v>
      </c>
      <c r="G21" s="139">
        <v>18790500</v>
      </c>
      <c r="H21" s="170" t="s">
        <v>31</v>
      </c>
      <c r="I21" s="195" t="s">
        <v>568</v>
      </c>
      <c r="J21" s="170" t="s">
        <v>421</v>
      </c>
      <c r="K21" s="170" t="s">
        <v>422</v>
      </c>
      <c r="L21" s="145" t="s">
        <v>457</v>
      </c>
      <c r="M21" s="163">
        <v>45083</v>
      </c>
      <c r="N21" s="145" t="s">
        <v>424</v>
      </c>
      <c r="O21" s="170" t="s">
        <v>37</v>
      </c>
      <c r="P21" s="145">
        <v>5300009437</v>
      </c>
      <c r="Q21" s="145" t="s">
        <v>569</v>
      </c>
      <c r="R21" s="164">
        <v>45083</v>
      </c>
      <c r="S21" s="137" t="s">
        <v>39</v>
      </c>
      <c r="T21" s="104" t="s">
        <v>40</v>
      </c>
      <c r="U21" s="16" t="s">
        <v>41</v>
      </c>
      <c r="V21" s="139">
        <v>18790500</v>
      </c>
      <c r="W21" s="26">
        <f t="shared" si="0"/>
        <v>20857455</v>
      </c>
      <c r="X21" s="142">
        <v>5000044475</v>
      </c>
      <c r="Y21" s="165" t="s">
        <v>347</v>
      </c>
      <c r="Z21" s="84" t="s">
        <v>347</v>
      </c>
      <c r="AA21" s="162" t="s">
        <v>374</v>
      </c>
      <c r="AB21" s="162" t="s">
        <v>349</v>
      </c>
      <c r="AC21" s="178"/>
    </row>
    <row r="22" spans="1:29" ht="13.2">
      <c r="A22" s="113"/>
      <c r="B22" s="85">
        <v>14</v>
      </c>
      <c r="C22" s="105">
        <v>2000025306</v>
      </c>
      <c r="D22" s="145">
        <v>3000025168</v>
      </c>
      <c r="E22" s="184" t="s">
        <v>570</v>
      </c>
      <c r="F22" s="194">
        <v>45085</v>
      </c>
      <c r="G22" s="141">
        <v>62000000</v>
      </c>
      <c r="H22" s="170" t="s">
        <v>31</v>
      </c>
      <c r="I22" s="195" t="s">
        <v>571</v>
      </c>
      <c r="J22" s="170" t="s">
        <v>421</v>
      </c>
      <c r="K22" s="170" t="s">
        <v>422</v>
      </c>
      <c r="L22" s="145" t="s">
        <v>457</v>
      </c>
      <c r="M22" s="163">
        <v>45086</v>
      </c>
      <c r="N22" s="145" t="s">
        <v>424</v>
      </c>
      <c r="O22" s="170" t="s">
        <v>37</v>
      </c>
      <c r="P22" s="145">
        <v>5300009438</v>
      </c>
      <c r="Q22" s="145" t="s">
        <v>572</v>
      </c>
      <c r="R22" s="164">
        <v>45083</v>
      </c>
      <c r="S22" s="11" t="s">
        <v>109</v>
      </c>
      <c r="T22" s="104" t="s">
        <v>110</v>
      </c>
      <c r="U22" s="16" t="s">
        <v>111</v>
      </c>
      <c r="V22" s="139">
        <v>56000000</v>
      </c>
      <c r="W22" s="26">
        <f t="shared" si="0"/>
        <v>62160000</v>
      </c>
      <c r="X22" s="142">
        <v>5000044476</v>
      </c>
      <c r="Y22" s="165" t="s">
        <v>347</v>
      </c>
      <c r="Z22" s="84" t="s">
        <v>347</v>
      </c>
      <c r="AA22" s="162" t="s">
        <v>374</v>
      </c>
      <c r="AB22" s="162" t="s">
        <v>349</v>
      </c>
      <c r="AC22" s="178"/>
    </row>
    <row r="23" spans="1:29" ht="13.2">
      <c r="A23" s="113"/>
      <c r="B23" s="85">
        <v>15</v>
      </c>
      <c r="C23" s="105">
        <v>2000026334</v>
      </c>
      <c r="D23" s="145">
        <v>3000026123</v>
      </c>
      <c r="E23" s="184" t="s">
        <v>573</v>
      </c>
      <c r="F23" s="194">
        <v>45083</v>
      </c>
      <c r="G23" s="141">
        <v>72593000</v>
      </c>
      <c r="H23" s="170" t="s">
        <v>31</v>
      </c>
      <c r="I23" s="195" t="s">
        <v>574</v>
      </c>
      <c r="J23" s="170" t="s">
        <v>421</v>
      </c>
      <c r="K23" s="170" t="s">
        <v>505</v>
      </c>
      <c r="L23" s="145" t="s">
        <v>457</v>
      </c>
      <c r="M23" s="163">
        <v>45084</v>
      </c>
      <c r="N23" s="145" t="s">
        <v>424</v>
      </c>
      <c r="O23" s="170" t="s">
        <v>37</v>
      </c>
      <c r="P23" s="145">
        <v>5300010045</v>
      </c>
      <c r="Q23" s="145" t="s">
        <v>575</v>
      </c>
      <c r="R23" s="164">
        <v>45084</v>
      </c>
      <c r="S23" s="11" t="s">
        <v>256</v>
      </c>
      <c r="T23" s="104"/>
      <c r="U23" s="16"/>
      <c r="V23" s="139">
        <v>57775000</v>
      </c>
      <c r="W23" s="26">
        <f t="shared" si="0"/>
        <v>64130250</v>
      </c>
      <c r="X23" s="143">
        <v>5000045658</v>
      </c>
      <c r="Y23" s="165" t="s">
        <v>347</v>
      </c>
      <c r="Z23" s="84" t="s">
        <v>347</v>
      </c>
      <c r="AA23" s="162" t="s">
        <v>374</v>
      </c>
      <c r="AB23" s="162" t="s">
        <v>349</v>
      </c>
      <c r="AC23" s="178"/>
    </row>
    <row r="24" spans="1:29" ht="13.2">
      <c r="A24" s="113"/>
      <c r="B24" s="85">
        <v>17</v>
      </c>
      <c r="C24" s="105">
        <v>2000025369</v>
      </c>
      <c r="D24" s="145">
        <v>3000025210</v>
      </c>
      <c r="E24" s="184" t="s">
        <v>577</v>
      </c>
      <c r="F24" s="194">
        <v>45085</v>
      </c>
      <c r="G24" s="139">
        <v>20000000</v>
      </c>
      <c r="H24" s="170" t="s">
        <v>31</v>
      </c>
      <c r="I24" s="152" t="s">
        <v>578</v>
      </c>
      <c r="J24" s="170" t="s">
        <v>421</v>
      </c>
      <c r="K24" s="170" t="s">
        <v>422</v>
      </c>
      <c r="L24" s="145" t="s">
        <v>457</v>
      </c>
      <c r="M24" s="163">
        <v>45086</v>
      </c>
      <c r="N24" s="145" t="s">
        <v>424</v>
      </c>
      <c r="O24" s="170" t="s">
        <v>37</v>
      </c>
      <c r="P24" s="145">
        <v>5300009464</v>
      </c>
      <c r="Q24" s="145" t="s">
        <v>579</v>
      </c>
      <c r="R24" s="164">
        <v>45086</v>
      </c>
      <c r="S24" s="11" t="s">
        <v>39</v>
      </c>
      <c r="T24" s="104" t="s">
        <v>40</v>
      </c>
      <c r="U24" s="16" t="s">
        <v>41</v>
      </c>
      <c r="V24" s="139">
        <v>20000000</v>
      </c>
      <c r="W24" s="26">
        <f t="shared" si="0"/>
        <v>22200000</v>
      </c>
      <c r="X24" s="143">
        <v>5000044868</v>
      </c>
      <c r="Y24" s="198" t="s">
        <v>347</v>
      </c>
      <c r="Z24" s="84" t="s">
        <v>347</v>
      </c>
      <c r="AA24" s="162" t="s">
        <v>348</v>
      </c>
      <c r="AB24" s="162" t="s">
        <v>349</v>
      </c>
      <c r="AC24" s="178"/>
    </row>
    <row r="25" spans="1:29" ht="13.2">
      <c r="A25" s="113"/>
      <c r="B25" s="85">
        <v>18</v>
      </c>
      <c r="C25" s="105">
        <v>2000025370</v>
      </c>
      <c r="D25" s="145">
        <v>3000025211</v>
      </c>
      <c r="E25" s="184" t="s">
        <v>580</v>
      </c>
      <c r="F25" s="194">
        <v>45085</v>
      </c>
      <c r="G25" s="139">
        <v>20000000</v>
      </c>
      <c r="H25" s="170" t="s">
        <v>31</v>
      </c>
      <c r="I25" s="195" t="s">
        <v>581</v>
      </c>
      <c r="J25" s="170" t="s">
        <v>421</v>
      </c>
      <c r="K25" s="170" t="s">
        <v>422</v>
      </c>
      <c r="L25" s="145" t="s">
        <v>457</v>
      </c>
      <c r="M25" s="163">
        <v>45086</v>
      </c>
      <c r="N25" s="145" t="s">
        <v>424</v>
      </c>
      <c r="O25" s="170" t="s">
        <v>37</v>
      </c>
      <c r="P25" s="145">
        <v>5300009465</v>
      </c>
      <c r="Q25" s="145" t="s">
        <v>582</v>
      </c>
      <c r="R25" s="164">
        <v>45086</v>
      </c>
      <c r="S25" s="11" t="s">
        <v>39</v>
      </c>
      <c r="T25" s="104" t="s">
        <v>40</v>
      </c>
      <c r="U25" s="16" t="s">
        <v>41</v>
      </c>
      <c r="V25" s="139">
        <v>20000000</v>
      </c>
      <c r="W25" s="26">
        <f t="shared" si="0"/>
        <v>22200000</v>
      </c>
      <c r="X25" s="143">
        <v>5000044869</v>
      </c>
      <c r="Y25" s="198" t="s">
        <v>347</v>
      </c>
      <c r="Z25" s="84" t="s">
        <v>347</v>
      </c>
      <c r="AA25" s="162" t="s">
        <v>374</v>
      </c>
      <c r="AB25" s="162" t="s">
        <v>349</v>
      </c>
      <c r="AC25" s="178"/>
    </row>
    <row r="26" spans="1:29" ht="13.2">
      <c r="A26" s="113"/>
      <c r="B26" s="85">
        <v>19</v>
      </c>
      <c r="C26" s="105">
        <v>2000025371</v>
      </c>
      <c r="D26" s="145">
        <v>3000025212</v>
      </c>
      <c r="E26" s="184" t="s">
        <v>583</v>
      </c>
      <c r="F26" s="194">
        <v>45085</v>
      </c>
      <c r="G26" s="139">
        <v>25200000</v>
      </c>
      <c r="H26" s="170" t="s">
        <v>31</v>
      </c>
      <c r="I26" s="195" t="s">
        <v>584</v>
      </c>
      <c r="J26" s="170" t="s">
        <v>421</v>
      </c>
      <c r="K26" s="170" t="s">
        <v>422</v>
      </c>
      <c r="L26" s="145" t="s">
        <v>457</v>
      </c>
      <c r="M26" s="163">
        <v>45086</v>
      </c>
      <c r="N26" s="145" t="s">
        <v>424</v>
      </c>
      <c r="O26" s="170" t="s">
        <v>37</v>
      </c>
      <c r="P26" s="145">
        <v>5300009466</v>
      </c>
      <c r="Q26" s="145" t="s">
        <v>585</v>
      </c>
      <c r="R26" s="164">
        <v>45086</v>
      </c>
      <c r="S26" s="11" t="s">
        <v>109</v>
      </c>
      <c r="T26" s="104" t="s">
        <v>110</v>
      </c>
      <c r="U26" s="16" t="s">
        <v>111</v>
      </c>
      <c r="V26" s="139">
        <v>20300000</v>
      </c>
      <c r="W26" s="26">
        <f t="shared" si="0"/>
        <v>22533000</v>
      </c>
      <c r="X26" s="143">
        <v>5000044523</v>
      </c>
      <c r="Y26" s="198" t="s">
        <v>347</v>
      </c>
      <c r="Z26" s="84" t="s">
        <v>347</v>
      </c>
      <c r="AA26" s="162" t="s">
        <v>374</v>
      </c>
      <c r="AB26" s="162" t="s">
        <v>349</v>
      </c>
      <c r="AC26" s="178"/>
    </row>
    <row r="27" spans="1:29" ht="13.2">
      <c r="A27" s="113"/>
      <c r="B27" s="85">
        <v>20</v>
      </c>
      <c r="C27" s="105">
        <v>2000026325</v>
      </c>
      <c r="D27" s="145">
        <v>3000026127</v>
      </c>
      <c r="E27" s="184" t="s">
        <v>586</v>
      </c>
      <c r="F27" s="194">
        <v>45089</v>
      </c>
      <c r="G27" s="139">
        <v>31305000</v>
      </c>
      <c r="H27" s="170" t="s">
        <v>31</v>
      </c>
      <c r="I27" s="195" t="s">
        <v>587</v>
      </c>
      <c r="J27" s="170" t="s">
        <v>588</v>
      </c>
      <c r="K27" s="170" t="s">
        <v>422</v>
      </c>
      <c r="L27" s="145" t="s">
        <v>423</v>
      </c>
      <c r="M27" s="163">
        <v>45089</v>
      </c>
      <c r="N27" s="145" t="s">
        <v>424</v>
      </c>
      <c r="O27" s="170" t="s">
        <v>37</v>
      </c>
      <c r="P27" s="145">
        <v>5300010043</v>
      </c>
      <c r="Q27" s="145" t="s">
        <v>589</v>
      </c>
      <c r="R27" s="164">
        <v>45090</v>
      </c>
      <c r="S27" s="130" t="s">
        <v>177</v>
      </c>
      <c r="T27" s="136" t="s">
        <v>40</v>
      </c>
      <c r="U27" s="136" t="s">
        <v>317</v>
      </c>
      <c r="V27" s="139">
        <v>22295000</v>
      </c>
      <c r="W27" s="26">
        <f t="shared" si="0"/>
        <v>24747450</v>
      </c>
      <c r="X27" s="149">
        <v>5000045656</v>
      </c>
      <c r="Y27" s="198" t="s">
        <v>347</v>
      </c>
      <c r="Z27" s="84" t="s">
        <v>347</v>
      </c>
      <c r="AA27" s="162" t="s">
        <v>374</v>
      </c>
      <c r="AB27" s="162" t="s">
        <v>349</v>
      </c>
      <c r="AC27" s="178"/>
    </row>
    <row r="28" spans="1:29" ht="13.2">
      <c r="A28" s="113"/>
      <c r="B28" s="85">
        <v>21</v>
      </c>
      <c r="C28" s="105">
        <v>2000026321</v>
      </c>
      <c r="D28" s="145">
        <v>3000026122</v>
      </c>
      <c r="E28" s="184" t="s">
        <v>590</v>
      </c>
      <c r="F28" s="194">
        <v>45092</v>
      </c>
      <c r="G28" s="139">
        <v>16900000</v>
      </c>
      <c r="H28" s="170" t="s">
        <v>31</v>
      </c>
      <c r="I28" s="152" t="s">
        <v>591</v>
      </c>
      <c r="J28" s="170" t="s">
        <v>592</v>
      </c>
      <c r="K28" s="170" t="s">
        <v>422</v>
      </c>
      <c r="L28" s="145" t="s">
        <v>423</v>
      </c>
      <c r="M28" s="163">
        <v>45092</v>
      </c>
      <c r="N28" s="145" t="s">
        <v>424</v>
      </c>
      <c r="O28" s="170" t="s">
        <v>37</v>
      </c>
      <c r="P28" s="145">
        <v>5300010040</v>
      </c>
      <c r="Q28" s="145" t="s">
        <v>593</v>
      </c>
      <c r="R28" s="164">
        <v>45093</v>
      </c>
      <c r="S28" s="130" t="s">
        <v>177</v>
      </c>
      <c r="T28" s="136" t="s">
        <v>40</v>
      </c>
      <c r="U28" s="136" t="s">
        <v>317</v>
      </c>
      <c r="V28" s="197">
        <v>12000000</v>
      </c>
      <c r="W28" s="26">
        <f t="shared" si="0"/>
        <v>13320000</v>
      </c>
      <c r="X28" s="199">
        <v>5000045652</v>
      </c>
      <c r="Y28" s="198" t="s">
        <v>347</v>
      </c>
      <c r="Z28" s="84" t="s">
        <v>347</v>
      </c>
      <c r="AA28" s="162" t="s">
        <v>348</v>
      </c>
      <c r="AB28" s="162" t="s">
        <v>349</v>
      </c>
      <c r="AC28" s="178"/>
    </row>
    <row r="29" spans="1:29" ht="13.2">
      <c r="A29" s="113"/>
      <c r="B29" s="85">
        <v>22</v>
      </c>
      <c r="C29" s="105">
        <v>2000025746</v>
      </c>
      <c r="D29" s="145">
        <v>3000025612</v>
      </c>
      <c r="E29" s="184" t="s">
        <v>594</v>
      </c>
      <c r="F29" s="194">
        <v>45097</v>
      </c>
      <c r="G29" s="139">
        <v>7600000</v>
      </c>
      <c r="H29" s="170" t="s">
        <v>31</v>
      </c>
      <c r="I29" s="184" t="s">
        <v>595</v>
      </c>
      <c r="J29" s="170" t="s">
        <v>421</v>
      </c>
      <c r="K29" s="170" t="s">
        <v>422</v>
      </c>
      <c r="L29" s="145" t="s">
        <v>457</v>
      </c>
      <c r="M29" s="163">
        <v>45098</v>
      </c>
      <c r="N29" s="145" t="s">
        <v>424</v>
      </c>
      <c r="O29" s="170" t="s">
        <v>37</v>
      </c>
      <c r="P29" s="145">
        <v>5300009704</v>
      </c>
      <c r="Q29" s="145" t="s">
        <v>596</v>
      </c>
      <c r="R29" s="164">
        <v>45098</v>
      </c>
      <c r="S29" s="145" t="s">
        <v>494</v>
      </c>
      <c r="T29" s="145"/>
      <c r="U29" s="145"/>
      <c r="V29" s="139">
        <v>6300000</v>
      </c>
      <c r="W29" s="26">
        <f t="shared" si="0"/>
        <v>6993000</v>
      </c>
      <c r="X29" s="136">
        <v>5000045604</v>
      </c>
      <c r="Y29" s="198" t="s">
        <v>347</v>
      </c>
      <c r="Z29" s="84" t="s">
        <v>347</v>
      </c>
      <c r="AA29" s="162" t="s">
        <v>356</v>
      </c>
      <c r="AB29" s="162" t="s">
        <v>357</v>
      </c>
      <c r="AC29" s="178"/>
    </row>
    <row r="30" spans="1:29" ht="13.2">
      <c r="A30" s="113"/>
      <c r="B30" s="85">
        <v>23</v>
      </c>
      <c r="C30" s="105">
        <v>2000026328</v>
      </c>
      <c r="D30" s="145">
        <v>3000026125</v>
      </c>
      <c r="E30" s="184" t="s">
        <v>597</v>
      </c>
      <c r="F30" s="194">
        <v>45097</v>
      </c>
      <c r="G30" s="139">
        <v>17500000</v>
      </c>
      <c r="H30" s="170" t="s">
        <v>31</v>
      </c>
      <c r="I30" s="195" t="s">
        <v>598</v>
      </c>
      <c r="J30" s="170" t="s">
        <v>421</v>
      </c>
      <c r="K30" s="170" t="s">
        <v>422</v>
      </c>
      <c r="L30" s="145" t="s">
        <v>423</v>
      </c>
      <c r="M30" s="163">
        <v>45097</v>
      </c>
      <c r="N30" s="145" t="s">
        <v>424</v>
      </c>
      <c r="O30" s="170" t="s">
        <v>37</v>
      </c>
      <c r="P30" s="145">
        <v>5300010041</v>
      </c>
      <c r="Q30" s="145" t="s">
        <v>599</v>
      </c>
      <c r="R30" s="164">
        <v>45098</v>
      </c>
      <c r="S30" s="130" t="s">
        <v>177</v>
      </c>
      <c r="T30" s="136" t="s">
        <v>40</v>
      </c>
      <c r="U30" s="136" t="s">
        <v>317</v>
      </c>
      <c r="V30" s="139">
        <v>12500000</v>
      </c>
      <c r="W30" s="26">
        <f t="shared" si="0"/>
        <v>13875000</v>
      </c>
      <c r="X30" s="199">
        <v>5000045654</v>
      </c>
      <c r="Y30" s="198" t="s">
        <v>347</v>
      </c>
      <c r="Z30" s="84" t="s">
        <v>347</v>
      </c>
      <c r="AA30" s="162" t="s">
        <v>374</v>
      </c>
      <c r="AB30" s="162" t="s">
        <v>349</v>
      </c>
      <c r="AC30" s="178"/>
    </row>
    <row r="31" spans="1:29" ht="13.2">
      <c r="A31" s="113"/>
      <c r="B31" s="85">
        <v>25</v>
      </c>
      <c r="C31" s="105">
        <v>2000026246</v>
      </c>
      <c r="D31" s="145">
        <v>3000026023</v>
      </c>
      <c r="E31" s="184" t="s">
        <v>602</v>
      </c>
      <c r="F31" s="194">
        <v>45104</v>
      </c>
      <c r="G31" s="141">
        <v>577120000</v>
      </c>
      <c r="H31" s="170" t="s">
        <v>31</v>
      </c>
      <c r="I31" s="201" t="s">
        <v>603</v>
      </c>
      <c r="J31" s="170" t="s">
        <v>421</v>
      </c>
      <c r="K31" s="170" t="s">
        <v>505</v>
      </c>
      <c r="L31" s="145" t="s">
        <v>533</v>
      </c>
      <c r="M31" s="163">
        <v>45104</v>
      </c>
      <c r="N31" s="145" t="s">
        <v>506</v>
      </c>
      <c r="O31" s="170" t="s">
        <v>37</v>
      </c>
      <c r="P31" s="145">
        <v>5200014178</v>
      </c>
      <c r="Q31" s="77" t="s">
        <v>604</v>
      </c>
      <c r="R31" s="164">
        <v>45107</v>
      </c>
      <c r="S31" s="77" t="s">
        <v>508</v>
      </c>
      <c r="T31" s="104" t="s">
        <v>509</v>
      </c>
      <c r="U31" s="16" t="s">
        <v>510</v>
      </c>
      <c r="V31" s="139">
        <v>510205000</v>
      </c>
      <c r="W31" s="26">
        <f t="shared" si="0"/>
        <v>566327550</v>
      </c>
      <c r="X31" s="202">
        <v>5000045848</v>
      </c>
      <c r="Y31" s="200" t="s">
        <v>347</v>
      </c>
      <c r="Z31" s="84"/>
      <c r="AA31" s="162" t="s">
        <v>379</v>
      </c>
      <c r="AB31" s="162" t="s">
        <v>349</v>
      </c>
      <c r="AC31" s="178"/>
    </row>
    <row r="32" spans="1:29" ht="13.2">
      <c r="A32" s="113"/>
      <c r="B32" s="85">
        <v>26</v>
      </c>
      <c r="C32" s="105">
        <v>2000026049</v>
      </c>
      <c r="D32" s="145">
        <v>3000025893</v>
      </c>
      <c r="E32" s="184" t="s">
        <v>605</v>
      </c>
      <c r="F32" s="194">
        <v>45133</v>
      </c>
      <c r="G32" s="141">
        <v>167600000</v>
      </c>
      <c r="H32" s="170" t="s">
        <v>31</v>
      </c>
      <c r="I32" s="201" t="s">
        <v>606</v>
      </c>
      <c r="J32" s="170" t="s">
        <v>607</v>
      </c>
      <c r="K32" s="170" t="s">
        <v>422</v>
      </c>
      <c r="L32" s="145" t="s">
        <v>608</v>
      </c>
      <c r="M32" s="163">
        <v>45133</v>
      </c>
      <c r="N32" s="145" t="s">
        <v>424</v>
      </c>
      <c r="O32" s="170" t="s">
        <v>491</v>
      </c>
      <c r="P32" s="145">
        <v>5300009888</v>
      </c>
      <c r="Q32" s="145" t="s">
        <v>609</v>
      </c>
      <c r="R32" s="164">
        <v>45104</v>
      </c>
      <c r="S32" s="77" t="s">
        <v>610</v>
      </c>
      <c r="T32" s="104"/>
      <c r="U32" s="16"/>
      <c r="V32" s="139">
        <v>167600000</v>
      </c>
      <c r="W32" s="26">
        <f>V32+(V32*11%)</f>
        <v>186036000</v>
      </c>
      <c r="X32" s="203">
        <v>5000045358</v>
      </c>
      <c r="Y32" s="165" t="s">
        <v>346</v>
      </c>
      <c r="Z32" s="84" t="s">
        <v>347</v>
      </c>
      <c r="AA32" s="162" t="s">
        <v>379</v>
      </c>
      <c r="AB32" s="162" t="s">
        <v>349</v>
      </c>
      <c r="AC32" s="178"/>
    </row>
    <row r="33" spans="1:29" ht="13.2">
      <c r="A33" s="113"/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31"/>
      <c r="V33" s="204">
        <f>SUM(V10:V32)</f>
        <v>1571051500</v>
      </c>
      <c r="W33" s="205">
        <f>SUM(W10:W32)</f>
        <v>1743867165</v>
      </c>
      <c r="Y33" s="61" t="s">
        <v>611</v>
      </c>
      <c r="AA33" s="178"/>
      <c r="AB33" s="178"/>
      <c r="AC33" s="178"/>
    </row>
    <row r="34" spans="1:29" ht="13.2">
      <c r="A34" s="113"/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31"/>
      <c r="V34" s="206" t="s">
        <v>151</v>
      </c>
      <c r="W34" s="207">
        <v>0.12441000000000001</v>
      </c>
      <c r="AA34" s="178"/>
      <c r="AB34" s="178"/>
      <c r="AC34" s="178"/>
    </row>
    <row r="35" spans="1:29" ht="13.2">
      <c r="A35" s="113"/>
      <c r="B35" s="618"/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  <c r="P35" s="618"/>
      <c r="Q35" s="618"/>
      <c r="R35" s="618"/>
      <c r="S35" s="618"/>
      <c r="T35" s="618"/>
      <c r="U35" s="618"/>
      <c r="V35" s="618"/>
      <c r="W35" s="618"/>
      <c r="AA35" s="178"/>
      <c r="AB35" s="178"/>
      <c r="AC35" s="178"/>
    </row>
    <row r="36" spans="1:29" ht="13.2">
      <c r="A36" s="113"/>
      <c r="B36" s="618"/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617" t="s">
        <v>612</v>
      </c>
      <c r="V36" s="618"/>
      <c r="W36" s="618"/>
      <c r="AA36" s="178"/>
      <c r="AB36" s="178"/>
      <c r="AC36" s="178"/>
    </row>
    <row r="37" spans="1:29" ht="13.2">
      <c r="A37" s="113"/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7" t="s">
        <v>153</v>
      </c>
      <c r="V37" s="618"/>
      <c r="W37" s="618"/>
      <c r="AA37" s="178"/>
      <c r="AB37" s="178"/>
      <c r="AC37" s="178"/>
    </row>
    <row r="38" spans="1:29" ht="13.2">
      <c r="A38" s="113"/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7" t="s">
        <v>154</v>
      </c>
      <c r="V38" s="618"/>
      <c r="W38" s="618"/>
      <c r="AA38" s="178"/>
      <c r="AB38" s="178"/>
      <c r="AC38" s="178"/>
    </row>
    <row r="39" spans="1:29" ht="13.2">
      <c r="A39" s="113"/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AA39" s="178"/>
      <c r="AB39" s="178"/>
      <c r="AC39" s="178"/>
    </row>
    <row r="40" spans="1:29" ht="13.2">
      <c r="A40" s="113"/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178"/>
      <c r="Y40" s="178"/>
      <c r="Z40" s="178"/>
      <c r="AA40" s="178"/>
      <c r="AB40" s="178"/>
      <c r="AC40" s="178"/>
    </row>
    <row r="41" spans="1:29" ht="13.2">
      <c r="A41" s="113"/>
      <c r="B41" s="618"/>
      <c r="C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178"/>
      <c r="Y41" s="178"/>
      <c r="Z41" s="178"/>
      <c r="AA41" s="178"/>
      <c r="AB41" s="178"/>
      <c r="AC41" s="178"/>
    </row>
    <row r="42" spans="1:29" ht="13.2">
      <c r="A42" s="113"/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178"/>
      <c r="Y42" s="178"/>
      <c r="Z42" s="178"/>
      <c r="AA42" s="178"/>
      <c r="AB42" s="178"/>
      <c r="AC42" s="178"/>
    </row>
    <row r="43" spans="1:29" ht="13.2">
      <c r="A43" s="113"/>
      <c r="B43" s="618"/>
      <c r="C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7" t="s">
        <v>155</v>
      </c>
      <c r="V43" s="618"/>
      <c r="W43" s="618"/>
      <c r="X43" s="178"/>
      <c r="Y43" s="178"/>
      <c r="Z43" s="178"/>
      <c r="AA43" s="178"/>
      <c r="AB43" s="178"/>
      <c r="AC43" s="178"/>
    </row>
    <row r="44" spans="1:29" ht="13.2">
      <c r="A44" s="113"/>
      <c r="V44" s="178"/>
      <c r="W44" s="178"/>
      <c r="X44" s="178"/>
      <c r="Y44" s="178"/>
      <c r="Z44" s="178"/>
      <c r="AA44" s="178"/>
      <c r="AB44" s="178"/>
      <c r="AC44" s="178"/>
    </row>
    <row r="45" spans="1:29" ht="13.2">
      <c r="A45" s="113"/>
      <c r="AA45" s="178"/>
      <c r="AB45" s="178"/>
      <c r="AC45" s="178"/>
    </row>
    <row r="46" spans="1:29" ht="13.2">
      <c r="A46" s="113"/>
      <c r="AA46" s="178"/>
      <c r="AB46" s="178"/>
      <c r="AC46" s="178"/>
    </row>
    <row r="47" spans="1:29" ht="13.2">
      <c r="A47" s="113"/>
      <c r="AA47" s="178"/>
      <c r="AB47" s="178"/>
      <c r="AC47" s="178"/>
    </row>
    <row r="48" spans="1:29" ht="13.2">
      <c r="A48" s="113"/>
      <c r="AA48" s="178"/>
      <c r="AB48" s="178"/>
      <c r="AC48" s="178"/>
    </row>
    <row r="49" spans="1:29" ht="13.2">
      <c r="A49" s="113"/>
      <c r="AA49" s="178"/>
      <c r="AB49" s="178"/>
      <c r="AC49" s="178"/>
    </row>
    <row r="50" spans="1:29" ht="13.2">
      <c r="A50" s="113"/>
      <c r="AA50" s="178"/>
      <c r="AB50" s="178"/>
      <c r="AC50" s="178"/>
    </row>
    <row r="51" spans="1:29" ht="13.2">
      <c r="A51" s="113"/>
      <c r="AA51" s="178"/>
      <c r="AB51" s="178"/>
      <c r="AC51" s="178"/>
    </row>
    <row r="52" spans="1:29" ht="13.2">
      <c r="A52" s="113"/>
      <c r="AA52" s="178"/>
      <c r="AB52" s="178"/>
      <c r="AC52" s="178"/>
    </row>
    <row r="53" spans="1:29" ht="13.2">
      <c r="A53" s="113"/>
      <c r="AA53" s="178"/>
      <c r="AB53" s="178"/>
      <c r="AC53" s="178"/>
    </row>
    <row r="54" spans="1:29" ht="13.2">
      <c r="A54" s="113"/>
      <c r="AA54" s="178"/>
      <c r="AB54" s="178"/>
      <c r="AC54" s="178"/>
    </row>
    <row r="55" spans="1:29" ht="13.2">
      <c r="A55" s="113"/>
      <c r="AA55" s="178"/>
      <c r="AB55" s="178"/>
      <c r="AC55" s="178"/>
    </row>
    <row r="56" spans="1:29" ht="13.2">
      <c r="A56" s="113"/>
      <c r="AA56" s="178"/>
      <c r="AB56" s="178"/>
      <c r="AC56" s="178"/>
    </row>
    <row r="57" spans="1:29" ht="13.2">
      <c r="A57" s="113"/>
      <c r="AA57" s="178"/>
      <c r="AB57" s="178"/>
      <c r="AC57" s="178"/>
    </row>
    <row r="58" spans="1:29" ht="13.2">
      <c r="A58" s="113"/>
      <c r="AA58" s="178"/>
      <c r="AB58" s="178"/>
      <c r="AC58" s="178"/>
    </row>
    <row r="59" spans="1:29" ht="13.2">
      <c r="A59" s="113"/>
      <c r="AA59" s="178"/>
      <c r="AB59" s="178"/>
      <c r="AC59" s="178"/>
    </row>
    <row r="60" spans="1:29" ht="13.2">
      <c r="A60" s="113"/>
      <c r="AA60" s="178"/>
      <c r="AB60" s="178"/>
      <c r="AC60" s="178"/>
    </row>
    <row r="61" spans="1:29" ht="13.2">
      <c r="A61" s="113"/>
      <c r="AA61" s="178"/>
      <c r="AB61" s="178"/>
      <c r="AC61" s="178"/>
    </row>
    <row r="62" spans="1:29" ht="13.2">
      <c r="A62" s="113"/>
      <c r="AA62" s="178"/>
      <c r="AB62" s="178"/>
      <c r="AC62" s="178"/>
    </row>
    <row r="63" spans="1:29" ht="13.2">
      <c r="A63" s="113"/>
      <c r="AA63" s="178"/>
      <c r="AB63" s="178"/>
      <c r="AC63" s="178"/>
    </row>
    <row r="64" spans="1:29" ht="13.2">
      <c r="A64" s="113"/>
      <c r="AA64" s="178"/>
      <c r="AB64" s="178"/>
      <c r="AC64" s="178"/>
    </row>
    <row r="65" spans="1:29" ht="13.2">
      <c r="A65" s="113"/>
      <c r="AA65" s="178"/>
      <c r="AB65" s="178"/>
      <c r="AC65" s="178"/>
    </row>
    <row r="66" spans="1:29" ht="13.2">
      <c r="A66" s="113"/>
      <c r="AA66" s="178"/>
      <c r="AB66" s="178"/>
      <c r="AC66" s="178"/>
    </row>
    <row r="67" spans="1:29" ht="13.2">
      <c r="A67" s="113"/>
      <c r="AA67" s="178"/>
      <c r="AB67" s="178"/>
      <c r="AC67" s="178"/>
    </row>
    <row r="68" spans="1:29" ht="13.2">
      <c r="A68" s="113"/>
      <c r="AA68" s="178"/>
      <c r="AB68" s="178"/>
      <c r="AC68" s="178"/>
    </row>
    <row r="69" spans="1:29" ht="13.2">
      <c r="A69" s="113"/>
      <c r="AA69" s="178"/>
      <c r="AB69" s="178"/>
      <c r="AC69" s="178"/>
    </row>
    <row r="70" spans="1:29" ht="13.2">
      <c r="A70" s="113"/>
      <c r="AA70" s="178"/>
      <c r="AB70" s="178"/>
      <c r="AC70" s="178"/>
    </row>
    <row r="71" spans="1:29" ht="13.2">
      <c r="A71" s="113"/>
      <c r="AA71" s="178"/>
      <c r="AB71" s="178"/>
      <c r="AC71" s="178"/>
    </row>
    <row r="72" spans="1:29" ht="13.2">
      <c r="A72" s="113"/>
      <c r="AA72" s="178"/>
      <c r="AB72" s="178"/>
      <c r="AC72" s="178"/>
    </row>
    <row r="73" spans="1:29" ht="13.2">
      <c r="A73" s="113"/>
      <c r="AA73" s="178"/>
      <c r="AB73" s="178"/>
      <c r="AC73" s="178"/>
    </row>
    <row r="74" spans="1:29" ht="13.2">
      <c r="A74" s="113"/>
      <c r="AA74" s="178"/>
      <c r="AB74" s="178"/>
      <c r="AC74" s="178"/>
    </row>
    <row r="75" spans="1:29" ht="13.2">
      <c r="A75" s="113"/>
      <c r="AA75" s="178"/>
      <c r="AB75" s="178"/>
      <c r="AC75" s="178"/>
    </row>
    <row r="76" spans="1:29" ht="13.2">
      <c r="A76" s="113"/>
      <c r="AA76" s="178"/>
      <c r="AB76" s="178"/>
      <c r="AC76" s="178"/>
    </row>
    <row r="77" spans="1:29" ht="13.2">
      <c r="A77" s="113"/>
      <c r="AA77" s="178"/>
      <c r="AB77" s="178"/>
      <c r="AC77" s="178"/>
    </row>
    <row r="78" spans="1:29" ht="13.2">
      <c r="A78" s="113"/>
      <c r="AA78" s="178"/>
      <c r="AB78" s="178"/>
      <c r="AC78" s="178"/>
    </row>
    <row r="79" spans="1:29" ht="13.2">
      <c r="A79" s="113"/>
      <c r="AA79" s="178"/>
      <c r="AB79" s="178"/>
      <c r="AC79" s="178"/>
    </row>
    <row r="80" spans="1:29" ht="13.2">
      <c r="A80" s="113"/>
      <c r="AA80" s="178"/>
      <c r="AB80" s="178"/>
      <c r="AC80" s="178"/>
    </row>
    <row r="81" spans="1:29" ht="13.2">
      <c r="A81" s="113"/>
      <c r="AA81" s="178"/>
      <c r="AB81" s="178"/>
      <c r="AC81" s="178"/>
    </row>
    <row r="82" spans="1:29" ht="13.2">
      <c r="A82" s="113"/>
      <c r="AA82" s="178"/>
      <c r="AB82" s="178"/>
      <c r="AC82" s="178"/>
    </row>
    <row r="83" spans="1:29" ht="13.2">
      <c r="A83" s="113"/>
      <c r="AA83" s="178"/>
      <c r="AB83" s="178"/>
      <c r="AC83" s="178"/>
    </row>
    <row r="84" spans="1:29" ht="13.2">
      <c r="A84" s="113"/>
      <c r="AA84" s="178"/>
      <c r="AB84" s="178"/>
      <c r="AC84" s="178"/>
    </row>
    <row r="85" spans="1:29" ht="13.2">
      <c r="A85" s="113"/>
      <c r="AA85" s="178"/>
      <c r="AB85" s="178"/>
      <c r="AC85" s="178"/>
    </row>
    <row r="86" spans="1:29" ht="13.2">
      <c r="A86" s="113"/>
      <c r="AA86" s="178"/>
      <c r="AB86" s="178"/>
      <c r="AC86" s="178"/>
    </row>
    <row r="87" spans="1:29" ht="13.2">
      <c r="A87" s="113"/>
      <c r="AA87" s="178"/>
      <c r="AB87" s="178"/>
      <c r="AC87" s="178"/>
    </row>
    <row r="88" spans="1:29" ht="13.2">
      <c r="A88" s="113"/>
      <c r="AA88" s="178"/>
      <c r="AB88" s="178"/>
      <c r="AC88" s="178"/>
    </row>
    <row r="89" spans="1:29" ht="13.2">
      <c r="A89" s="113"/>
      <c r="AA89" s="178"/>
      <c r="AB89" s="178"/>
      <c r="AC89" s="178"/>
    </row>
    <row r="90" spans="1:29" ht="13.2">
      <c r="A90" s="113"/>
      <c r="AA90" s="178"/>
      <c r="AB90" s="178"/>
      <c r="AC90" s="178"/>
    </row>
    <row r="91" spans="1:29" ht="13.2">
      <c r="A91" s="113"/>
      <c r="AA91" s="178"/>
      <c r="AB91" s="178"/>
      <c r="AC91" s="178"/>
    </row>
    <row r="92" spans="1:29" ht="13.2">
      <c r="A92" s="113"/>
      <c r="AA92" s="178"/>
      <c r="AB92" s="178"/>
      <c r="AC92" s="178"/>
    </row>
    <row r="93" spans="1:29" ht="13.2">
      <c r="A93" s="113"/>
      <c r="AA93" s="178"/>
      <c r="AB93" s="178"/>
      <c r="AC93" s="178"/>
    </row>
    <row r="94" spans="1:29" ht="13.2">
      <c r="A94" s="113"/>
      <c r="AA94" s="178"/>
      <c r="AB94" s="178"/>
      <c r="AC94" s="178"/>
    </row>
    <row r="95" spans="1:29" ht="13.2">
      <c r="A95" s="113"/>
      <c r="AA95" s="178"/>
      <c r="AB95" s="178"/>
      <c r="AC95" s="178"/>
    </row>
    <row r="96" spans="1:29" ht="13.2">
      <c r="A96" s="113"/>
      <c r="AA96" s="178"/>
      <c r="AB96" s="178"/>
      <c r="AC96" s="178"/>
    </row>
    <row r="97" spans="1:29" ht="13.2">
      <c r="A97" s="113"/>
      <c r="AA97" s="178"/>
      <c r="AB97" s="178"/>
      <c r="AC97" s="178"/>
    </row>
    <row r="98" spans="1:29" ht="13.2">
      <c r="A98" s="113"/>
      <c r="AA98" s="178"/>
      <c r="AB98" s="178"/>
      <c r="AC98" s="178"/>
    </row>
    <row r="99" spans="1:29" ht="13.2">
      <c r="A99" s="113"/>
      <c r="AA99" s="178"/>
      <c r="AB99" s="178"/>
      <c r="AC99" s="178"/>
    </row>
    <row r="100" spans="1:29" ht="13.2">
      <c r="A100" s="113"/>
      <c r="AA100" s="178"/>
      <c r="AB100" s="178"/>
      <c r="AC100" s="178"/>
    </row>
    <row r="101" spans="1:29" ht="13.2">
      <c r="A101" s="113"/>
      <c r="AA101" s="178"/>
      <c r="AB101" s="178"/>
      <c r="AC101" s="178"/>
    </row>
    <row r="102" spans="1:29" ht="13.2">
      <c r="A102" s="113"/>
      <c r="AA102" s="178"/>
      <c r="AB102" s="178"/>
      <c r="AC102" s="178"/>
    </row>
    <row r="103" spans="1:29" ht="13.2">
      <c r="A103" s="113"/>
      <c r="AA103" s="178"/>
      <c r="AB103" s="178"/>
      <c r="AC103" s="178"/>
    </row>
    <row r="104" spans="1:29" ht="13.2">
      <c r="A104" s="113"/>
      <c r="AA104" s="178"/>
      <c r="AB104" s="178"/>
      <c r="AC104" s="178"/>
    </row>
    <row r="105" spans="1:29" ht="13.2">
      <c r="A105" s="113"/>
      <c r="AA105" s="178"/>
      <c r="AB105" s="178"/>
      <c r="AC105" s="178"/>
    </row>
    <row r="106" spans="1:29" ht="13.2">
      <c r="A106" s="113"/>
      <c r="AA106" s="178"/>
      <c r="AB106" s="178"/>
      <c r="AC106" s="178"/>
    </row>
    <row r="107" spans="1:29" ht="13.2">
      <c r="A107" s="113"/>
      <c r="AA107" s="178"/>
      <c r="AB107" s="178"/>
      <c r="AC107" s="178"/>
    </row>
    <row r="108" spans="1:29" ht="13.2">
      <c r="A108" s="113"/>
      <c r="AA108" s="178"/>
      <c r="AB108" s="178"/>
      <c r="AC108" s="178"/>
    </row>
    <row r="109" spans="1:29" ht="13.2">
      <c r="A109" s="113"/>
      <c r="AA109" s="178"/>
      <c r="AB109" s="178"/>
      <c r="AC109" s="178"/>
    </row>
    <row r="110" spans="1:29" ht="13.2">
      <c r="A110" s="113"/>
      <c r="AA110" s="178"/>
      <c r="AB110" s="178"/>
      <c r="AC110" s="178"/>
    </row>
    <row r="111" spans="1:29" ht="13.2">
      <c r="A111" s="113"/>
      <c r="AA111" s="178"/>
      <c r="AB111" s="178"/>
      <c r="AC111" s="178"/>
    </row>
    <row r="112" spans="1:29" ht="13.2">
      <c r="A112" s="113"/>
      <c r="AA112" s="178"/>
      <c r="AB112" s="178"/>
      <c r="AC112" s="178"/>
    </row>
    <row r="113" spans="1:29" ht="13.2">
      <c r="A113" s="113"/>
      <c r="AA113" s="178"/>
      <c r="AB113" s="178"/>
      <c r="AC113" s="178"/>
    </row>
    <row r="114" spans="1:29" ht="13.2">
      <c r="A114" s="113"/>
      <c r="AA114" s="178"/>
      <c r="AB114" s="178"/>
      <c r="AC114" s="178"/>
    </row>
    <row r="115" spans="1:29" ht="13.2">
      <c r="A115" s="113"/>
      <c r="AA115" s="178"/>
      <c r="AB115" s="178"/>
      <c r="AC115" s="178"/>
    </row>
    <row r="116" spans="1:29" ht="13.2">
      <c r="A116" s="113"/>
      <c r="AA116" s="178"/>
      <c r="AB116" s="178"/>
      <c r="AC116" s="178"/>
    </row>
    <row r="117" spans="1:29" ht="13.2">
      <c r="A117" s="113"/>
      <c r="AA117" s="178"/>
      <c r="AB117" s="178"/>
      <c r="AC117" s="178"/>
    </row>
    <row r="118" spans="1:29" ht="13.2">
      <c r="A118" s="113"/>
      <c r="AA118" s="178"/>
      <c r="AB118" s="178"/>
      <c r="AC118" s="178"/>
    </row>
    <row r="119" spans="1:29" ht="13.2">
      <c r="A119" s="113"/>
      <c r="AA119" s="178"/>
      <c r="AB119" s="178"/>
      <c r="AC119" s="178"/>
    </row>
    <row r="120" spans="1:29" ht="13.2">
      <c r="A120" s="113"/>
      <c r="AA120" s="178"/>
      <c r="AB120" s="178"/>
      <c r="AC120" s="178"/>
    </row>
    <row r="121" spans="1:29" ht="13.2">
      <c r="A121" s="113"/>
      <c r="AA121" s="178"/>
      <c r="AB121" s="178"/>
      <c r="AC121" s="178"/>
    </row>
    <row r="122" spans="1:29" ht="13.2">
      <c r="A122" s="113"/>
      <c r="AA122" s="178"/>
      <c r="AB122" s="178"/>
      <c r="AC122" s="178"/>
    </row>
    <row r="123" spans="1:29" ht="13.2">
      <c r="A123" s="113"/>
      <c r="AA123" s="178"/>
      <c r="AB123" s="178"/>
      <c r="AC123" s="178"/>
    </row>
    <row r="124" spans="1:29" ht="13.2">
      <c r="A124" s="113"/>
      <c r="AA124" s="178"/>
      <c r="AB124" s="178"/>
      <c r="AC124" s="178"/>
    </row>
    <row r="125" spans="1:29" ht="13.2">
      <c r="A125" s="113"/>
      <c r="AA125" s="178"/>
      <c r="AB125" s="178"/>
      <c r="AC125" s="178"/>
    </row>
    <row r="126" spans="1:29" ht="13.2">
      <c r="A126" s="113"/>
      <c r="AA126" s="178"/>
      <c r="AB126" s="178"/>
      <c r="AC126" s="178"/>
    </row>
    <row r="127" spans="1:29" ht="13.2">
      <c r="A127" s="113"/>
      <c r="AA127" s="178"/>
      <c r="AB127" s="178"/>
      <c r="AC127" s="178"/>
    </row>
    <row r="128" spans="1:29" ht="13.2">
      <c r="A128" s="113"/>
      <c r="AA128" s="178"/>
      <c r="AB128" s="178"/>
      <c r="AC128" s="178"/>
    </row>
    <row r="129" spans="1:29" ht="13.2">
      <c r="A129" s="113"/>
      <c r="AA129" s="178"/>
      <c r="AB129" s="178"/>
      <c r="AC129" s="178"/>
    </row>
    <row r="130" spans="1:29" ht="13.2">
      <c r="A130" s="113"/>
      <c r="AA130" s="178"/>
      <c r="AB130" s="178"/>
      <c r="AC130" s="178"/>
    </row>
    <row r="131" spans="1:29" ht="13.2">
      <c r="A131" s="113"/>
      <c r="AA131" s="178"/>
      <c r="AB131" s="178"/>
      <c r="AC131" s="178"/>
    </row>
    <row r="132" spans="1:29" ht="13.2">
      <c r="A132" s="113"/>
      <c r="AA132" s="178"/>
      <c r="AB132" s="178"/>
      <c r="AC132" s="178"/>
    </row>
    <row r="133" spans="1:29" ht="13.2">
      <c r="A133" s="113"/>
      <c r="AA133" s="178"/>
      <c r="AB133" s="178"/>
      <c r="AC133" s="178"/>
    </row>
    <row r="134" spans="1:29" ht="13.2">
      <c r="A134" s="113"/>
      <c r="AA134" s="178"/>
      <c r="AB134" s="178"/>
      <c r="AC134" s="178"/>
    </row>
    <row r="135" spans="1:29" ht="13.2">
      <c r="A135" s="113"/>
      <c r="AA135" s="178"/>
      <c r="AB135" s="178"/>
      <c r="AC135" s="178"/>
    </row>
    <row r="136" spans="1:29" ht="13.2">
      <c r="A136" s="113"/>
      <c r="AA136" s="178"/>
      <c r="AB136" s="178"/>
      <c r="AC136" s="178"/>
    </row>
    <row r="137" spans="1:29" ht="13.2">
      <c r="A137" s="113"/>
      <c r="AA137" s="178"/>
      <c r="AB137" s="178"/>
      <c r="AC137" s="178"/>
    </row>
    <row r="138" spans="1:29" ht="13.2">
      <c r="A138" s="113"/>
      <c r="AA138" s="178"/>
      <c r="AB138" s="178"/>
      <c r="AC138" s="178"/>
    </row>
    <row r="139" spans="1:29" ht="13.2">
      <c r="A139" s="113"/>
      <c r="AA139" s="178"/>
      <c r="AB139" s="178"/>
      <c r="AC139" s="178"/>
    </row>
    <row r="140" spans="1:29" ht="13.2">
      <c r="A140" s="113"/>
      <c r="AA140" s="178"/>
      <c r="AB140" s="178"/>
      <c r="AC140" s="178"/>
    </row>
    <row r="141" spans="1:29" ht="13.2">
      <c r="A141" s="113"/>
      <c r="AA141" s="178"/>
      <c r="AB141" s="178"/>
      <c r="AC141" s="178"/>
    </row>
    <row r="142" spans="1:29" ht="13.2">
      <c r="A142" s="113"/>
      <c r="AA142" s="178"/>
      <c r="AB142" s="178"/>
      <c r="AC142" s="178"/>
    </row>
    <row r="143" spans="1:29" ht="13.2">
      <c r="A143" s="113"/>
      <c r="AA143" s="178"/>
      <c r="AB143" s="178"/>
      <c r="AC143" s="178"/>
    </row>
    <row r="144" spans="1:29" ht="13.2">
      <c r="A144" s="113"/>
      <c r="AA144" s="178"/>
      <c r="AB144" s="178"/>
      <c r="AC144" s="178"/>
    </row>
    <row r="145" spans="1:29" ht="13.2">
      <c r="A145" s="113"/>
      <c r="AA145" s="178"/>
      <c r="AB145" s="178"/>
      <c r="AC145" s="178"/>
    </row>
    <row r="146" spans="1:29" ht="13.2">
      <c r="A146" s="113"/>
      <c r="AA146" s="178"/>
      <c r="AB146" s="178"/>
      <c r="AC146" s="178"/>
    </row>
    <row r="147" spans="1:29" ht="13.2">
      <c r="A147" s="113"/>
      <c r="AA147" s="178"/>
      <c r="AB147" s="178"/>
      <c r="AC147" s="178"/>
    </row>
    <row r="148" spans="1:29" ht="13.2">
      <c r="A148" s="113"/>
      <c r="AA148" s="178"/>
      <c r="AB148" s="178"/>
      <c r="AC148" s="178"/>
    </row>
    <row r="149" spans="1:29" ht="13.2">
      <c r="A149" s="113"/>
      <c r="AA149" s="178"/>
      <c r="AB149" s="178"/>
      <c r="AC149" s="178"/>
    </row>
    <row r="150" spans="1:29" ht="13.2">
      <c r="A150" s="113"/>
      <c r="AA150" s="178"/>
      <c r="AB150" s="178"/>
      <c r="AC150" s="178"/>
    </row>
    <row r="151" spans="1:29" ht="13.2">
      <c r="A151" s="113"/>
      <c r="AA151" s="178"/>
      <c r="AB151" s="178"/>
      <c r="AC151" s="178"/>
    </row>
    <row r="152" spans="1:29" ht="13.2">
      <c r="A152" s="113"/>
      <c r="AA152" s="178"/>
      <c r="AB152" s="178"/>
      <c r="AC152" s="178"/>
    </row>
    <row r="153" spans="1:29" ht="13.2">
      <c r="A153" s="113"/>
      <c r="AA153" s="178"/>
      <c r="AB153" s="178"/>
      <c r="AC153" s="178"/>
    </row>
    <row r="154" spans="1:29" ht="13.2">
      <c r="A154" s="113"/>
      <c r="AA154" s="178"/>
      <c r="AB154" s="178"/>
      <c r="AC154" s="178"/>
    </row>
    <row r="155" spans="1:29" ht="13.2">
      <c r="A155" s="113"/>
      <c r="AA155" s="178"/>
      <c r="AB155" s="178"/>
      <c r="AC155" s="178"/>
    </row>
    <row r="156" spans="1:29" ht="13.2">
      <c r="A156" s="113"/>
      <c r="AA156" s="178"/>
      <c r="AB156" s="178"/>
      <c r="AC156" s="178"/>
    </row>
    <row r="157" spans="1:29" ht="13.2">
      <c r="A157" s="113"/>
      <c r="AA157" s="178"/>
      <c r="AB157" s="178"/>
      <c r="AC157" s="178"/>
    </row>
    <row r="158" spans="1:29" ht="13.2">
      <c r="A158" s="113"/>
      <c r="AA158" s="178"/>
      <c r="AB158" s="178"/>
      <c r="AC158" s="178"/>
    </row>
    <row r="159" spans="1:29" ht="13.2">
      <c r="A159" s="113"/>
      <c r="AA159" s="178"/>
      <c r="AB159" s="178"/>
      <c r="AC159" s="178"/>
    </row>
    <row r="160" spans="1:29" ht="13.2">
      <c r="A160" s="113"/>
      <c r="AA160" s="178"/>
      <c r="AB160" s="178"/>
      <c r="AC160" s="178"/>
    </row>
    <row r="161" spans="1:29" ht="13.2">
      <c r="A161" s="113"/>
      <c r="AA161" s="178"/>
      <c r="AB161" s="178"/>
      <c r="AC161" s="178"/>
    </row>
    <row r="162" spans="1:29" ht="13.2">
      <c r="A162" s="113"/>
      <c r="AA162" s="178"/>
      <c r="AB162" s="178"/>
      <c r="AC162" s="178"/>
    </row>
    <row r="163" spans="1:29" ht="13.2">
      <c r="A163" s="113"/>
      <c r="AA163" s="178"/>
      <c r="AB163" s="178"/>
      <c r="AC163" s="178"/>
    </row>
    <row r="164" spans="1:29" ht="13.2">
      <c r="A164" s="113"/>
      <c r="AA164" s="178"/>
      <c r="AB164" s="178"/>
      <c r="AC164" s="178"/>
    </row>
    <row r="165" spans="1:29" ht="13.2">
      <c r="A165" s="113"/>
      <c r="AA165" s="178"/>
      <c r="AB165" s="178"/>
      <c r="AC165" s="178"/>
    </row>
    <row r="166" spans="1:29" ht="13.2">
      <c r="A166" s="113"/>
      <c r="AA166" s="178"/>
      <c r="AB166" s="178"/>
      <c r="AC166" s="178"/>
    </row>
    <row r="167" spans="1:29" ht="13.2">
      <c r="A167" s="113"/>
      <c r="AA167" s="178"/>
      <c r="AB167" s="178"/>
      <c r="AC167" s="178"/>
    </row>
    <row r="168" spans="1:29" ht="13.2">
      <c r="A168" s="113"/>
      <c r="AA168" s="178"/>
      <c r="AB168" s="178"/>
      <c r="AC168" s="178"/>
    </row>
    <row r="169" spans="1:29" ht="13.2">
      <c r="A169" s="113"/>
      <c r="AA169" s="178"/>
      <c r="AB169" s="178"/>
      <c r="AC169" s="178"/>
    </row>
    <row r="170" spans="1:29" ht="13.2">
      <c r="A170" s="113"/>
      <c r="AA170" s="178"/>
      <c r="AB170" s="178"/>
      <c r="AC170" s="178"/>
    </row>
    <row r="171" spans="1:29" ht="13.2">
      <c r="A171" s="113"/>
      <c r="AA171" s="178"/>
      <c r="AB171" s="178"/>
      <c r="AC171" s="178"/>
    </row>
    <row r="172" spans="1:29" ht="13.2">
      <c r="A172" s="113"/>
      <c r="AA172" s="178"/>
      <c r="AB172" s="178"/>
      <c r="AC172" s="178"/>
    </row>
    <row r="173" spans="1:29" ht="13.2">
      <c r="A173" s="113"/>
      <c r="AA173" s="178"/>
      <c r="AB173" s="178"/>
      <c r="AC173" s="178"/>
    </row>
    <row r="174" spans="1:29" ht="13.2">
      <c r="A174" s="113"/>
      <c r="AA174" s="178"/>
      <c r="AB174" s="178"/>
      <c r="AC174" s="178"/>
    </row>
    <row r="175" spans="1:29" ht="13.2">
      <c r="A175" s="113"/>
      <c r="AA175" s="178"/>
      <c r="AB175" s="178"/>
      <c r="AC175" s="178"/>
    </row>
    <row r="176" spans="1:29" ht="13.2">
      <c r="A176" s="113"/>
      <c r="AA176" s="178"/>
      <c r="AB176" s="178"/>
      <c r="AC176" s="178"/>
    </row>
    <row r="177" spans="1:29" ht="13.2">
      <c r="A177" s="113"/>
      <c r="AA177" s="178"/>
      <c r="AB177" s="178"/>
      <c r="AC177" s="178"/>
    </row>
    <row r="178" spans="1:29" ht="13.2">
      <c r="A178" s="113"/>
      <c r="AA178" s="178"/>
      <c r="AB178" s="178"/>
      <c r="AC178" s="178"/>
    </row>
    <row r="179" spans="1:29" ht="13.2">
      <c r="A179" s="113"/>
      <c r="AA179" s="178"/>
      <c r="AB179" s="178"/>
      <c r="AC179" s="178"/>
    </row>
    <row r="180" spans="1:29" ht="13.2">
      <c r="A180" s="113"/>
      <c r="AA180" s="178"/>
      <c r="AB180" s="178"/>
      <c r="AC180" s="178"/>
    </row>
    <row r="181" spans="1:29" ht="13.2">
      <c r="A181" s="113"/>
      <c r="AA181" s="178"/>
      <c r="AB181" s="178"/>
      <c r="AC181" s="178"/>
    </row>
    <row r="182" spans="1:29" ht="13.2">
      <c r="A182" s="113"/>
      <c r="AA182" s="178"/>
      <c r="AB182" s="178"/>
      <c r="AC182" s="178"/>
    </row>
    <row r="183" spans="1:29" ht="13.2">
      <c r="A183" s="113"/>
      <c r="AA183" s="178"/>
      <c r="AB183" s="178"/>
      <c r="AC183" s="178"/>
    </row>
    <row r="184" spans="1:29" ht="13.2">
      <c r="A184" s="113"/>
      <c r="AA184" s="178"/>
      <c r="AB184" s="178"/>
      <c r="AC184" s="178"/>
    </row>
    <row r="185" spans="1:29" ht="13.2">
      <c r="A185" s="113"/>
      <c r="AA185" s="178"/>
      <c r="AB185" s="178"/>
      <c r="AC185" s="178"/>
    </row>
    <row r="186" spans="1:29" ht="13.2">
      <c r="A186" s="113"/>
      <c r="AA186" s="178"/>
      <c r="AB186" s="178"/>
      <c r="AC186" s="178"/>
    </row>
    <row r="187" spans="1:29" ht="13.2">
      <c r="A187" s="113"/>
      <c r="AA187" s="178"/>
      <c r="AB187" s="178"/>
      <c r="AC187" s="178"/>
    </row>
    <row r="188" spans="1:29" ht="13.2">
      <c r="A188" s="113"/>
      <c r="AA188" s="178"/>
      <c r="AB188" s="178"/>
      <c r="AC188" s="178"/>
    </row>
    <row r="189" spans="1:29" ht="13.2">
      <c r="A189" s="113"/>
      <c r="AA189" s="178"/>
      <c r="AB189" s="178"/>
      <c r="AC189" s="178"/>
    </row>
    <row r="190" spans="1:29" ht="13.2">
      <c r="A190" s="113"/>
      <c r="AA190" s="178"/>
      <c r="AB190" s="178"/>
      <c r="AC190" s="178"/>
    </row>
    <row r="191" spans="1:29" ht="13.2">
      <c r="A191" s="113"/>
      <c r="AA191" s="178"/>
      <c r="AB191" s="178"/>
      <c r="AC191" s="178"/>
    </row>
    <row r="192" spans="1:29" ht="13.2">
      <c r="A192" s="113"/>
      <c r="AA192" s="178"/>
      <c r="AB192" s="178"/>
      <c r="AC192" s="178"/>
    </row>
    <row r="193" spans="1:29" ht="13.2">
      <c r="A193" s="113"/>
      <c r="AA193" s="178"/>
      <c r="AB193" s="178"/>
      <c r="AC193" s="178"/>
    </row>
    <row r="194" spans="1:29" ht="13.2">
      <c r="A194" s="113"/>
      <c r="AA194" s="178"/>
      <c r="AB194" s="178"/>
      <c r="AC194" s="178"/>
    </row>
    <row r="195" spans="1:29" ht="13.2">
      <c r="A195" s="113"/>
      <c r="AA195" s="178"/>
      <c r="AB195" s="178"/>
      <c r="AC195" s="178"/>
    </row>
    <row r="196" spans="1:29" ht="13.2">
      <c r="A196" s="113"/>
      <c r="AA196" s="178"/>
      <c r="AB196" s="178"/>
      <c r="AC196" s="178"/>
    </row>
    <row r="197" spans="1:29" ht="13.2">
      <c r="A197" s="113"/>
      <c r="AA197" s="178"/>
      <c r="AB197" s="178"/>
      <c r="AC197" s="178"/>
    </row>
    <row r="198" spans="1:29" ht="13.2">
      <c r="A198" s="113"/>
      <c r="AA198" s="178"/>
      <c r="AB198" s="178"/>
      <c r="AC198" s="178"/>
    </row>
    <row r="199" spans="1:29" ht="13.2">
      <c r="A199" s="113"/>
      <c r="AA199" s="178"/>
      <c r="AB199" s="178"/>
      <c r="AC199" s="178"/>
    </row>
    <row r="200" spans="1:29" ht="13.2">
      <c r="A200" s="113"/>
      <c r="AA200" s="178"/>
      <c r="AB200" s="178"/>
      <c r="AC200" s="178"/>
    </row>
    <row r="201" spans="1:29" ht="13.2">
      <c r="A201" s="113"/>
      <c r="AA201" s="178"/>
      <c r="AB201" s="178"/>
      <c r="AC201" s="178"/>
    </row>
    <row r="202" spans="1:29" ht="13.2">
      <c r="A202" s="113"/>
      <c r="AA202" s="178"/>
      <c r="AB202" s="178"/>
      <c r="AC202" s="178"/>
    </row>
    <row r="203" spans="1:29" ht="13.2">
      <c r="A203" s="113"/>
      <c r="AA203" s="178"/>
      <c r="AB203" s="178"/>
      <c r="AC203" s="178"/>
    </row>
    <row r="204" spans="1:29" ht="13.2">
      <c r="A204" s="113"/>
      <c r="AA204" s="178"/>
      <c r="AB204" s="178"/>
      <c r="AC204" s="178"/>
    </row>
    <row r="205" spans="1:29" ht="13.2">
      <c r="A205" s="113"/>
      <c r="AA205" s="178"/>
      <c r="AB205" s="178"/>
      <c r="AC205" s="178"/>
    </row>
    <row r="206" spans="1:29" ht="13.2">
      <c r="A206" s="113"/>
      <c r="AA206" s="178"/>
      <c r="AB206" s="178"/>
      <c r="AC206" s="178"/>
    </row>
    <row r="207" spans="1:29" ht="13.2">
      <c r="A207" s="113"/>
      <c r="AA207" s="178"/>
      <c r="AB207" s="178"/>
      <c r="AC207" s="178"/>
    </row>
    <row r="208" spans="1:29" ht="13.2">
      <c r="A208" s="113"/>
      <c r="AA208" s="178"/>
      <c r="AB208" s="178"/>
      <c r="AC208" s="178"/>
    </row>
    <row r="209" spans="1:29" ht="13.2">
      <c r="A209" s="113"/>
      <c r="AA209" s="178"/>
      <c r="AB209" s="178"/>
      <c r="AC209" s="178"/>
    </row>
    <row r="210" spans="1:29" ht="13.2">
      <c r="A210" s="113"/>
      <c r="AA210" s="178"/>
      <c r="AB210" s="178"/>
      <c r="AC210" s="178"/>
    </row>
    <row r="211" spans="1:29" ht="13.2">
      <c r="A211" s="113"/>
      <c r="AA211" s="178"/>
      <c r="AB211" s="178"/>
      <c r="AC211" s="178"/>
    </row>
    <row r="212" spans="1:29" ht="13.2">
      <c r="A212" s="113"/>
      <c r="AA212" s="178"/>
      <c r="AB212" s="178"/>
      <c r="AC212" s="178"/>
    </row>
    <row r="213" spans="1:29" ht="13.2">
      <c r="A213" s="113"/>
      <c r="AA213" s="178"/>
      <c r="AB213" s="178"/>
      <c r="AC213" s="178"/>
    </row>
    <row r="214" spans="1:29" ht="13.2">
      <c r="A214" s="113"/>
      <c r="AA214" s="178"/>
      <c r="AB214" s="178"/>
      <c r="AC214" s="178"/>
    </row>
    <row r="215" spans="1:29" ht="13.2">
      <c r="A215" s="113"/>
      <c r="AA215" s="178"/>
      <c r="AB215" s="178"/>
      <c r="AC215" s="178"/>
    </row>
    <row r="216" spans="1:29" ht="13.2">
      <c r="A216" s="113"/>
      <c r="AA216" s="178"/>
      <c r="AB216" s="178"/>
      <c r="AC216" s="178"/>
    </row>
    <row r="217" spans="1:29" ht="13.2">
      <c r="A217" s="113"/>
      <c r="AA217" s="178"/>
      <c r="AB217" s="178"/>
      <c r="AC217" s="178"/>
    </row>
    <row r="218" spans="1:29" ht="13.2">
      <c r="A218" s="113"/>
      <c r="AA218" s="178"/>
      <c r="AB218" s="178"/>
      <c r="AC218" s="178"/>
    </row>
    <row r="219" spans="1:29" ht="13.2">
      <c r="A219" s="113"/>
      <c r="AA219" s="178"/>
      <c r="AB219" s="178"/>
      <c r="AC219" s="178"/>
    </row>
    <row r="220" spans="1:29" ht="13.2">
      <c r="A220" s="113"/>
      <c r="AA220" s="178"/>
      <c r="AB220" s="178"/>
      <c r="AC220" s="178"/>
    </row>
    <row r="221" spans="1:29" ht="13.2">
      <c r="A221" s="113"/>
      <c r="AA221" s="178"/>
      <c r="AB221" s="178"/>
      <c r="AC221" s="178"/>
    </row>
    <row r="222" spans="1:29" ht="13.2">
      <c r="A222" s="113"/>
      <c r="AA222" s="178"/>
      <c r="AB222" s="178"/>
      <c r="AC222" s="178"/>
    </row>
    <row r="223" spans="1:29" ht="13.2">
      <c r="A223" s="113"/>
      <c r="AA223" s="178"/>
      <c r="AB223" s="178"/>
      <c r="AC223" s="178"/>
    </row>
    <row r="224" spans="1:29" ht="13.2">
      <c r="A224" s="113"/>
      <c r="AA224" s="178"/>
      <c r="AB224" s="178"/>
      <c r="AC224" s="178"/>
    </row>
    <row r="225" spans="1:29" ht="13.2">
      <c r="A225" s="113"/>
      <c r="AA225" s="178"/>
      <c r="AB225" s="178"/>
      <c r="AC225" s="178"/>
    </row>
    <row r="226" spans="1:29" ht="13.2">
      <c r="A226" s="113"/>
      <c r="AA226" s="178"/>
      <c r="AB226" s="178"/>
      <c r="AC226" s="178"/>
    </row>
    <row r="227" spans="1:29" ht="13.2">
      <c r="A227" s="113"/>
      <c r="AA227" s="178"/>
      <c r="AB227" s="178"/>
      <c r="AC227" s="178"/>
    </row>
    <row r="228" spans="1:29" ht="13.2">
      <c r="A228" s="113"/>
      <c r="AA228" s="178"/>
      <c r="AB228" s="178"/>
      <c r="AC228" s="178"/>
    </row>
    <row r="229" spans="1:29" ht="13.2">
      <c r="A229" s="113"/>
      <c r="AA229" s="178"/>
      <c r="AB229" s="178"/>
      <c r="AC229" s="178"/>
    </row>
    <row r="230" spans="1:29" ht="13.2">
      <c r="A230" s="113"/>
      <c r="AA230" s="178"/>
      <c r="AB230" s="178"/>
      <c r="AC230" s="178"/>
    </row>
    <row r="231" spans="1:29" ht="13.2">
      <c r="A231" s="113"/>
      <c r="AA231" s="178"/>
      <c r="AB231" s="178"/>
      <c r="AC231" s="178"/>
    </row>
    <row r="232" spans="1:29" ht="13.2">
      <c r="A232" s="113"/>
      <c r="AA232" s="178"/>
      <c r="AB232" s="178"/>
      <c r="AC232" s="178"/>
    </row>
    <row r="233" spans="1:29" ht="13.2">
      <c r="A233" s="113"/>
      <c r="AA233" s="178"/>
      <c r="AB233" s="178"/>
      <c r="AC233" s="178"/>
    </row>
    <row r="234" spans="1:29" ht="13.2">
      <c r="A234" s="113"/>
      <c r="AA234" s="178"/>
      <c r="AB234" s="178"/>
      <c r="AC234" s="178"/>
    </row>
    <row r="235" spans="1:29" ht="13.2">
      <c r="A235" s="113"/>
      <c r="AA235" s="178"/>
      <c r="AB235" s="178"/>
      <c r="AC235" s="178"/>
    </row>
    <row r="236" spans="1:29" ht="13.2">
      <c r="A236" s="113"/>
      <c r="AA236" s="178"/>
      <c r="AB236" s="178"/>
      <c r="AC236" s="178"/>
    </row>
    <row r="237" spans="1:29" ht="13.2">
      <c r="A237" s="113"/>
      <c r="AA237" s="178"/>
      <c r="AB237" s="178"/>
      <c r="AC237" s="178"/>
    </row>
    <row r="238" spans="1:29" ht="13.2">
      <c r="A238" s="113"/>
      <c r="AA238" s="178"/>
      <c r="AB238" s="178"/>
      <c r="AC238" s="178"/>
    </row>
    <row r="239" spans="1:29" ht="13.2">
      <c r="A239" s="113"/>
      <c r="AA239" s="178"/>
      <c r="AB239" s="178"/>
      <c r="AC239" s="178"/>
    </row>
    <row r="240" spans="1:29" ht="13.2">
      <c r="A240" s="113"/>
      <c r="AA240" s="178"/>
      <c r="AB240" s="178"/>
      <c r="AC240" s="178"/>
    </row>
    <row r="241" spans="1:29" ht="13.2">
      <c r="A241" s="113"/>
      <c r="AA241" s="178"/>
      <c r="AB241" s="178"/>
      <c r="AC241" s="178"/>
    </row>
    <row r="242" spans="1:29" ht="13.2">
      <c r="A242" s="113"/>
      <c r="AA242" s="178"/>
      <c r="AB242" s="178"/>
      <c r="AC242" s="178"/>
    </row>
    <row r="243" spans="1:29" ht="13.2">
      <c r="A243" s="113"/>
      <c r="AA243" s="178"/>
      <c r="AB243" s="178"/>
      <c r="AC243" s="178"/>
    </row>
    <row r="244" spans="1:29" ht="13.2">
      <c r="A244" s="113"/>
      <c r="AA244" s="178"/>
      <c r="AB244" s="178"/>
      <c r="AC244" s="178"/>
    </row>
    <row r="245" spans="1:29" ht="13.2">
      <c r="A245" s="113"/>
      <c r="AA245" s="178"/>
      <c r="AB245" s="178"/>
      <c r="AC245" s="178"/>
    </row>
    <row r="246" spans="1:29" ht="13.2">
      <c r="A246" s="113"/>
      <c r="AA246" s="178"/>
      <c r="AB246" s="178"/>
      <c r="AC246" s="178"/>
    </row>
    <row r="247" spans="1:29" ht="13.2">
      <c r="A247" s="113"/>
      <c r="AA247" s="178"/>
      <c r="AB247" s="178"/>
      <c r="AC247" s="178"/>
    </row>
    <row r="248" spans="1:29" ht="13.2">
      <c r="A248" s="113"/>
      <c r="AA248" s="178"/>
      <c r="AB248" s="178"/>
      <c r="AC248" s="178"/>
    </row>
    <row r="249" spans="1:29" ht="13.2">
      <c r="A249" s="113"/>
      <c r="AA249" s="178"/>
      <c r="AB249" s="178"/>
      <c r="AC249" s="178"/>
    </row>
    <row r="250" spans="1:29" ht="13.2">
      <c r="A250" s="113"/>
      <c r="AA250" s="178"/>
      <c r="AB250" s="178"/>
      <c r="AC250" s="178"/>
    </row>
    <row r="251" spans="1:29" ht="13.2">
      <c r="A251" s="113"/>
      <c r="AA251" s="178"/>
      <c r="AB251" s="178"/>
      <c r="AC251" s="178"/>
    </row>
    <row r="252" spans="1:29" ht="13.2">
      <c r="A252" s="113"/>
      <c r="AA252" s="178"/>
      <c r="AB252" s="178"/>
      <c r="AC252" s="178"/>
    </row>
    <row r="253" spans="1:29" ht="13.2">
      <c r="A253" s="113"/>
      <c r="AA253" s="178"/>
      <c r="AB253" s="178"/>
      <c r="AC253" s="178"/>
    </row>
    <row r="254" spans="1:29" ht="13.2">
      <c r="A254" s="113"/>
      <c r="AA254" s="178"/>
      <c r="AB254" s="178"/>
      <c r="AC254" s="178"/>
    </row>
    <row r="255" spans="1:29" ht="13.2">
      <c r="A255" s="113"/>
      <c r="AA255" s="178"/>
      <c r="AB255" s="178"/>
      <c r="AC255" s="178"/>
    </row>
    <row r="256" spans="1:29" ht="13.2">
      <c r="A256" s="113"/>
      <c r="AA256" s="178"/>
      <c r="AB256" s="178"/>
      <c r="AC256" s="178"/>
    </row>
    <row r="257" spans="1:29" ht="13.2">
      <c r="A257" s="113"/>
      <c r="AA257" s="178"/>
      <c r="AB257" s="178"/>
      <c r="AC257" s="178"/>
    </row>
    <row r="258" spans="1:29" ht="13.2">
      <c r="A258" s="113"/>
      <c r="AA258" s="178"/>
      <c r="AB258" s="178"/>
      <c r="AC258" s="178"/>
    </row>
    <row r="259" spans="1:29" ht="13.2">
      <c r="A259" s="113"/>
      <c r="AA259" s="178"/>
      <c r="AB259" s="178"/>
      <c r="AC259" s="178"/>
    </row>
    <row r="260" spans="1:29" ht="13.2">
      <c r="A260" s="113"/>
      <c r="AA260" s="178"/>
      <c r="AB260" s="178"/>
      <c r="AC260" s="178"/>
    </row>
    <row r="261" spans="1:29" ht="13.2">
      <c r="A261" s="113"/>
      <c r="AA261" s="178"/>
      <c r="AB261" s="178"/>
      <c r="AC261" s="178"/>
    </row>
    <row r="262" spans="1:29" ht="13.2">
      <c r="A262" s="113"/>
      <c r="AA262" s="178"/>
      <c r="AB262" s="178"/>
      <c r="AC262" s="178"/>
    </row>
    <row r="263" spans="1:29" ht="13.2">
      <c r="A263" s="113"/>
      <c r="AA263" s="178"/>
      <c r="AB263" s="178"/>
      <c r="AC263" s="178"/>
    </row>
    <row r="264" spans="1:29" ht="13.2">
      <c r="A264" s="113"/>
      <c r="AA264" s="178"/>
      <c r="AB264" s="178"/>
      <c r="AC264" s="178"/>
    </row>
    <row r="265" spans="1:29" ht="13.2">
      <c r="A265" s="113"/>
      <c r="AA265" s="178"/>
      <c r="AB265" s="178"/>
      <c r="AC265" s="178"/>
    </row>
    <row r="266" spans="1:29" ht="13.2">
      <c r="A266" s="113"/>
      <c r="AA266" s="178"/>
      <c r="AB266" s="178"/>
      <c r="AC266" s="178"/>
    </row>
    <row r="267" spans="1:29" ht="13.2">
      <c r="A267" s="113"/>
      <c r="AA267" s="178"/>
      <c r="AB267" s="178"/>
      <c r="AC267" s="178"/>
    </row>
    <row r="268" spans="1:29" ht="13.2">
      <c r="A268" s="113"/>
      <c r="AA268" s="178"/>
      <c r="AB268" s="178"/>
      <c r="AC268" s="178"/>
    </row>
    <row r="269" spans="1:29" ht="13.2">
      <c r="A269" s="113"/>
      <c r="AA269" s="178"/>
      <c r="AB269" s="178"/>
      <c r="AC269" s="178"/>
    </row>
    <row r="270" spans="1:29" ht="13.2">
      <c r="A270" s="113"/>
      <c r="AA270" s="178"/>
      <c r="AB270" s="178"/>
      <c r="AC270" s="178"/>
    </row>
    <row r="271" spans="1:29" ht="13.2">
      <c r="A271" s="113"/>
      <c r="AA271" s="178"/>
      <c r="AB271" s="178"/>
      <c r="AC271" s="178"/>
    </row>
    <row r="272" spans="1:29" ht="13.2">
      <c r="A272" s="113"/>
      <c r="AA272" s="178"/>
      <c r="AB272" s="178"/>
      <c r="AC272" s="178"/>
    </row>
    <row r="273" spans="1:29" ht="13.2">
      <c r="A273" s="113"/>
      <c r="AA273" s="178"/>
      <c r="AB273" s="178"/>
      <c r="AC273" s="178"/>
    </row>
    <row r="274" spans="1:29" ht="13.2">
      <c r="A274" s="113"/>
      <c r="AA274" s="178"/>
      <c r="AB274" s="178"/>
      <c r="AC274" s="178"/>
    </row>
    <row r="275" spans="1:29" ht="13.2">
      <c r="A275" s="113"/>
      <c r="AA275" s="178"/>
      <c r="AB275" s="178"/>
      <c r="AC275" s="178"/>
    </row>
    <row r="276" spans="1:29" ht="13.2">
      <c r="A276" s="113"/>
      <c r="AA276" s="178"/>
      <c r="AB276" s="178"/>
      <c r="AC276" s="178"/>
    </row>
    <row r="277" spans="1:29" ht="13.2">
      <c r="A277" s="113"/>
      <c r="AA277" s="178"/>
      <c r="AB277" s="178"/>
      <c r="AC277" s="178"/>
    </row>
    <row r="278" spans="1:29" ht="13.2">
      <c r="A278" s="113"/>
      <c r="AA278" s="178"/>
      <c r="AB278" s="178"/>
      <c r="AC278" s="178"/>
    </row>
    <row r="279" spans="1:29" ht="13.2">
      <c r="A279" s="113"/>
      <c r="AA279" s="178"/>
      <c r="AB279" s="178"/>
      <c r="AC279" s="178"/>
    </row>
    <row r="280" spans="1:29" ht="13.2">
      <c r="A280" s="113"/>
      <c r="AA280" s="178"/>
      <c r="AB280" s="178"/>
      <c r="AC280" s="178"/>
    </row>
    <row r="281" spans="1:29" ht="13.2">
      <c r="A281" s="113"/>
      <c r="AA281" s="178"/>
      <c r="AB281" s="178"/>
      <c r="AC281" s="178"/>
    </row>
    <row r="282" spans="1:29" ht="13.2">
      <c r="A282" s="113"/>
      <c r="AA282" s="178"/>
      <c r="AB282" s="178"/>
      <c r="AC282" s="178"/>
    </row>
    <row r="283" spans="1:29" ht="13.2">
      <c r="A283" s="113"/>
      <c r="AA283" s="178"/>
      <c r="AB283" s="178"/>
      <c r="AC283" s="178"/>
    </row>
    <row r="284" spans="1:29" ht="13.2">
      <c r="A284" s="113"/>
      <c r="AA284" s="178"/>
      <c r="AB284" s="178"/>
      <c r="AC284" s="178"/>
    </row>
    <row r="285" spans="1:29" ht="13.2">
      <c r="A285" s="113"/>
      <c r="AA285" s="178"/>
      <c r="AB285" s="178"/>
      <c r="AC285" s="178"/>
    </row>
    <row r="286" spans="1:29" ht="13.2">
      <c r="A286" s="113"/>
      <c r="AA286" s="178"/>
      <c r="AB286" s="178"/>
      <c r="AC286" s="178"/>
    </row>
    <row r="287" spans="1:29" ht="13.2">
      <c r="A287" s="113"/>
      <c r="AA287" s="178"/>
      <c r="AB287" s="178"/>
      <c r="AC287" s="178"/>
    </row>
    <row r="288" spans="1:29" ht="13.2">
      <c r="A288" s="113"/>
      <c r="AA288" s="178"/>
      <c r="AB288" s="178"/>
      <c r="AC288" s="178"/>
    </row>
    <row r="289" spans="1:29" ht="13.2">
      <c r="A289" s="113"/>
      <c r="AA289" s="178"/>
      <c r="AB289" s="178"/>
      <c r="AC289" s="178"/>
    </row>
    <row r="290" spans="1:29" ht="13.2">
      <c r="A290" s="113"/>
      <c r="AA290" s="178"/>
      <c r="AB290" s="178"/>
      <c r="AC290" s="178"/>
    </row>
    <row r="291" spans="1:29" ht="13.2">
      <c r="A291" s="113"/>
      <c r="AA291" s="178"/>
      <c r="AB291" s="178"/>
      <c r="AC291" s="178"/>
    </row>
    <row r="292" spans="1:29" ht="13.2">
      <c r="A292" s="113"/>
      <c r="AA292" s="178"/>
      <c r="AB292" s="178"/>
      <c r="AC292" s="178"/>
    </row>
    <row r="293" spans="1:29" ht="13.2">
      <c r="A293" s="113"/>
      <c r="AA293" s="178"/>
      <c r="AB293" s="178"/>
      <c r="AC293" s="178"/>
    </row>
    <row r="294" spans="1:29" ht="13.2">
      <c r="A294" s="113"/>
      <c r="AA294" s="178"/>
      <c r="AB294" s="178"/>
      <c r="AC294" s="178"/>
    </row>
    <row r="295" spans="1:29" ht="13.2">
      <c r="A295" s="113"/>
      <c r="AA295" s="178"/>
      <c r="AB295" s="178"/>
      <c r="AC295" s="178"/>
    </row>
    <row r="296" spans="1:29" ht="13.2">
      <c r="A296" s="113"/>
      <c r="AA296" s="178"/>
      <c r="AB296" s="178"/>
      <c r="AC296" s="178"/>
    </row>
    <row r="297" spans="1:29" ht="13.2">
      <c r="A297" s="113"/>
      <c r="AA297" s="178"/>
      <c r="AB297" s="178"/>
      <c r="AC297" s="178"/>
    </row>
    <row r="298" spans="1:29" ht="13.2">
      <c r="A298" s="113"/>
      <c r="AA298" s="178"/>
      <c r="AB298" s="178"/>
      <c r="AC298" s="178"/>
    </row>
    <row r="299" spans="1:29" ht="13.2">
      <c r="A299" s="113"/>
      <c r="AA299" s="178"/>
      <c r="AB299" s="178"/>
      <c r="AC299" s="178"/>
    </row>
    <row r="300" spans="1:29" ht="13.2">
      <c r="A300" s="113"/>
      <c r="AA300" s="178"/>
      <c r="AB300" s="178"/>
      <c r="AC300" s="178"/>
    </row>
    <row r="301" spans="1:29" ht="13.2">
      <c r="A301" s="113"/>
      <c r="AA301" s="178"/>
      <c r="AB301" s="178"/>
      <c r="AC301" s="178"/>
    </row>
    <row r="302" spans="1:29" ht="13.2">
      <c r="A302" s="113"/>
      <c r="AA302" s="178"/>
      <c r="AB302" s="178"/>
      <c r="AC302" s="178"/>
    </row>
    <row r="303" spans="1:29" ht="13.2">
      <c r="A303" s="113"/>
      <c r="AA303" s="178"/>
      <c r="AB303" s="178"/>
      <c r="AC303" s="178"/>
    </row>
    <row r="304" spans="1:29" ht="13.2">
      <c r="A304" s="113"/>
      <c r="AA304" s="178"/>
      <c r="AB304" s="178"/>
      <c r="AC304" s="178"/>
    </row>
    <row r="305" spans="1:29" ht="13.2">
      <c r="A305" s="113"/>
      <c r="AA305" s="178"/>
      <c r="AB305" s="178"/>
      <c r="AC305" s="178"/>
    </row>
    <row r="306" spans="1:29" ht="13.2">
      <c r="A306" s="113"/>
      <c r="AA306" s="178"/>
      <c r="AB306" s="178"/>
      <c r="AC306" s="178"/>
    </row>
    <row r="307" spans="1:29" ht="13.2">
      <c r="A307" s="113"/>
      <c r="AA307" s="178"/>
      <c r="AB307" s="178"/>
      <c r="AC307" s="178"/>
    </row>
    <row r="308" spans="1:29" ht="13.2">
      <c r="A308" s="113"/>
      <c r="AA308" s="178"/>
      <c r="AB308" s="178"/>
      <c r="AC308" s="178"/>
    </row>
    <row r="309" spans="1:29" ht="13.2">
      <c r="A309" s="113"/>
      <c r="AA309" s="178"/>
      <c r="AB309" s="178"/>
      <c r="AC309" s="178"/>
    </row>
    <row r="310" spans="1:29" ht="13.2">
      <c r="A310" s="113"/>
      <c r="AA310" s="178"/>
      <c r="AB310" s="178"/>
      <c r="AC310" s="178"/>
    </row>
    <row r="311" spans="1:29" ht="13.2">
      <c r="A311" s="113"/>
      <c r="AA311" s="178"/>
      <c r="AB311" s="178"/>
      <c r="AC311" s="178"/>
    </row>
    <row r="312" spans="1:29" ht="13.2">
      <c r="A312" s="113"/>
      <c r="AA312" s="178"/>
      <c r="AB312" s="178"/>
      <c r="AC312" s="178"/>
    </row>
    <row r="313" spans="1:29" ht="13.2">
      <c r="A313" s="113"/>
      <c r="AA313" s="178"/>
      <c r="AB313" s="178"/>
      <c r="AC313" s="178"/>
    </row>
    <row r="314" spans="1:29" ht="13.2">
      <c r="A314" s="113"/>
      <c r="AA314" s="178"/>
      <c r="AB314" s="178"/>
      <c r="AC314" s="178"/>
    </row>
    <row r="315" spans="1:29" ht="13.2">
      <c r="A315" s="113"/>
      <c r="AA315" s="178"/>
      <c r="AB315" s="178"/>
      <c r="AC315" s="178"/>
    </row>
    <row r="316" spans="1:29" ht="13.2">
      <c r="A316" s="113"/>
      <c r="AA316" s="178"/>
      <c r="AB316" s="178"/>
      <c r="AC316" s="178"/>
    </row>
    <row r="317" spans="1:29" ht="13.2">
      <c r="A317" s="113"/>
      <c r="AA317" s="178"/>
      <c r="AB317" s="178"/>
      <c r="AC317" s="178"/>
    </row>
    <row r="318" spans="1:29" ht="13.2">
      <c r="A318" s="113"/>
      <c r="AA318" s="178"/>
      <c r="AB318" s="178"/>
      <c r="AC318" s="178"/>
    </row>
    <row r="319" spans="1:29" ht="13.2">
      <c r="A319" s="113"/>
      <c r="AA319" s="178"/>
      <c r="AB319" s="178"/>
      <c r="AC319" s="178"/>
    </row>
    <row r="320" spans="1:29" ht="13.2">
      <c r="A320" s="113"/>
      <c r="AA320" s="178"/>
      <c r="AB320" s="178"/>
      <c r="AC320" s="178"/>
    </row>
    <row r="321" spans="1:29" ht="13.2">
      <c r="A321" s="113"/>
      <c r="AA321" s="178"/>
      <c r="AB321" s="178"/>
      <c r="AC321" s="178"/>
    </row>
    <row r="322" spans="1:29" ht="13.2">
      <c r="A322" s="113"/>
      <c r="AA322" s="178"/>
      <c r="AB322" s="178"/>
      <c r="AC322" s="178"/>
    </row>
    <row r="323" spans="1:29" ht="13.2">
      <c r="A323" s="113"/>
      <c r="AA323" s="178"/>
      <c r="AB323" s="178"/>
      <c r="AC323" s="178"/>
    </row>
    <row r="324" spans="1:29" ht="13.2">
      <c r="A324" s="113"/>
      <c r="AA324" s="178"/>
      <c r="AB324" s="178"/>
      <c r="AC324" s="178"/>
    </row>
    <row r="325" spans="1:29" ht="13.2">
      <c r="A325" s="113"/>
      <c r="AA325" s="178"/>
      <c r="AB325" s="178"/>
      <c r="AC325" s="178"/>
    </row>
    <row r="326" spans="1:29" ht="13.2">
      <c r="A326" s="113"/>
      <c r="AA326" s="178"/>
      <c r="AB326" s="178"/>
      <c r="AC326" s="178"/>
    </row>
    <row r="327" spans="1:29" ht="13.2">
      <c r="A327" s="113"/>
      <c r="AA327" s="178"/>
      <c r="AB327" s="178"/>
      <c r="AC327" s="178"/>
    </row>
    <row r="328" spans="1:29" ht="13.2">
      <c r="A328" s="113"/>
      <c r="AA328" s="178"/>
      <c r="AB328" s="178"/>
      <c r="AC328" s="178"/>
    </row>
    <row r="329" spans="1:29" ht="13.2">
      <c r="A329" s="113"/>
      <c r="AA329" s="178"/>
      <c r="AB329" s="178"/>
      <c r="AC329" s="178"/>
    </row>
    <row r="330" spans="1:29" ht="13.2">
      <c r="A330" s="113"/>
      <c r="AA330" s="178"/>
      <c r="AB330" s="178"/>
      <c r="AC330" s="178"/>
    </row>
    <row r="331" spans="1:29" ht="13.2">
      <c r="A331" s="113"/>
      <c r="AA331" s="178"/>
      <c r="AB331" s="178"/>
      <c r="AC331" s="178"/>
    </row>
    <row r="332" spans="1:29" ht="13.2">
      <c r="A332" s="113"/>
      <c r="AA332" s="178"/>
      <c r="AB332" s="178"/>
      <c r="AC332" s="178"/>
    </row>
    <row r="333" spans="1:29" ht="13.2">
      <c r="A333" s="113"/>
      <c r="AA333" s="178"/>
      <c r="AB333" s="178"/>
      <c r="AC333" s="178"/>
    </row>
    <row r="334" spans="1:29" ht="13.2">
      <c r="A334" s="113"/>
      <c r="AA334" s="178"/>
      <c r="AB334" s="178"/>
      <c r="AC334" s="178"/>
    </row>
    <row r="335" spans="1:29" ht="13.2">
      <c r="A335" s="113"/>
      <c r="AA335" s="178"/>
      <c r="AB335" s="178"/>
      <c r="AC335" s="178"/>
    </row>
    <row r="336" spans="1:29" ht="13.2">
      <c r="A336" s="113"/>
      <c r="AA336" s="178"/>
      <c r="AB336" s="178"/>
      <c r="AC336" s="178"/>
    </row>
    <row r="337" spans="1:29" ht="13.2">
      <c r="A337" s="113"/>
      <c r="AA337" s="178"/>
      <c r="AB337" s="178"/>
      <c r="AC337" s="178"/>
    </row>
    <row r="338" spans="1:29" ht="13.2">
      <c r="A338" s="113"/>
      <c r="AA338" s="178"/>
      <c r="AB338" s="178"/>
      <c r="AC338" s="178"/>
    </row>
    <row r="339" spans="1:29" ht="13.2">
      <c r="A339" s="113"/>
      <c r="AA339" s="178"/>
      <c r="AB339" s="178"/>
      <c r="AC339" s="178"/>
    </row>
    <row r="340" spans="1:29" ht="13.2">
      <c r="A340" s="113"/>
      <c r="AA340" s="178"/>
      <c r="AB340" s="178"/>
      <c r="AC340" s="178"/>
    </row>
    <row r="341" spans="1:29" ht="13.2">
      <c r="A341" s="113"/>
      <c r="AA341" s="178"/>
      <c r="AB341" s="178"/>
      <c r="AC341" s="178"/>
    </row>
    <row r="342" spans="1:29" ht="13.2">
      <c r="A342" s="113"/>
      <c r="AA342" s="178"/>
      <c r="AB342" s="178"/>
      <c r="AC342" s="178"/>
    </row>
    <row r="343" spans="1:29" ht="13.2">
      <c r="A343" s="113"/>
      <c r="AA343" s="178"/>
      <c r="AB343" s="178"/>
      <c r="AC343" s="178"/>
    </row>
    <row r="344" spans="1:29" ht="13.2">
      <c r="A344" s="113"/>
      <c r="AA344" s="178"/>
      <c r="AB344" s="178"/>
      <c r="AC344" s="178"/>
    </row>
    <row r="345" spans="1:29" ht="13.2">
      <c r="A345" s="113"/>
      <c r="AA345" s="178"/>
      <c r="AB345" s="178"/>
      <c r="AC345" s="178"/>
    </row>
    <row r="346" spans="1:29" ht="13.2">
      <c r="A346" s="113"/>
      <c r="AA346" s="178"/>
      <c r="AB346" s="178"/>
      <c r="AC346" s="178"/>
    </row>
    <row r="347" spans="1:29" ht="13.2">
      <c r="A347" s="113"/>
      <c r="AA347" s="178"/>
      <c r="AB347" s="178"/>
      <c r="AC347" s="178"/>
    </row>
    <row r="348" spans="1:29" ht="13.2">
      <c r="A348" s="113"/>
      <c r="AA348" s="178"/>
      <c r="AB348" s="178"/>
      <c r="AC348" s="178"/>
    </row>
    <row r="349" spans="1:29" ht="13.2">
      <c r="A349" s="113"/>
      <c r="AA349" s="178"/>
      <c r="AB349" s="178"/>
      <c r="AC349" s="178"/>
    </row>
    <row r="350" spans="1:29" ht="13.2">
      <c r="A350" s="113"/>
      <c r="AA350" s="178"/>
      <c r="AB350" s="178"/>
      <c r="AC350" s="178"/>
    </row>
    <row r="351" spans="1:29" ht="13.2">
      <c r="A351" s="113"/>
      <c r="AA351" s="178"/>
      <c r="AB351" s="178"/>
      <c r="AC351" s="178"/>
    </row>
    <row r="352" spans="1:29" ht="13.2">
      <c r="A352" s="113"/>
      <c r="AA352" s="178"/>
      <c r="AB352" s="178"/>
      <c r="AC352" s="178"/>
    </row>
    <row r="353" spans="1:29" ht="13.2">
      <c r="A353" s="113"/>
      <c r="AA353" s="178"/>
      <c r="AB353" s="178"/>
      <c r="AC353" s="178"/>
    </row>
    <row r="354" spans="1:29" ht="13.2">
      <c r="A354" s="113"/>
      <c r="AA354" s="178"/>
      <c r="AB354" s="178"/>
      <c r="AC354" s="178"/>
    </row>
    <row r="355" spans="1:29" ht="13.2">
      <c r="A355" s="113"/>
      <c r="AA355" s="178"/>
      <c r="AB355" s="178"/>
      <c r="AC355" s="178"/>
    </row>
    <row r="356" spans="1:29" ht="13.2">
      <c r="A356" s="113"/>
      <c r="AA356" s="178"/>
      <c r="AB356" s="178"/>
      <c r="AC356" s="178"/>
    </row>
    <row r="357" spans="1:29" ht="13.2">
      <c r="A357" s="113"/>
      <c r="AA357" s="178"/>
      <c r="AB357" s="178"/>
      <c r="AC357" s="178"/>
    </row>
    <row r="358" spans="1:29" ht="13.2">
      <c r="A358" s="113"/>
      <c r="AA358" s="178"/>
      <c r="AB358" s="178"/>
      <c r="AC358" s="178"/>
    </row>
    <row r="359" spans="1:29" ht="13.2">
      <c r="A359" s="113"/>
      <c r="AA359" s="178"/>
      <c r="AB359" s="178"/>
      <c r="AC359" s="178"/>
    </row>
    <row r="360" spans="1:29" ht="13.2">
      <c r="A360" s="113"/>
      <c r="AA360" s="178"/>
      <c r="AB360" s="178"/>
      <c r="AC360" s="178"/>
    </row>
    <row r="361" spans="1:29" ht="13.2">
      <c r="A361" s="113"/>
      <c r="AA361" s="178"/>
      <c r="AB361" s="178"/>
      <c r="AC361" s="178"/>
    </row>
    <row r="362" spans="1:29" ht="13.2">
      <c r="A362" s="113"/>
      <c r="AA362" s="178"/>
      <c r="AB362" s="178"/>
      <c r="AC362" s="178"/>
    </row>
    <row r="363" spans="1:29" ht="13.2">
      <c r="A363" s="113"/>
      <c r="AA363" s="178"/>
      <c r="AB363" s="178"/>
      <c r="AC363" s="178"/>
    </row>
    <row r="364" spans="1:29" ht="13.2">
      <c r="A364" s="113"/>
      <c r="AA364" s="178"/>
      <c r="AB364" s="178"/>
      <c r="AC364" s="178"/>
    </row>
    <row r="365" spans="1:29" ht="13.2">
      <c r="A365" s="113"/>
      <c r="AA365" s="178"/>
      <c r="AB365" s="178"/>
      <c r="AC365" s="178"/>
    </row>
    <row r="366" spans="1:29" ht="13.2">
      <c r="A366" s="113"/>
      <c r="AA366" s="178"/>
      <c r="AB366" s="178"/>
      <c r="AC366" s="178"/>
    </row>
    <row r="367" spans="1:29" ht="13.2">
      <c r="A367" s="113"/>
      <c r="AA367" s="178"/>
      <c r="AB367" s="178"/>
      <c r="AC367" s="178"/>
    </row>
    <row r="368" spans="1:29" ht="13.2">
      <c r="A368" s="113"/>
      <c r="AA368" s="178"/>
      <c r="AB368" s="178"/>
      <c r="AC368" s="178"/>
    </row>
    <row r="369" spans="1:29" ht="13.2">
      <c r="A369" s="113"/>
      <c r="AA369" s="178"/>
      <c r="AB369" s="178"/>
      <c r="AC369" s="178"/>
    </row>
    <row r="370" spans="1:29" ht="13.2">
      <c r="A370" s="113"/>
      <c r="AA370" s="178"/>
      <c r="AB370" s="178"/>
      <c r="AC370" s="178"/>
    </row>
    <row r="371" spans="1:29" ht="13.2">
      <c r="A371" s="113"/>
      <c r="AA371" s="178"/>
      <c r="AB371" s="178"/>
      <c r="AC371" s="178"/>
    </row>
    <row r="372" spans="1:29" ht="13.2">
      <c r="A372" s="113"/>
      <c r="AA372" s="178"/>
      <c r="AB372" s="178"/>
      <c r="AC372" s="178"/>
    </row>
    <row r="373" spans="1:29" ht="13.2">
      <c r="A373" s="113"/>
      <c r="AA373" s="178"/>
      <c r="AB373" s="178"/>
      <c r="AC373" s="178"/>
    </row>
    <row r="374" spans="1:29" ht="13.2">
      <c r="A374" s="113"/>
      <c r="AA374" s="178"/>
      <c r="AB374" s="178"/>
      <c r="AC374" s="178"/>
    </row>
    <row r="375" spans="1:29" ht="13.2">
      <c r="A375" s="113"/>
      <c r="AA375" s="178"/>
      <c r="AB375" s="178"/>
      <c r="AC375" s="178"/>
    </row>
    <row r="376" spans="1:29" ht="13.2">
      <c r="A376" s="113"/>
      <c r="AA376" s="178"/>
      <c r="AB376" s="178"/>
      <c r="AC376" s="178"/>
    </row>
    <row r="377" spans="1:29" ht="13.2">
      <c r="A377" s="113"/>
      <c r="AA377" s="178"/>
      <c r="AB377" s="178"/>
      <c r="AC377" s="178"/>
    </row>
    <row r="378" spans="1:29" ht="13.2">
      <c r="A378" s="113"/>
      <c r="AA378" s="178"/>
      <c r="AB378" s="178"/>
      <c r="AC378" s="178"/>
    </row>
    <row r="379" spans="1:29" ht="13.2">
      <c r="A379" s="113"/>
      <c r="AA379" s="178"/>
      <c r="AB379" s="178"/>
      <c r="AC379" s="178"/>
    </row>
    <row r="380" spans="1:29" ht="13.2">
      <c r="A380" s="113"/>
      <c r="AA380" s="178"/>
      <c r="AB380" s="178"/>
      <c r="AC380" s="178"/>
    </row>
    <row r="381" spans="1:29" ht="13.2">
      <c r="A381" s="113"/>
      <c r="AA381" s="178"/>
      <c r="AB381" s="178"/>
      <c r="AC381" s="178"/>
    </row>
    <row r="382" spans="1:29" ht="13.2">
      <c r="A382" s="113"/>
      <c r="AA382" s="178"/>
      <c r="AB382" s="178"/>
      <c r="AC382" s="178"/>
    </row>
    <row r="383" spans="1:29" ht="13.2">
      <c r="A383" s="113"/>
      <c r="AA383" s="178"/>
      <c r="AB383" s="178"/>
      <c r="AC383" s="178"/>
    </row>
    <row r="384" spans="1:29" ht="13.2">
      <c r="A384" s="113"/>
      <c r="AA384" s="178"/>
      <c r="AB384" s="178"/>
      <c r="AC384" s="178"/>
    </row>
    <row r="385" spans="1:29" ht="13.2">
      <c r="A385" s="113"/>
      <c r="AA385" s="178"/>
      <c r="AB385" s="178"/>
      <c r="AC385" s="178"/>
    </row>
    <row r="386" spans="1:29" ht="13.2">
      <c r="A386" s="113"/>
      <c r="AA386" s="178"/>
      <c r="AB386" s="178"/>
      <c r="AC386" s="178"/>
    </row>
    <row r="387" spans="1:29" ht="13.2">
      <c r="A387" s="113"/>
      <c r="AA387" s="178"/>
      <c r="AB387" s="178"/>
      <c r="AC387" s="178"/>
    </row>
    <row r="388" spans="1:29" ht="13.2">
      <c r="A388" s="113"/>
      <c r="AA388" s="178"/>
      <c r="AB388" s="178"/>
      <c r="AC388" s="178"/>
    </row>
    <row r="389" spans="1:29" ht="13.2">
      <c r="A389" s="113"/>
      <c r="AA389" s="178"/>
      <c r="AB389" s="178"/>
      <c r="AC389" s="178"/>
    </row>
    <row r="390" spans="1:29" ht="13.2">
      <c r="A390" s="113"/>
      <c r="AA390" s="178"/>
      <c r="AB390" s="178"/>
      <c r="AC390" s="178"/>
    </row>
    <row r="391" spans="1:29" ht="13.2">
      <c r="A391" s="113"/>
      <c r="AA391" s="178"/>
      <c r="AB391" s="178"/>
      <c r="AC391" s="178"/>
    </row>
    <row r="392" spans="1:29" ht="13.2">
      <c r="A392" s="113"/>
      <c r="AA392" s="178"/>
      <c r="AB392" s="178"/>
      <c r="AC392" s="178"/>
    </row>
    <row r="393" spans="1:29" ht="13.2">
      <c r="A393" s="113"/>
      <c r="AA393" s="178"/>
      <c r="AB393" s="178"/>
      <c r="AC393" s="178"/>
    </row>
    <row r="394" spans="1:29" ht="13.2">
      <c r="A394" s="113"/>
      <c r="AA394" s="178"/>
      <c r="AB394" s="178"/>
      <c r="AC394" s="178"/>
    </row>
    <row r="395" spans="1:29" ht="13.2">
      <c r="A395" s="113"/>
      <c r="AA395" s="178"/>
      <c r="AB395" s="178"/>
      <c r="AC395" s="178"/>
    </row>
    <row r="396" spans="1:29" ht="13.2">
      <c r="A396" s="113"/>
      <c r="AA396" s="178"/>
      <c r="AB396" s="178"/>
      <c r="AC396" s="178"/>
    </row>
    <row r="397" spans="1:29" ht="13.2">
      <c r="A397" s="113"/>
      <c r="AA397" s="178"/>
      <c r="AB397" s="178"/>
      <c r="AC397" s="178"/>
    </row>
    <row r="398" spans="1:29" ht="13.2">
      <c r="A398" s="113"/>
      <c r="AA398" s="178"/>
      <c r="AB398" s="178"/>
      <c r="AC398" s="178"/>
    </row>
    <row r="399" spans="1:29" ht="13.2">
      <c r="A399" s="113"/>
      <c r="AA399" s="178"/>
      <c r="AB399" s="178"/>
      <c r="AC399" s="178"/>
    </row>
    <row r="400" spans="1:29" ht="13.2">
      <c r="A400" s="113"/>
      <c r="AA400" s="178"/>
      <c r="AB400" s="178"/>
      <c r="AC400" s="178"/>
    </row>
    <row r="401" spans="1:29" ht="13.2">
      <c r="A401" s="113"/>
      <c r="AA401" s="178"/>
      <c r="AB401" s="178"/>
      <c r="AC401" s="178"/>
    </row>
    <row r="402" spans="1:29" ht="13.2">
      <c r="A402" s="113"/>
      <c r="AA402" s="178"/>
      <c r="AB402" s="178"/>
      <c r="AC402" s="178"/>
    </row>
    <row r="403" spans="1:29" ht="13.2">
      <c r="A403" s="113"/>
      <c r="AA403" s="178"/>
      <c r="AB403" s="178"/>
      <c r="AC403" s="178"/>
    </row>
    <row r="404" spans="1:29" ht="13.2">
      <c r="A404" s="113"/>
      <c r="AA404" s="178"/>
      <c r="AB404" s="178"/>
      <c r="AC404" s="178"/>
    </row>
    <row r="405" spans="1:29" ht="13.2">
      <c r="A405" s="113"/>
      <c r="AA405" s="178"/>
      <c r="AB405" s="178"/>
      <c r="AC405" s="178"/>
    </row>
    <row r="406" spans="1:29" ht="13.2">
      <c r="A406" s="113"/>
      <c r="AA406" s="178"/>
      <c r="AB406" s="178"/>
      <c r="AC406" s="178"/>
    </row>
    <row r="407" spans="1:29" ht="13.2">
      <c r="A407" s="113"/>
      <c r="AA407" s="178"/>
      <c r="AB407" s="178"/>
      <c r="AC407" s="178"/>
    </row>
    <row r="408" spans="1:29" ht="13.2">
      <c r="A408" s="113"/>
      <c r="AA408" s="178"/>
      <c r="AB408" s="178"/>
      <c r="AC408" s="178"/>
    </row>
    <row r="409" spans="1:29" ht="13.2">
      <c r="A409" s="113"/>
      <c r="AA409" s="178"/>
      <c r="AB409" s="178"/>
      <c r="AC409" s="178"/>
    </row>
    <row r="410" spans="1:29" ht="13.2">
      <c r="A410" s="113"/>
      <c r="AA410" s="178"/>
      <c r="AB410" s="178"/>
      <c r="AC410" s="178"/>
    </row>
    <row r="411" spans="1:29" ht="13.2">
      <c r="A411" s="113"/>
      <c r="AA411" s="178"/>
      <c r="AB411" s="178"/>
      <c r="AC411" s="178"/>
    </row>
    <row r="412" spans="1:29" ht="13.2">
      <c r="A412" s="113"/>
      <c r="AA412" s="178"/>
      <c r="AB412" s="178"/>
      <c r="AC412" s="178"/>
    </row>
    <row r="413" spans="1:29" ht="13.2">
      <c r="A413" s="113"/>
      <c r="AA413" s="178"/>
      <c r="AB413" s="178"/>
      <c r="AC413" s="178"/>
    </row>
    <row r="414" spans="1:29" ht="13.2">
      <c r="A414" s="113"/>
      <c r="AA414" s="178"/>
      <c r="AB414" s="178"/>
      <c r="AC414" s="178"/>
    </row>
    <row r="415" spans="1:29" ht="13.2">
      <c r="A415" s="113"/>
      <c r="AA415" s="178"/>
      <c r="AB415" s="178"/>
      <c r="AC415" s="178"/>
    </row>
    <row r="416" spans="1:29" ht="13.2">
      <c r="A416" s="113"/>
      <c r="AA416" s="178"/>
      <c r="AB416" s="178"/>
      <c r="AC416" s="178"/>
    </row>
    <row r="417" spans="1:29" ht="13.2">
      <c r="A417" s="113"/>
      <c r="AA417" s="178"/>
      <c r="AB417" s="178"/>
      <c r="AC417" s="178"/>
    </row>
    <row r="418" spans="1:29" ht="13.2">
      <c r="A418" s="113"/>
      <c r="AA418" s="178"/>
      <c r="AB418" s="178"/>
      <c r="AC418" s="178"/>
    </row>
    <row r="419" spans="1:29" ht="13.2">
      <c r="A419" s="113"/>
      <c r="AA419" s="178"/>
      <c r="AB419" s="178"/>
      <c r="AC419" s="178"/>
    </row>
    <row r="420" spans="1:29" ht="13.2">
      <c r="A420" s="113"/>
      <c r="AA420" s="178"/>
      <c r="AB420" s="178"/>
      <c r="AC420" s="178"/>
    </row>
    <row r="421" spans="1:29" ht="13.2">
      <c r="A421" s="113"/>
      <c r="AA421" s="178"/>
      <c r="AB421" s="178"/>
      <c r="AC421" s="178"/>
    </row>
    <row r="422" spans="1:29" ht="13.2">
      <c r="A422" s="113"/>
      <c r="AA422" s="178"/>
      <c r="AB422" s="178"/>
      <c r="AC422" s="178"/>
    </row>
    <row r="423" spans="1:29" ht="13.2">
      <c r="A423" s="113"/>
      <c r="AA423" s="178"/>
      <c r="AB423" s="178"/>
      <c r="AC423" s="178"/>
    </row>
    <row r="424" spans="1:29" ht="13.2">
      <c r="A424" s="113"/>
      <c r="AA424" s="178"/>
      <c r="AB424" s="178"/>
      <c r="AC424" s="178"/>
    </row>
    <row r="425" spans="1:29" ht="13.2">
      <c r="A425" s="113"/>
      <c r="AA425" s="178"/>
      <c r="AB425" s="178"/>
      <c r="AC425" s="178"/>
    </row>
    <row r="426" spans="1:29" ht="13.2">
      <c r="A426" s="113"/>
      <c r="AA426" s="178"/>
      <c r="AB426" s="178"/>
      <c r="AC426" s="178"/>
    </row>
    <row r="427" spans="1:29" ht="13.2">
      <c r="A427" s="113"/>
      <c r="AA427" s="178"/>
      <c r="AB427" s="178"/>
      <c r="AC427" s="178"/>
    </row>
    <row r="428" spans="1:29" ht="13.2">
      <c r="A428" s="113"/>
      <c r="AA428" s="178"/>
      <c r="AB428" s="178"/>
      <c r="AC428" s="178"/>
    </row>
    <row r="429" spans="1:29" ht="13.2">
      <c r="A429" s="113"/>
      <c r="AA429" s="178"/>
      <c r="AB429" s="178"/>
      <c r="AC429" s="178"/>
    </row>
    <row r="430" spans="1:29" ht="13.2">
      <c r="A430" s="113"/>
      <c r="AA430" s="178"/>
      <c r="AB430" s="178"/>
      <c r="AC430" s="178"/>
    </row>
    <row r="431" spans="1:29" ht="13.2">
      <c r="A431" s="113"/>
      <c r="AA431" s="178"/>
      <c r="AB431" s="178"/>
      <c r="AC431" s="178"/>
    </row>
    <row r="432" spans="1:29" ht="13.2">
      <c r="A432" s="113"/>
      <c r="AA432" s="178"/>
      <c r="AB432" s="178"/>
      <c r="AC432" s="178"/>
    </row>
    <row r="433" spans="1:29" ht="13.2">
      <c r="A433" s="113"/>
      <c r="AA433" s="178"/>
      <c r="AB433" s="178"/>
      <c r="AC433" s="178"/>
    </row>
    <row r="434" spans="1:29" ht="13.2">
      <c r="A434" s="113"/>
      <c r="AA434" s="178"/>
      <c r="AB434" s="178"/>
      <c r="AC434" s="178"/>
    </row>
    <row r="435" spans="1:29" ht="13.2">
      <c r="A435" s="113"/>
      <c r="AA435" s="178"/>
      <c r="AB435" s="178"/>
      <c r="AC435" s="178"/>
    </row>
    <row r="436" spans="1:29" ht="13.2">
      <c r="A436" s="113"/>
      <c r="AA436" s="178"/>
      <c r="AB436" s="178"/>
      <c r="AC436" s="178"/>
    </row>
    <row r="437" spans="1:29" ht="13.2">
      <c r="A437" s="113"/>
      <c r="AA437" s="178"/>
      <c r="AB437" s="178"/>
      <c r="AC437" s="178"/>
    </row>
    <row r="438" spans="1:29" ht="13.2">
      <c r="A438" s="113"/>
      <c r="AA438" s="178"/>
      <c r="AB438" s="178"/>
      <c r="AC438" s="178"/>
    </row>
    <row r="439" spans="1:29" ht="13.2">
      <c r="A439" s="113"/>
      <c r="AA439" s="178"/>
      <c r="AB439" s="178"/>
      <c r="AC439" s="178"/>
    </row>
    <row r="440" spans="1:29" ht="13.2">
      <c r="A440" s="113"/>
      <c r="AA440" s="178"/>
      <c r="AB440" s="178"/>
      <c r="AC440" s="178"/>
    </row>
    <row r="441" spans="1:29" ht="13.2">
      <c r="A441" s="113"/>
      <c r="AA441" s="178"/>
      <c r="AB441" s="178"/>
      <c r="AC441" s="178"/>
    </row>
    <row r="442" spans="1:29" ht="13.2">
      <c r="A442" s="113"/>
      <c r="AA442" s="178"/>
      <c r="AB442" s="178"/>
      <c r="AC442" s="178"/>
    </row>
    <row r="443" spans="1:29" ht="13.2">
      <c r="A443" s="113"/>
      <c r="AA443" s="178"/>
      <c r="AB443" s="178"/>
      <c r="AC443" s="178"/>
    </row>
    <row r="444" spans="1:29" ht="13.2">
      <c r="A444" s="113"/>
      <c r="AA444" s="178"/>
      <c r="AB444" s="178"/>
      <c r="AC444" s="178"/>
    </row>
    <row r="445" spans="1:29" ht="13.2">
      <c r="A445" s="113"/>
      <c r="AA445" s="178"/>
      <c r="AB445" s="178"/>
      <c r="AC445" s="178"/>
    </row>
    <row r="446" spans="1:29" ht="13.2">
      <c r="A446" s="113"/>
      <c r="AA446" s="178"/>
      <c r="AB446" s="178"/>
      <c r="AC446" s="178"/>
    </row>
    <row r="447" spans="1:29" ht="13.2">
      <c r="A447" s="113"/>
      <c r="AA447" s="178"/>
      <c r="AB447" s="178"/>
      <c r="AC447" s="178"/>
    </row>
    <row r="448" spans="1:29" ht="13.2">
      <c r="A448" s="113"/>
      <c r="AA448" s="178"/>
      <c r="AB448" s="178"/>
      <c r="AC448" s="178"/>
    </row>
    <row r="449" spans="1:29" ht="13.2">
      <c r="A449" s="113"/>
      <c r="AA449" s="178"/>
      <c r="AB449" s="178"/>
      <c r="AC449" s="178"/>
    </row>
    <row r="450" spans="1:29" ht="13.2">
      <c r="A450" s="113"/>
      <c r="AA450" s="178"/>
      <c r="AB450" s="178"/>
      <c r="AC450" s="178"/>
    </row>
    <row r="451" spans="1:29" ht="13.2">
      <c r="A451" s="113"/>
      <c r="AA451" s="178"/>
      <c r="AB451" s="178"/>
      <c r="AC451" s="178"/>
    </row>
    <row r="452" spans="1:29" ht="13.2">
      <c r="A452" s="113"/>
      <c r="AA452" s="178"/>
      <c r="AB452" s="178"/>
      <c r="AC452" s="178"/>
    </row>
    <row r="453" spans="1:29" ht="13.2">
      <c r="A453" s="113"/>
      <c r="AA453" s="178"/>
      <c r="AB453" s="178"/>
      <c r="AC453" s="178"/>
    </row>
    <row r="454" spans="1:29" ht="13.2">
      <c r="A454" s="113"/>
      <c r="AA454" s="178"/>
      <c r="AB454" s="178"/>
      <c r="AC454" s="178"/>
    </row>
    <row r="455" spans="1:29" ht="13.2">
      <c r="A455" s="113"/>
      <c r="AA455" s="178"/>
      <c r="AB455" s="178"/>
      <c r="AC455" s="178"/>
    </row>
    <row r="456" spans="1:29" ht="13.2">
      <c r="A456" s="113"/>
      <c r="AA456" s="178"/>
      <c r="AB456" s="178"/>
      <c r="AC456" s="178"/>
    </row>
    <row r="457" spans="1:29" ht="13.2">
      <c r="A457" s="113"/>
      <c r="AA457" s="178"/>
      <c r="AB457" s="178"/>
      <c r="AC457" s="178"/>
    </row>
    <row r="458" spans="1:29" ht="13.2">
      <c r="A458" s="113"/>
      <c r="AA458" s="178"/>
      <c r="AB458" s="178"/>
      <c r="AC458" s="178"/>
    </row>
    <row r="459" spans="1:29" ht="13.2">
      <c r="A459" s="113"/>
      <c r="AA459" s="178"/>
      <c r="AB459" s="178"/>
      <c r="AC459" s="178"/>
    </row>
    <row r="460" spans="1:29" ht="13.2">
      <c r="A460" s="113"/>
      <c r="AA460" s="178"/>
      <c r="AB460" s="178"/>
      <c r="AC460" s="178"/>
    </row>
    <row r="461" spans="1:29" ht="13.2">
      <c r="A461" s="113"/>
      <c r="AA461" s="178"/>
      <c r="AB461" s="178"/>
      <c r="AC461" s="178"/>
    </row>
    <row r="462" spans="1:29" ht="13.2">
      <c r="A462" s="113"/>
      <c r="AA462" s="178"/>
      <c r="AB462" s="178"/>
      <c r="AC462" s="178"/>
    </row>
    <row r="463" spans="1:29" ht="13.2">
      <c r="A463" s="113"/>
      <c r="AA463" s="178"/>
      <c r="AB463" s="178"/>
      <c r="AC463" s="178"/>
    </row>
    <row r="464" spans="1:29" ht="13.2">
      <c r="A464" s="113"/>
      <c r="AA464" s="178"/>
      <c r="AB464" s="178"/>
      <c r="AC464" s="178"/>
    </row>
    <row r="465" spans="1:29" ht="13.2">
      <c r="A465" s="113"/>
      <c r="AA465" s="178"/>
      <c r="AB465" s="178"/>
      <c r="AC465" s="178"/>
    </row>
    <row r="466" spans="1:29" ht="13.2">
      <c r="A466" s="113"/>
      <c r="AA466" s="178"/>
      <c r="AB466" s="178"/>
      <c r="AC466" s="178"/>
    </row>
    <row r="467" spans="1:29" ht="13.2">
      <c r="A467" s="113"/>
      <c r="AA467" s="178"/>
      <c r="AB467" s="178"/>
      <c r="AC467" s="178"/>
    </row>
    <row r="468" spans="1:29" ht="13.2">
      <c r="A468" s="113"/>
      <c r="AA468" s="178"/>
      <c r="AB468" s="178"/>
      <c r="AC468" s="178"/>
    </row>
    <row r="469" spans="1:29" ht="13.2">
      <c r="A469" s="113"/>
      <c r="AA469" s="178"/>
      <c r="AB469" s="178"/>
      <c r="AC469" s="178"/>
    </row>
    <row r="470" spans="1:29" ht="13.2">
      <c r="A470" s="113"/>
      <c r="AA470" s="178"/>
      <c r="AB470" s="178"/>
      <c r="AC470" s="178"/>
    </row>
    <row r="471" spans="1:29" ht="13.2">
      <c r="A471" s="113"/>
      <c r="AA471" s="178"/>
      <c r="AB471" s="178"/>
      <c r="AC471" s="178"/>
    </row>
    <row r="472" spans="1:29" ht="13.2">
      <c r="A472" s="113"/>
      <c r="AA472" s="178"/>
      <c r="AB472" s="178"/>
      <c r="AC472" s="178"/>
    </row>
    <row r="473" spans="1:29" ht="13.2">
      <c r="A473" s="113"/>
      <c r="AA473" s="178"/>
      <c r="AB473" s="178"/>
      <c r="AC473" s="178"/>
    </row>
    <row r="474" spans="1:29" ht="13.2">
      <c r="A474" s="113"/>
      <c r="AA474" s="178"/>
      <c r="AB474" s="178"/>
      <c r="AC474" s="178"/>
    </row>
    <row r="475" spans="1:29" ht="13.2">
      <c r="A475" s="113"/>
      <c r="AA475" s="178"/>
      <c r="AB475" s="178"/>
      <c r="AC475" s="178"/>
    </row>
    <row r="476" spans="1:29" ht="13.2">
      <c r="A476" s="113"/>
      <c r="AA476" s="178"/>
      <c r="AB476" s="178"/>
      <c r="AC476" s="178"/>
    </row>
    <row r="477" spans="1:29" ht="13.2">
      <c r="A477" s="113"/>
      <c r="AA477" s="178"/>
      <c r="AB477" s="178"/>
      <c r="AC477" s="178"/>
    </row>
    <row r="478" spans="1:29" ht="13.2">
      <c r="A478" s="113"/>
      <c r="AA478" s="178"/>
      <c r="AB478" s="178"/>
      <c r="AC478" s="178"/>
    </row>
    <row r="479" spans="1:29" ht="13.2">
      <c r="A479" s="113"/>
      <c r="AA479" s="178"/>
      <c r="AB479" s="178"/>
      <c r="AC479" s="178"/>
    </row>
    <row r="480" spans="1:29" ht="13.2">
      <c r="A480" s="113"/>
      <c r="AA480" s="178"/>
      <c r="AB480" s="178"/>
      <c r="AC480" s="178"/>
    </row>
    <row r="481" spans="1:29" ht="13.2">
      <c r="A481" s="113"/>
      <c r="AA481" s="178"/>
      <c r="AB481" s="178"/>
      <c r="AC481" s="178"/>
    </row>
    <row r="482" spans="1:29" ht="13.2">
      <c r="A482" s="113"/>
      <c r="AA482" s="178"/>
      <c r="AB482" s="178"/>
      <c r="AC482" s="178"/>
    </row>
    <row r="483" spans="1:29" ht="13.2">
      <c r="A483" s="113"/>
      <c r="AA483" s="178"/>
      <c r="AB483" s="178"/>
      <c r="AC483" s="178"/>
    </row>
    <row r="484" spans="1:29" ht="13.2">
      <c r="A484" s="113"/>
      <c r="AA484" s="178"/>
      <c r="AB484" s="178"/>
      <c r="AC484" s="178"/>
    </row>
    <row r="485" spans="1:29" ht="13.2">
      <c r="A485" s="113"/>
      <c r="AA485" s="178"/>
      <c r="AB485" s="178"/>
      <c r="AC485" s="178"/>
    </row>
    <row r="486" spans="1:29" ht="13.2">
      <c r="A486" s="113"/>
      <c r="AA486" s="178"/>
      <c r="AB486" s="178"/>
      <c r="AC486" s="178"/>
    </row>
    <row r="487" spans="1:29" ht="13.2">
      <c r="A487" s="113"/>
      <c r="AA487" s="178"/>
      <c r="AB487" s="178"/>
      <c r="AC487" s="178"/>
    </row>
    <row r="488" spans="1:29" ht="13.2">
      <c r="A488" s="113"/>
      <c r="AA488" s="178"/>
      <c r="AB488" s="178"/>
      <c r="AC488" s="178"/>
    </row>
    <row r="489" spans="1:29" ht="13.2">
      <c r="A489" s="113"/>
      <c r="AA489" s="178"/>
      <c r="AB489" s="178"/>
      <c r="AC489" s="178"/>
    </row>
    <row r="490" spans="1:29" ht="13.2">
      <c r="A490" s="113"/>
      <c r="AA490" s="178"/>
      <c r="AB490" s="178"/>
      <c r="AC490" s="178"/>
    </row>
    <row r="491" spans="1:29" ht="13.2">
      <c r="A491" s="113"/>
      <c r="AA491" s="178"/>
      <c r="AB491" s="178"/>
      <c r="AC491" s="178"/>
    </row>
    <row r="492" spans="1:29" ht="13.2">
      <c r="A492" s="113"/>
      <c r="AA492" s="178"/>
      <c r="AB492" s="178"/>
      <c r="AC492" s="178"/>
    </row>
    <row r="493" spans="1:29" ht="13.2">
      <c r="A493" s="113"/>
      <c r="AA493" s="178"/>
      <c r="AB493" s="178"/>
      <c r="AC493" s="178"/>
    </row>
    <row r="494" spans="1:29" ht="13.2">
      <c r="A494" s="113"/>
      <c r="AA494" s="178"/>
      <c r="AB494" s="178"/>
      <c r="AC494" s="178"/>
    </row>
    <row r="495" spans="1:29" ht="13.2">
      <c r="A495" s="113"/>
      <c r="AA495" s="178"/>
      <c r="AB495" s="178"/>
      <c r="AC495" s="178"/>
    </row>
    <row r="496" spans="1:29" ht="13.2">
      <c r="A496" s="113"/>
      <c r="AA496" s="178"/>
      <c r="AB496" s="178"/>
      <c r="AC496" s="178"/>
    </row>
    <row r="497" spans="1:29" ht="13.2">
      <c r="A497" s="113"/>
      <c r="AA497" s="178"/>
      <c r="AB497" s="178"/>
      <c r="AC497" s="178"/>
    </row>
    <row r="498" spans="1:29" ht="13.2">
      <c r="A498" s="113"/>
      <c r="AA498" s="178"/>
      <c r="AB498" s="178"/>
      <c r="AC498" s="178"/>
    </row>
    <row r="499" spans="1:29" ht="13.2">
      <c r="A499" s="113"/>
      <c r="AA499" s="178"/>
      <c r="AB499" s="178"/>
      <c r="AC499" s="178"/>
    </row>
    <row r="500" spans="1:29" ht="13.2">
      <c r="A500" s="113"/>
      <c r="AA500" s="178"/>
      <c r="AB500" s="178"/>
      <c r="AC500" s="178"/>
    </row>
    <row r="501" spans="1:29" ht="13.2">
      <c r="A501" s="113"/>
      <c r="AA501" s="178"/>
      <c r="AB501" s="178"/>
      <c r="AC501" s="178"/>
    </row>
    <row r="502" spans="1:29" ht="13.2">
      <c r="A502" s="113"/>
      <c r="AA502" s="178"/>
      <c r="AB502" s="178"/>
      <c r="AC502" s="178"/>
    </row>
    <row r="503" spans="1:29" ht="13.2">
      <c r="A503" s="113"/>
      <c r="AA503" s="178"/>
      <c r="AB503" s="178"/>
      <c r="AC503" s="178"/>
    </row>
    <row r="504" spans="1:29" ht="13.2">
      <c r="A504" s="113"/>
      <c r="AA504" s="178"/>
      <c r="AB504" s="178"/>
      <c r="AC504" s="178"/>
    </row>
    <row r="505" spans="1:29" ht="13.2">
      <c r="A505" s="113"/>
      <c r="AA505" s="178"/>
      <c r="AB505" s="178"/>
      <c r="AC505" s="178"/>
    </row>
    <row r="506" spans="1:29" ht="13.2">
      <c r="A506" s="113"/>
      <c r="AA506" s="178"/>
      <c r="AB506" s="178"/>
      <c r="AC506" s="178"/>
    </row>
    <row r="507" spans="1:29" ht="13.2">
      <c r="A507" s="113"/>
      <c r="AA507" s="178"/>
      <c r="AB507" s="178"/>
      <c r="AC507" s="178"/>
    </row>
    <row r="508" spans="1:29" ht="13.2">
      <c r="A508" s="113"/>
      <c r="AA508" s="178"/>
      <c r="AB508" s="178"/>
      <c r="AC508" s="178"/>
    </row>
    <row r="509" spans="1:29" ht="13.2">
      <c r="A509" s="113"/>
      <c r="AA509" s="178"/>
      <c r="AB509" s="178"/>
      <c r="AC509" s="178"/>
    </row>
    <row r="510" spans="1:29" ht="13.2">
      <c r="A510" s="113"/>
      <c r="AA510" s="178"/>
      <c r="AB510" s="178"/>
      <c r="AC510" s="178"/>
    </row>
    <row r="511" spans="1:29" ht="13.2">
      <c r="A511" s="113"/>
      <c r="AA511" s="178"/>
      <c r="AB511" s="178"/>
      <c r="AC511" s="178"/>
    </row>
    <row r="512" spans="1:29" ht="13.2">
      <c r="A512" s="113"/>
      <c r="AA512" s="178"/>
      <c r="AB512" s="178"/>
      <c r="AC512" s="178"/>
    </row>
    <row r="513" spans="1:29" ht="13.2">
      <c r="A513" s="113"/>
      <c r="AA513" s="178"/>
      <c r="AB513" s="178"/>
      <c r="AC513" s="178"/>
    </row>
    <row r="514" spans="1:29" ht="13.2">
      <c r="A514" s="113"/>
      <c r="AA514" s="178"/>
      <c r="AB514" s="178"/>
      <c r="AC514" s="178"/>
    </row>
    <row r="515" spans="1:29" ht="13.2">
      <c r="A515" s="113"/>
      <c r="AA515" s="178"/>
      <c r="AB515" s="178"/>
      <c r="AC515" s="178"/>
    </row>
    <row r="516" spans="1:29" ht="13.2">
      <c r="A516" s="113"/>
      <c r="AA516" s="178"/>
      <c r="AB516" s="178"/>
      <c r="AC516" s="178"/>
    </row>
    <row r="517" spans="1:29" ht="13.2">
      <c r="A517" s="113"/>
      <c r="AA517" s="178"/>
      <c r="AB517" s="178"/>
      <c r="AC517" s="178"/>
    </row>
    <row r="518" spans="1:29" ht="13.2">
      <c r="A518" s="113"/>
      <c r="AA518" s="178"/>
      <c r="AB518" s="178"/>
      <c r="AC518" s="178"/>
    </row>
    <row r="519" spans="1:29" ht="13.2">
      <c r="A519" s="113"/>
      <c r="AA519" s="178"/>
      <c r="AB519" s="178"/>
      <c r="AC519" s="178"/>
    </row>
    <row r="520" spans="1:29" ht="13.2">
      <c r="A520" s="113"/>
      <c r="AA520" s="178"/>
      <c r="AB520" s="178"/>
      <c r="AC520" s="178"/>
    </row>
    <row r="521" spans="1:29" ht="13.2">
      <c r="A521" s="113"/>
      <c r="AA521" s="178"/>
      <c r="AB521" s="178"/>
      <c r="AC521" s="178"/>
    </row>
    <row r="522" spans="1:29" ht="13.2">
      <c r="A522" s="113"/>
      <c r="AA522" s="178"/>
      <c r="AB522" s="178"/>
      <c r="AC522" s="178"/>
    </row>
    <row r="523" spans="1:29" ht="13.2">
      <c r="A523" s="113"/>
      <c r="AA523" s="178"/>
      <c r="AB523" s="178"/>
      <c r="AC523" s="178"/>
    </row>
    <row r="524" spans="1:29" ht="13.2">
      <c r="A524" s="113"/>
      <c r="AA524" s="178"/>
      <c r="AB524" s="178"/>
      <c r="AC524" s="178"/>
    </row>
    <row r="525" spans="1:29" ht="13.2">
      <c r="A525" s="113"/>
      <c r="AA525" s="178"/>
      <c r="AB525" s="178"/>
      <c r="AC525" s="178"/>
    </row>
    <row r="526" spans="1:29" ht="13.2">
      <c r="A526" s="113"/>
      <c r="AA526" s="178"/>
      <c r="AB526" s="178"/>
      <c r="AC526" s="178"/>
    </row>
    <row r="527" spans="1:29" ht="13.2">
      <c r="A527" s="113"/>
      <c r="AA527" s="178"/>
      <c r="AB527" s="178"/>
      <c r="AC527" s="178"/>
    </row>
    <row r="528" spans="1:29" ht="13.2">
      <c r="A528" s="113"/>
      <c r="AA528" s="178"/>
      <c r="AB528" s="178"/>
      <c r="AC528" s="178"/>
    </row>
    <row r="529" spans="1:29" ht="13.2">
      <c r="A529" s="113"/>
      <c r="AA529" s="178"/>
      <c r="AB529" s="178"/>
      <c r="AC529" s="178"/>
    </row>
    <row r="530" spans="1:29" ht="13.2">
      <c r="A530" s="113"/>
      <c r="AA530" s="178"/>
      <c r="AB530" s="178"/>
      <c r="AC530" s="178"/>
    </row>
    <row r="531" spans="1:29" ht="13.2">
      <c r="A531" s="113"/>
      <c r="AA531" s="178"/>
      <c r="AB531" s="178"/>
      <c r="AC531" s="178"/>
    </row>
    <row r="532" spans="1:29" ht="13.2">
      <c r="A532" s="113"/>
      <c r="AA532" s="178"/>
      <c r="AB532" s="178"/>
      <c r="AC532" s="178"/>
    </row>
    <row r="533" spans="1:29" ht="13.2">
      <c r="A533" s="113"/>
      <c r="AA533" s="178"/>
      <c r="AB533" s="178"/>
      <c r="AC533" s="178"/>
    </row>
    <row r="534" spans="1:29" ht="13.2">
      <c r="A534" s="113"/>
      <c r="AA534" s="178"/>
      <c r="AB534" s="178"/>
      <c r="AC534" s="178"/>
    </row>
    <row r="535" spans="1:29" ht="13.2">
      <c r="A535" s="113"/>
      <c r="AA535" s="178"/>
      <c r="AB535" s="178"/>
      <c r="AC535" s="178"/>
    </row>
    <row r="536" spans="1:29" ht="13.2">
      <c r="A536" s="113"/>
      <c r="AA536" s="178"/>
      <c r="AB536" s="178"/>
      <c r="AC536" s="178"/>
    </row>
    <row r="537" spans="1:29" ht="13.2">
      <c r="A537" s="113"/>
      <c r="AA537" s="178"/>
      <c r="AB537" s="178"/>
      <c r="AC537" s="178"/>
    </row>
    <row r="538" spans="1:29" ht="13.2">
      <c r="A538" s="113"/>
      <c r="AA538" s="178"/>
      <c r="AB538" s="178"/>
      <c r="AC538" s="178"/>
    </row>
    <row r="539" spans="1:29" ht="13.2">
      <c r="A539" s="113"/>
      <c r="AA539" s="178"/>
      <c r="AB539" s="178"/>
      <c r="AC539" s="178"/>
    </row>
    <row r="540" spans="1:29" ht="13.2">
      <c r="A540" s="113"/>
      <c r="AA540" s="178"/>
      <c r="AB540" s="178"/>
      <c r="AC540" s="178"/>
    </row>
    <row r="541" spans="1:29" ht="13.2">
      <c r="A541" s="113"/>
      <c r="AA541" s="178"/>
      <c r="AB541" s="178"/>
      <c r="AC541" s="178"/>
    </row>
    <row r="542" spans="1:29" ht="13.2">
      <c r="A542" s="113"/>
      <c r="AA542" s="178"/>
      <c r="AB542" s="178"/>
      <c r="AC542" s="178"/>
    </row>
    <row r="543" spans="1:29" ht="13.2">
      <c r="A543" s="113"/>
      <c r="AA543" s="178"/>
      <c r="AB543" s="178"/>
      <c r="AC543" s="178"/>
    </row>
    <row r="544" spans="1:29" ht="13.2">
      <c r="A544" s="113"/>
      <c r="AA544" s="178"/>
      <c r="AB544" s="178"/>
      <c r="AC544" s="178"/>
    </row>
    <row r="545" spans="1:29" ht="13.2">
      <c r="A545" s="113"/>
      <c r="AA545" s="178"/>
      <c r="AB545" s="178"/>
      <c r="AC545" s="178"/>
    </row>
    <row r="546" spans="1:29" ht="13.2">
      <c r="A546" s="113"/>
      <c r="AA546" s="178"/>
      <c r="AB546" s="178"/>
      <c r="AC546" s="178"/>
    </row>
    <row r="547" spans="1:29" ht="13.2">
      <c r="A547" s="113"/>
      <c r="AA547" s="178"/>
      <c r="AB547" s="178"/>
      <c r="AC547" s="178"/>
    </row>
    <row r="548" spans="1:29" ht="13.2">
      <c r="A548" s="113"/>
      <c r="AA548" s="178"/>
      <c r="AB548" s="178"/>
      <c r="AC548" s="178"/>
    </row>
    <row r="549" spans="1:29" ht="13.2">
      <c r="A549" s="113"/>
      <c r="AA549" s="178"/>
      <c r="AB549" s="178"/>
      <c r="AC549" s="178"/>
    </row>
    <row r="550" spans="1:29" ht="13.2">
      <c r="A550" s="113"/>
      <c r="AA550" s="178"/>
      <c r="AB550" s="178"/>
      <c r="AC550" s="178"/>
    </row>
    <row r="551" spans="1:29" ht="13.2">
      <c r="A551" s="113"/>
      <c r="AA551" s="178"/>
      <c r="AB551" s="178"/>
      <c r="AC551" s="178"/>
    </row>
    <row r="552" spans="1:29" ht="13.2">
      <c r="A552" s="113"/>
      <c r="AA552" s="178"/>
      <c r="AB552" s="178"/>
      <c r="AC552" s="178"/>
    </row>
    <row r="553" spans="1:29" ht="13.2">
      <c r="A553" s="113"/>
      <c r="AA553" s="178"/>
      <c r="AB553" s="178"/>
      <c r="AC553" s="178"/>
    </row>
    <row r="554" spans="1:29" ht="13.2">
      <c r="A554" s="113"/>
      <c r="AA554" s="178"/>
      <c r="AB554" s="178"/>
      <c r="AC554" s="178"/>
    </row>
    <row r="555" spans="1:29" ht="13.2">
      <c r="A555" s="113"/>
      <c r="AA555" s="178"/>
      <c r="AB555" s="178"/>
      <c r="AC555" s="178"/>
    </row>
    <row r="556" spans="1:29" ht="13.2">
      <c r="A556" s="113"/>
      <c r="AA556" s="178"/>
      <c r="AB556" s="178"/>
      <c r="AC556" s="178"/>
    </row>
    <row r="557" spans="1:29" ht="13.2">
      <c r="A557" s="113"/>
      <c r="AA557" s="178"/>
      <c r="AB557" s="178"/>
      <c r="AC557" s="178"/>
    </row>
    <row r="558" spans="1:29" ht="13.2">
      <c r="A558" s="113"/>
      <c r="AA558" s="178"/>
      <c r="AB558" s="178"/>
      <c r="AC558" s="178"/>
    </row>
    <row r="559" spans="1:29" ht="13.2">
      <c r="A559" s="113"/>
      <c r="AA559" s="178"/>
      <c r="AB559" s="178"/>
      <c r="AC559" s="178"/>
    </row>
    <row r="560" spans="1:29" ht="13.2">
      <c r="A560" s="113"/>
      <c r="AA560" s="178"/>
      <c r="AB560" s="178"/>
      <c r="AC560" s="178"/>
    </row>
    <row r="561" spans="1:29" ht="13.2">
      <c r="A561" s="113"/>
      <c r="AA561" s="178"/>
      <c r="AB561" s="178"/>
      <c r="AC561" s="178"/>
    </row>
    <row r="562" spans="1:29" ht="13.2">
      <c r="A562" s="113"/>
      <c r="AA562" s="178"/>
      <c r="AB562" s="178"/>
      <c r="AC562" s="178"/>
    </row>
    <row r="563" spans="1:29" ht="13.2">
      <c r="A563" s="113"/>
      <c r="AA563" s="178"/>
      <c r="AB563" s="178"/>
      <c r="AC563" s="178"/>
    </row>
    <row r="564" spans="1:29" ht="13.2">
      <c r="A564" s="113"/>
      <c r="AA564" s="178"/>
      <c r="AB564" s="178"/>
      <c r="AC564" s="178"/>
    </row>
    <row r="565" spans="1:29" ht="13.2">
      <c r="A565" s="113"/>
      <c r="AA565" s="178"/>
      <c r="AB565" s="178"/>
      <c r="AC565" s="178"/>
    </row>
    <row r="566" spans="1:29" ht="13.2">
      <c r="A566" s="113"/>
      <c r="AA566" s="178"/>
      <c r="AB566" s="178"/>
      <c r="AC566" s="178"/>
    </row>
    <row r="567" spans="1:29" ht="13.2">
      <c r="A567" s="113"/>
      <c r="AA567" s="178"/>
      <c r="AB567" s="178"/>
      <c r="AC567" s="178"/>
    </row>
    <row r="568" spans="1:29" ht="13.2">
      <c r="A568" s="113"/>
      <c r="AA568" s="178"/>
      <c r="AB568" s="178"/>
      <c r="AC568" s="178"/>
    </row>
    <row r="569" spans="1:29" ht="13.2">
      <c r="A569" s="113"/>
      <c r="AA569" s="178"/>
      <c r="AB569" s="178"/>
      <c r="AC569" s="178"/>
    </row>
    <row r="570" spans="1:29" ht="13.2">
      <c r="A570" s="113"/>
      <c r="AA570" s="178"/>
      <c r="AB570" s="178"/>
      <c r="AC570" s="178"/>
    </row>
    <row r="571" spans="1:29" ht="13.2">
      <c r="A571" s="113"/>
      <c r="AA571" s="178"/>
      <c r="AB571" s="178"/>
      <c r="AC571" s="178"/>
    </row>
    <row r="572" spans="1:29" ht="13.2">
      <c r="A572" s="113"/>
      <c r="AA572" s="178"/>
      <c r="AB572" s="178"/>
      <c r="AC572" s="178"/>
    </row>
    <row r="573" spans="1:29" ht="13.2">
      <c r="A573" s="113"/>
      <c r="AA573" s="178"/>
      <c r="AB573" s="178"/>
      <c r="AC573" s="178"/>
    </row>
    <row r="574" spans="1:29" ht="13.2">
      <c r="A574" s="113"/>
      <c r="AA574" s="178"/>
      <c r="AB574" s="178"/>
      <c r="AC574" s="178"/>
    </row>
    <row r="575" spans="1:29" ht="13.2">
      <c r="A575" s="113"/>
      <c r="AA575" s="178"/>
      <c r="AB575" s="178"/>
      <c r="AC575" s="178"/>
    </row>
    <row r="576" spans="1:29" ht="13.2">
      <c r="A576" s="113"/>
      <c r="AA576" s="178"/>
      <c r="AB576" s="178"/>
      <c r="AC576" s="178"/>
    </row>
    <row r="577" spans="1:29" ht="13.2">
      <c r="A577" s="113"/>
      <c r="AA577" s="178"/>
      <c r="AB577" s="178"/>
      <c r="AC577" s="178"/>
    </row>
    <row r="578" spans="1:29" ht="13.2">
      <c r="A578" s="113"/>
      <c r="AA578" s="178"/>
      <c r="AB578" s="178"/>
      <c r="AC578" s="178"/>
    </row>
    <row r="579" spans="1:29" ht="13.2">
      <c r="A579" s="113"/>
      <c r="AA579" s="178"/>
      <c r="AB579" s="178"/>
      <c r="AC579" s="178"/>
    </row>
    <row r="580" spans="1:29" ht="13.2">
      <c r="A580" s="113"/>
      <c r="AA580" s="178"/>
      <c r="AB580" s="178"/>
      <c r="AC580" s="178"/>
    </row>
    <row r="581" spans="1:29" ht="13.2">
      <c r="A581" s="113"/>
      <c r="AA581" s="178"/>
      <c r="AB581" s="178"/>
      <c r="AC581" s="178"/>
    </row>
    <row r="582" spans="1:29" ht="13.2">
      <c r="A582" s="113"/>
      <c r="AA582" s="178"/>
      <c r="AB582" s="178"/>
      <c r="AC582" s="178"/>
    </row>
    <row r="583" spans="1:29" ht="13.2">
      <c r="A583" s="113"/>
      <c r="AA583" s="178"/>
      <c r="AB583" s="178"/>
      <c r="AC583" s="178"/>
    </row>
    <row r="584" spans="1:29" ht="13.2">
      <c r="A584" s="113"/>
      <c r="AA584" s="178"/>
      <c r="AB584" s="178"/>
      <c r="AC584" s="178"/>
    </row>
    <row r="585" spans="1:29" ht="13.2">
      <c r="A585" s="113"/>
      <c r="AA585" s="178"/>
      <c r="AB585" s="178"/>
      <c r="AC585" s="178"/>
    </row>
    <row r="586" spans="1:29" ht="13.2">
      <c r="A586" s="113"/>
      <c r="AA586" s="178"/>
      <c r="AB586" s="178"/>
      <c r="AC586" s="178"/>
    </row>
    <row r="587" spans="1:29" ht="13.2">
      <c r="A587" s="113"/>
      <c r="AA587" s="178"/>
      <c r="AB587" s="178"/>
      <c r="AC587" s="178"/>
    </row>
    <row r="588" spans="1:29" ht="13.2">
      <c r="A588" s="113"/>
      <c r="AA588" s="178"/>
      <c r="AB588" s="178"/>
      <c r="AC588" s="178"/>
    </row>
    <row r="589" spans="1:29" ht="13.2">
      <c r="A589" s="113"/>
      <c r="AA589" s="178"/>
      <c r="AB589" s="178"/>
      <c r="AC589" s="178"/>
    </row>
    <row r="590" spans="1:29" ht="13.2">
      <c r="A590" s="113"/>
      <c r="AA590" s="178"/>
      <c r="AB590" s="178"/>
      <c r="AC590" s="178"/>
    </row>
    <row r="591" spans="1:29" ht="13.2">
      <c r="A591" s="113"/>
      <c r="AA591" s="178"/>
      <c r="AB591" s="178"/>
      <c r="AC591" s="178"/>
    </row>
    <row r="592" spans="1:29" ht="13.2">
      <c r="A592" s="113"/>
      <c r="AA592" s="178"/>
      <c r="AB592" s="178"/>
      <c r="AC592" s="178"/>
    </row>
    <row r="593" spans="1:29" ht="13.2">
      <c r="A593" s="113"/>
      <c r="AA593" s="178"/>
      <c r="AB593" s="178"/>
      <c r="AC593" s="178"/>
    </row>
    <row r="594" spans="1:29" ht="13.2">
      <c r="A594" s="113"/>
      <c r="AA594" s="178"/>
      <c r="AB594" s="178"/>
      <c r="AC594" s="178"/>
    </row>
    <row r="595" spans="1:29" ht="13.2">
      <c r="A595" s="113"/>
      <c r="AA595" s="178"/>
      <c r="AB595" s="178"/>
      <c r="AC595" s="178"/>
    </row>
    <row r="596" spans="1:29" ht="13.2">
      <c r="A596" s="113"/>
      <c r="AA596" s="178"/>
      <c r="AB596" s="178"/>
      <c r="AC596" s="178"/>
    </row>
    <row r="597" spans="1:29" ht="13.2">
      <c r="A597" s="113"/>
      <c r="AA597" s="178"/>
      <c r="AB597" s="178"/>
      <c r="AC597" s="178"/>
    </row>
    <row r="598" spans="1:29" ht="13.2">
      <c r="A598" s="113"/>
      <c r="AA598" s="178"/>
      <c r="AB598" s="178"/>
      <c r="AC598" s="178"/>
    </row>
    <row r="599" spans="1:29" ht="13.2">
      <c r="A599" s="113"/>
      <c r="AA599" s="178"/>
      <c r="AB599" s="178"/>
      <c r="AC599" s="178"/>
    </row>
    <row r="600" spans="1:29" ht="13.2">
      <c r="A600" s="113"/>
      <c r="AA600" s="178"/>
      <c r="AB600" s="178"/>
      <c r="AC600" s="178"/>
    </row>
    <row r="601" spans="1:29" ht="13.2">
      <c r="A601" s="113"/>
      <c r="AA601" s="178"/>
      <c r="AB601" s="178"/>
      <c r="AC601" s="178"/>
    </row>
    <row r="602" spans="1:29" ht="13.2">
      <c r="A602" s="113"/>
      <c r="AA602" s="178"/>
      <c r="AB602" s="178"/>
      <c r="AC602" s="178"/>
    </row>
    <row r="603" spans="1:29" ht="13.2">
      <c r="A603" s="113"/>
      <c r="AA603" s="178"/>
      <c r="AB603" s="178"/>
      <c r="AC603" s="178"/>
    </row>
    <row r="604" spans="1:29" ht="13.2">
      <c r="A604" s="113"/>
      <c r="AA604" s="178"/>
      <c r="AB604" s="178"/>
      <c r="AC604" s="178"/>
    </row>
    <row r="605" spans="1:29" ht="13.2">
      <c r="A605" s="113"/>
      <c r="AA605" s="178"/>
      <c r="AB605" s="178"/>
      <c r="AC605" s="178"/>
    </row>
    <row r="606" spans="1:29" ht="13.2">
      <c r="A606" s="113"/>
      <c r="AA606" s="178"/>
      <c r="AB606" s="178"/>
      <c r="AC606" s="178"/>
    </row>
    <row r="607" spans="1:29" ht="13.2">
      <c r="A607" s="113"/>
      <c r="AA607" s="178"/>
      <c r="AB607" s="178"/>
      <c r="AC607" s="178"/>
    </row>
    <row r="608" spans="1:29" ht="13.2">
      <c r="A608" s="113"/>
      <c r="AA608" s="178"/>
      <c r="AB608" s="178"/>
      <c r="AC608" s="178"/>
    </row>
    <row r="609" spans="1:29" ht="13.2">
      <c r="A609" s="113"/>
      <c r="AA609" s="178"/>
      <c r="AB609" s="178"/>
      <c r="AC609" s="178"/>
    </row>
    <row r="610" spans="1:29" ht="13.2">
      <c r="A610" s="113"/>
      <c r="AA610" s="178"/>
      <c r="AB610" s="178"/>
      <c r="AC610" s="178"/>
    </row>
    <row r="611" spans="1:29" ht="13.2">
      <c r="A611" s="113"/>
      <c r="AA611" s="178"/>
      <c r="AB611" s="178"/>
      <c r="AC611" s="178"/>
    </row>
    <row r="612" spans="1:29" ht="13.2">
      <c r="A612" s="113"/>
      <c r="AA612" s="178"/>
      <c r="AB612" s="178"/>
      <c r="AC612" s="178"/>
    </row>
    <row r="613" spans="1:29" ht="13.2">
      <c r="A613" s="113"/>
      <c r="AA613" s="178"/>
      <c r="AB613" s="178"/>
      <c r="AC613" s="178"/>
    </row>
    <row r="614" spans="1:29" ht="13.2">
      <c r="A614" s="113"/>
      <c r="AA614" s="178"/>
      <c r="AB614" s="178"/>
      <c r="AC614" s="178"/>
    </row>
    <row r="615" spans="1:29" ht="13.2">
      <c r="A615" s="113"/>
      <c r="AA615" s="178"/>
      <c r="AB615" s="178"/>
      <c r="AC615" s="178"/>
    </row>
    <row r="616" spans="1:29" ht="13.2">
      <c r="A616" s="113"/>
      <c r="AA616" s="178"/>
      <c r="AB616" s="178"/>
      <c r="AC616" s="178"/>
    </row>
    <row r="617" spans="1:29" ht="13.2">
      <c r="A617" s="113"/>
      <c r="AA617" s="178"/>
      <c r="AB617" s="178"/>
      <c r="AC617" s="178"/>
    </row>
    <row r="618" spans="1:29" ht="13.2">
      <c r="A618" s="113"/>
      <c r="AA618" s="178"/>
      <c r="AB618" s="178"/>
      <c r="AC618" s="178"/>
    </row>
    <row r="619" spans="1:29" ht="13.2">
      <c r="A619" s="113"/>
      <c r="AA619" s="178"/>
      <c r="AB619" s="178"/>
      <c r="AC619" s="178"/>
    </row>
    <row r="620" spans="1:29" ht="13.2">
      <c r="A620" s="113"/>
      <c r="AA620" s="178"/>
      <c r="AB620" s="178"/>
      <c r="AC620" s="178"/>
    </row>
    <row r="621" spans="1:29" ht="13.2">
      <c r="A621" s="113"/>
      <c r="AA621" s="178"/>
      <c r="AB621" s="178"/>
      <c r="AC621" s="178"/>
    </row>
    <row r="622" spans="1:29" ht="13.2">
      <c r="A622" s="113"/>
      <c r="AA622" s="178"/>
      <c r="AB622" s="178"/>
      <c r="AC622" s="178"/>
    </row>
    <row r="623" spans="1:29" ht="13.2">
      <c r="A623" s="113"/>
      <c r="AA623" s="178"/>
      <c r="AB623" s="178"/>
      <c r="AC623" s="178"/>
    </row>
    <row r="624" spans="1:29" ht="13.2">
      <c r="A624" s="113"/>
      <c r="AA624" s="178"/>
      <c r="AB624" s="178"/>
      <c r="AC624" s="178"/>
    </row>
    <row r="625" spans="1:29" ht="13.2">
      <c r="A625" s="113"/>
      <c r="AA625" s="178"/>
      <c r="AB625" s="178"/>
      <c r="AC625" s="178"/>
    </row>
    <row r="626" spans="1:29" ht="13.2">
      <c r="A626" s="113"/>
      <c r="AA626" s="178"/>
      <c r="AB626" s="178"/>
      <c r="AC626" s="178"/>
    </row>
    <row r="627" spans="1:29" ht="13.2">
      <c r="A627" s="113"/>
      <c r="AA627" s="178"/>
      <c r="AB627" s="178"/>
      <c r="AC627" s="178"/>
    </row>
    <row r="628" spans="1:29" ht="13.2">
      <c r="A628" s="113"/>
      <c r="AA628" s="178"/>
      <c r="AB628" s="178"/>
      <c r="AC628" s="178"/>
    </row>
    <row r="629" spans="1:29" ht="13.2">
      <c r="A629" s="113"/>
      <c r="AA629" s="178"/>
      <c r="AB629" s="178"/>
      <c r="AC629" s="178"/>
    </row>
    <row r="630" spans="1:29" ht="13.2">
      <c r="A630" s="113"/>
      <c r="AA630" s="178"/>
      <c r="AB630" s="178"/>
      <c r="AC630" s="178"/>
    </row>
    <row r="631" spans="1:29" ht="13.2">
      <c r="A631" s="113"/>
      <c r="AA631" s="178"/>
      <c r="AB631" s="178"/>
      <c r="AC631" s="178"/>
    </row>
    <row r="632" spans="1:29" ht="13.2">
      <c r="A632" s="113"/>
      <c r="AA632" s="178"/>
      <c r="AB632" s="178"/>
      <c r="AC632" s="178"/>
    </row>
    <row r="633" spans="1:29" ht="13.2">
      <c r="A633" s="113"/>
      <c r="AA633" s="178"/>
      <c r="AB633" s="178"/>
      <c r="AC633" s="178"/>
    </row>
    <row r="634" spans="1:29" ht="13.2">
      <c r="A634" s="113"/>
      <c r="AA634" s="178"/>
      <c r="AB634" s="178"/>
      <c r="AC634" s="178"/>
    </row>
    <row r="635" spans="1:29" ht="13.2">
      <c r="A635" s="113"/>
      <c r="AA635" s="178"/>
      <c r="AB635" s="178"/>
      <c r="AC635" s="178"/>
    </row>
    <row r="636" spans="1:29" ht="13.2">
      <c r="A636" s="113"/>
      <c r="AA636" s="178"/>
      <c r="AB636" s="178"/>
      <c r="AC636" s="178"/>
    </row>
    <row r="637" spans="1:29" ht="13.2">
      <c r="A637" s="113"/>
      <c r="AA637" s="178"/>
      <c r="AB637" s="178"/>
      <c r="AC637" s="178"/>
    </row>
    <row r="638" spans="1:29" ht="13.2">
      <c r="A638" s="113"/>
      <c r="AA638" s="178"/>
      <c r="AB638" s="178"/>
      <c r="AC638" s="178"/>
    </row>
    <row r="639" spans="1:29" ht="13.2">
      <c r="A639" s="113"/>
      <c r="AA639" s="178"/>
      <c r="AB639" s="178"/>
      <c r="AC639" s="178"/>
    </row>
    <row r="640" spans="1:29" ht="13.2">
      <c r="A640" s="113"/>
      <c r="AA640" s="178"/>
      <c r="AB640" s="178"/>
      <c r="AC640" s="178"/>
    </row>
    <row r="641" spans="1:29" ht="13.2">
      <c r="A641" s="113"/>
      <c r="AA641" s="178"/>
      <c r="AB641" s="178"/>
      <c r="AC641" s="178"/>
    </row>
    <row r="642" spans="1:29" ht="13.2">
      <c r="A642" s="113"/>
      <c r="AA642" s="178"/>
      <c r="AB642" s="178"/>
      <c r="AC642" s="178"/>
    </row>
    <row r="643" spans="1:29" ht="13.2">
      <c r="A643" s="113"/>
      <c r="AA643" s="178"/>
      <c r="AB643" s="178"/>
      <c r="AC643" s="178"/>
    </row>
    <row r="644" spans="1:29" ht="13.2">
      <c r="A644" s="113"/>
      <c r="AA644" s="178"/>
      <c r="AB644" s="178"/>
      <c r="AC644" s="178"/>
    </row>
    <row r="645" spans="1:29" ht="13.2">
      <c r="A645" s="113"/>
      <c r="AA645" s="178"/>
      <c r="AB645" s="178"/>
      <c r="AC645" s="178"/>
    </row>
    <row r="646" spans="1:29" ht="13.2">
      <c r="A646" s="113"/>
      <c r="AA646" s="178"/>
      <c r="AB646" s="178"/>
      <c r="AC646" s="178"/>
    </row>
    <row r="647" spans="1:29" ht="13.2">
      <c r="A647" s="113"/>
      <c r="AA647" s="178"/>
      <c r="AB647" s="178"/>
      <c r="AC647" s="178"/>
    </row>
    <row r="648" spans="1:29" ht="13.2">
      <c r="A648" s="113"/>
      <c r="AA648" s="178"/>
      <c r="AB648" s="178"/>
      <c r="AC648" s="178"/>
    </row>
    <row r="649" spans="1:29" ht="13.2">
      <c r="A649" s="113"/>
      <c r="AA649" s="178"/>
      <c r="AB649" s="178"/>
      <c r="AC649" s="178"/>
    </row>
    <row r="650" spans="1:29" ht="13.2">
      <c r="A650" s="113"/>
      <c r="AA650" s="178"/>
      <c r="AB650" s="178"/>
      <c r="AC650" s="178"/>
    </row>
    <row r="651" spans="1:29" ht="13.2">
      <c r="A651" s="113"/>
      <c r="AA651" s="178"/>
      <c r="AB651" s="178"/>
      <c r="AC651" s="178"/>
    </row>
    <row r="652" spans="1:29" ht="13.2">
      <c r="A652" s="113"/>
      <c r="AA652" s="178"/>
      <c r="AB652" s="178"/>
      <c r="AC652" s="178"/>
    </row>
    <row r="653" spans="1:29" ht="13.2">
      <c r="A653" s="113"/>
      <c r="AA653" s="178"/>
      <c r="AB653" s="178"/>
      <c r="AC653" s="178"/>
    </row>
    <row r="654" spans="1:29" ht="13.2">
      <c r="A654" s="113"/>
      <c r="AA654" s="178"/>
      <c r="AB654" s="178"/>
      <c r="AC654" s="178"/>
    </row>
    <row r="655" spans="1:29" ht="13.2">
      <c r="A655" s="113"/>
      <c r="AA655" s="178"/>
      <c r="AB655" s="178"/>
      <c r="AC655" s="178"/>
    </row>
    <row r="656" spans="1:29" ht="13.2">
      <c r="A656" s="113"/>
      <c r="AA656" s="178"/>
      <c r="AB656" s="178"/>
      <c r="AC656" s="178"/>
    </row>
    <row r="657" spans="1:29" ht="13.2">
      <c r="A657" s="113"/>
      <c r="AA657" s="178"/>
      <c r="AB657" s="178"/>
      <c r="AC657" s="178"/>
    </row>
    <row r="658" spans="1:29" ht="13.2">
      <c r="A658" s="113"/>
      <c r="AA658" s="178"/>
      <c r="AB658" s="178"/>
      <c r="AC658" s="178"/>
    </row>
    <row r="659" spans="1:29" ht="13.2">
      <c r="A659" s="113"/>
      <c r="AA659" s="178"/>
      <c r="AB659" s="178"/>
      <c r="AC659" s="178"/>
    </row>
    <row r="660" spans="1:29" ht="13.2">
      <c r="A660" s="113"/>
      <c r="AA660" s="178"/>
      <c r="AB660" s="178"/>
      <c r="AC660" s="178"/>
    </row>
    <row r="661" spans="1:29" ht="13.2">
      <c r="A661" s="113"/>
      <c r="AA661" s="178"/>
      <c r="AB661" s="178"/>
      <c r="AC661" s="178"/>
    </row>
    <row r="662" spans="1:29" ht="13.2">
      <c r="A662" s="113"/>
      <c r="AA662" s="178"/>
      <c r="AB662" s="178"/>
      <c r="AC662" s="178"/>
    </row>
    <row r="663" spans="1:29" ht="13.2">
      <c r="A663" s="113"/>
      <c r="AA663" s="178"/>
      <c r="AB663" s="178"/>
      <c r="AC663" s="178"/>
    </row>
    <row r="664" spans="1:29" ht="13.2">
      <c r="A664" s="113"/>
      <c r="AA664" s="178"/>
      <c r="AB664" s="178"/>
      <c r="AC664" s="178"/>
    </row>
    <row r="665" spans="1:29" ht="13.2">
      <c r="A665" s="113"/>
      <c r="AA665" s="178"/>
      <c r="AB665" s="178"/>
      <c r="AC665" s="178"/>
    </row>
    <row r="666" spans="1:29" ht="13.2">
      <c r="A666" s="113"/>
      <c r="AA666" s="178"/>
      <c r="AB666" s="178"/>
      <c r="AC666" s="178"/>
    </row>
    <row r="667" spans="1:29" ht="13.2">
      <c r="A667" s="113"/>
      <c r="AA667" s="178"/>
      <c r="AB667" s="178"/>
      <c r="AC667" s="178"/>
    </row>
    <row r="668" spans="1:29" ht="13.2">
      <c r="A668" s="113"/>
      <c r="AA668" s="178"/>
      <c r="AB668" s="178"/>
      <c r="AC668" s="178"/>
    </row>
    <row r="669" spans="1:29" ht="13.2">
      <c r="A669" s="113"/>
      <c r="AA669" s="178"/>
      <c r="AB669" s="178"/>
      <c r="AC669" s="178"/>
    </row>
    <row r="670" spans="1:29" ht="13.2">
      <c r="A670" s="113"/>
      <c r="AA670" s="178"/>
      <c r="AB670" s="178"/>
      <c r="AC670" s="178"/>
    </row>
    <row r="671" spans="1:29" ht="13.2">
      <c r="A671" s="113"/>
      <c r="AA671" s="178"/>
      <c r="AB671" s="178"/>
      <c r="AC671" s="178"/>
    </row>
    <row r="672" spans="1:29" ht="13.2">
      <c r="A672" s="113"/>
      <c r="AA672" s="178"/>
      <c r="AB672" s="178"/>
      <c r="AC672" s="178"/>
    </row>
    <row r="673" spans="1:29" ht="13.2">
      <c r="A673" s="113"/>
      <c r="AA673" s="178"/>
      <c r="AB673" s="178"/>
      <c r="AC673" s="178"/>
    </row>
    <row r="674" spans="1:29" ht="13.2">
      <c r="A674" s="113"/>
      <c r="AA674" s="178"/>
      <c r="AB674" s="178"/>
      <c r="AC674" s="178"/>
    </row>
    <row r="675" spans="1:29" ht="13.2">
      <c r="A675" s="113"/>
      <c r="AA675" s="178"/>
      <c r="AB675" s="178"/>
      <c r="AC675" s="178"/>
    </row>
    <row r="676" spans="1:29" ht="13.2">
      <c r="A676" s="113"/>
      <c r="AA676" s="178"/>
      <c r="AB676" s="178"/>
      <c r="AC676" s="178"/>
    </row>
    <row r="677" spans="1:29" ht="13.2">
      <c r="A677" s="113"/>
      <c r="AA677" s="178"/>
      <c r="AB677" s="178"/>
      <c r="AC677" s="178"/>
    </row>
    <row r="678" spans="1:29" ht="13.2">
      <c r="A678" s="113"/>
      <c r="AA678" s="178"/>
      <c r="AB678" s="178"/>
      <c r="AC678" s="178"/>
    </row>
    <row r="679" spans="1:29" ht="13.2">
      <c r="A679" s="113"/>
      <c r="AA679" s="178"/>
      <c r="AB679" s="178"/>
      <c r="AC679" s="178"/>
    </row>
    <row r="680" spans="1:29" ht="13.2">
      <c r="A680" s="113"/>
      <c r="AA680" s="178"/>
      <c r="AB680" s="178"/>
      <c r="AC680" s="178"/>
    </row>
    <row r="681" spans="1:29" ht="13.2">
      <c r="A681" s="113"/>
      <c r="AA681" s="178"/>
      <c r="AB681" s="178"/>
      <c r="AC681" s="178"/>
    </row>
    <row r="682" spans="1:29" ht="13.2">
      <c r="A682" s="113"/>
      <c r="AA682" s="178"/>
      <c r="AB682" s="178"/>
      <c r="AC682" s="178"/>
    </row>
    <row r="683" spans="1:29" ht="13.2">
      <c r="A683" s="113"/>
      <c r="AA683" s="178"/>
      <c r="AB683" s="178"/>
      <c r="AC683" s="178"/>
    </row>
    <row r="684" spans="1:29" ht="13.2">
      <c r="A684" s="113"/>
      <c r="AA684" s="178"/>
      <c r="AB684" s="178"/>
      <c r="AC684" s="178"/>
    </row>
    <row r="685" spans="1:29" ht="13.2">
      <c r="A685" s="113"/>
      <c r="AA685" s="178"/>
      <c r="AB685" s="178"/>
      <c r="AC685" s="178"/>
    </row>
    <row r="686" spans="1:29" ht="13.2">
      <c r="A686" s="113"/>
      <c r="AA686" s="178"/>
      <c r="AB686" s="178"/>
      <c r="AC686" s="178"/>
    </row>
    <row r="687" spans="1:29" ht="13.2">
      <c r="A687" s="113"/>
      <c r="AA687" s="178"/>
      <c r="AB687" s="178"/>
      <c r="AC687" s="178"/>
    </row>
    <row r="688" spans="1:29" ht="13.2">
      <c r="A688" s="113"/>
      <c r="AA688" s="178"/>
      <c r="AB688" s="178"/>
      <c r="AC688" s="178"/>
    </row>
    <row r="689" spans="1:29" ht="13.2">
      <c r="A689" s="113"/>
      <c r="AA689" s="178"/>
      <c r="AB689" s="178"/>
      <c r="AC689" s="178"/>
    </row>
    <row r="690" spans="1:29" ht="13.2">
      <c r="A690" s="113"/>
      <c r="AA690" s="178"/>
      <c r="AB690" s="178"/>
      <c r="AC690" s="178"/>
    </row>
    <row r="691" spans="1:29" ht="13.2">
      <c r="A691" s="113"/>
      <c r="AA691" s="178"/>
      <c r="AB691" s="178"/>
      <c r="AC691" s="178"/>
    </row>
    <row r="692" spans="1:29" ht="13.2">
      <c r="A692" s="113"/>
      <c r="AA692" s="178"/>
      <c r="AB692" s="178"/>
      <c r="AC692" s="178"/>
    </row>
    <row r="693" spans="1:29" ht="13.2">
      <c r="A693" s="113"/>
      <c r="AA693" s="178"/>
      <c r="AB693" s="178"/>
      <c r="AC693" s="178"/>
    </row>
    <row r="694" spans="1:29" ht="13.2">
      <c r="A694" s="113"/>
      <c r="AA694" s="178"/>
      <c r="AB694" s="178"/>
      <c r="AC694" s="178"/>
    </row>
    <row r="695" spans="1:29" ht="13.2">
      <c r="A695" s="113"/>
      <c r="AA695" s="178"/>
      <c r="AB695" s="178"/>
      <c r="AC695" s="178"/>
    </row>
    <row r="696" spans="1:29" ht="13.2">
      <c r="A696" s="113"/>
      <c r="AA696" s="178"/>
      <c r="AB696" s="178"/>
      <c r="AC696" s="178"/>
    </row>
    <row r="697" spans="1:29" ht="13.2">
      <c r="A697" s="113"/>
      <c r="AA697" s="178"/>
      <c r="AB697" s="178"/>
      <c r="AC697" s="178"/>
    </row>
    <row r="698" spans="1:29" ht="13.2">
      <c r="A698" s="113"/>
      <c r="AA698" s="178"/>
      <c r="AB698" s="178"/>
      <c r="AC698" s="178"/>
    </row>
    <row r="699" spans="1:29" ht="13.2">
      <c r="A699" s="113"/>
      <c r="AA699" s="178"/>
      <c r="AB699" s="178"/>
      <c r="AC699" s="178"/>
    </row>
    <row r="700" spans="1:29" ht="13.2">
      <c r="A700" s="113"/>
      <c r="AA700" s="178"/>
      <c r="AB700" s="178"/>
      <c r="AC700" s="178"/>
    </row>
    <row r="701" spans="1:29" ht="13.2">
      <c r="A701" s="113"/>
      <c r="AA701" s="178"/>
      <c r="AB701" s="178"/>
      <c r="AC701" s="178"/>
    </row>
    <row r="702" spans="1:29" ht="13.2">
      <c r="A702" s="113"/>
      <c r="AA702" s="178"/>
      <c r="AB702" s="178"/>
      <c r="AC702" s="178"/>
    </row>
    <row r="703" spans="1:29" ht="13.2">
      <c r="A703" s="113"/>
      <c r="AA703" s="178"/>
      <c r="AB703" s="178"/>
      <c r="AC703" s="178"/>
    </row>
    <row r="704" spans="1:29" ht="13.2">
      <c r="A704" s="113"/>
      <c r="AA704" s="178"/>
      <c r="AB704" s="178"/>
      <c r="AC704" s="178"/>
    </row>
    <row r="705" spans="1:29" ht="13.2">
      <c r="A705" s="113"/>
      <c r="AA705" s="178"/>
      <c r="AB705" s="178"/>
      <c r="AC705" s="178"/>
    </row>
    <row r="706" spans="1:29" ht="13.2">
      <c r="A706" s="113"/>
      <c r="AA706" s="178"/>
      <c r="AB706" s="178"/>
      <c r="AC706" s="178"/>
    </row>
    <row r="707" spans="1:29" ht="13.2">
      <c r="A707" s="113"/>
      <c r="AA707" s="178"/>
      <c r="AB707" s="178"/>
      <c r="AC707" s="178"/>
    </row>
    <row r="708" spans="1:29" ht="13.2">
      <c r="A708" s="113"/>
      <c r="AA708" s="178"/>
      <c r="AB708" s="178"/>
      <c r="AC708" s="178"/>
    </row>
    <row r="709" spans="1:29" ht="13.2">
      <c r="A709" s="113"/>
      <c r="AA709" s="178"/>
      <c r="AB709" s="178"/>
      <c r="AC709" s="178"/>
    </row>
    <row r="710" spans="1:29" ht="13.2">
      <c r="A710" s="113"/>
      <c r="AA710" s="178"/>
      <c r="AB710" s="178"/>
      <c r="AC710" s="178"/>
    </row>
    <row r="711" spans="1:29" ht="13.2">
      <c r="A711" s="113"/>
      <c r="AA711" s="178"/>
      <c r="AB711" s="178"/>
      <c r="AC711" s="178"/>
    </row>
    <row r="712" spans="1:29" ht="13.2">
      <c r="A712" s="113"/>
      <c r="AA712" s="178"/>
      <c r="AB712" s="178"/>
      <c r="AC712" s="178"/>
    </row>
    <row r="713" spans="1:29" ht="13.2">
      <c r="A713" s="113"/>
      <c r="AA713" s="178"/>
      <c r="AB713" s="178"/>
      <c r="AC713" s="178"/>
    </row>
    <row r="714" spans="1:29" ht="13.2">
      <c r="A714" s="113"/>
      <c r="AA714" s="178"/>
      <c r="AB714" s="178"/>
      <c r="AC714" s="178"/>
    </row>
    <row r="715" spans="1:29" ht="13.2">
      <c r="A715" s="113"/>
      <c r="AA715" s="178"/>
      <c r="AB715" s="178"/>
      <c r="AC715" s="178"/>
    </row>
    <row r="716" spans="1:29" ht="13.2">
      <c r="A716" s="113"/>
      <c r="AA716" s="178"/>
      <c r="AB716" s="178"/>
      <c r="AC716" s="178"/>
    </row>
    <row r="717" spans="1:29" ht="13.2">
      <c r="A717" s="113"/>
      <c r="AA717" s="178"/>
      <c r="AB717" s="178"/>
      <c r="AC717" s="178"/>
    </row>
    <row r="718" spans="1:29" ht="13.2">
      <c r="A718" s="113"/>
      <c r="AA718" s="178"/>
      <c r="AB718" s="178"/>
      <c r="AC718" s="178"/>
    </row>
    <row r="719" spans="1:29" ht="13.2">
      <c r="A719" s="113"/>
      <c r="AA719" s="178"/>
      <c r="AB719" s="178"/>
      <c r="AC719" s="178"/>
    </row>
    <row r="720" spans="1:29" ht="13.2">
      <c r="A720" s="113"/>
      <c r="AA720" s="178"/>
      <c r="AB720" s="178"/>
      <c r="AC720" s="178"/>
    </row>
    <row r="721" spans="1:29" ht="13.2">
      <c r="A721" s="113"/>
      <c r="AA721" s="178"/>
      <c r="AB721" s="178"/>
      <c r="AC721" s="178"/>
    </row>
    <row r="722" spans="1:29" ht="13.2">
      <c r="A722" s="113"/>
      <c r="AA722" s="178"/>
      <c r="AB722" s="178"/>
      <c r="AC722" s="178"/>
    </row>
    <row r="723" spans="1:29" ht="13.2">
      <c r="A723" s="113"/>
      <c r="AA723" s="178"/>
      <c r="AB723" s="178"/>
      <c r="AC723" s="178"/>
    </row>
    <row r="724" spans="1:29" ht="13.2">
      <c r="A724" s="113"/>
      <c r="AA724" s="178"/>
      <c r="AB724" s="178"/>
      <c r="AC724" s="178"/>
    </row>
    <row r="725" spans="1:29" ht="13.2">
      <c r="A725" s="113"/>
      <c r="AA725" s="178"/>
      <c r="AB725" s="178"/>
      <c r="AC725" s="178"/>
    </row>
    <row r="726" spans="1:29" ht="13.2">
      <c r="A726" s="113"/>
      <c r="AA726" s="178"/>
      <c r="AB726" s="178"/>
      <c r="AC726" s="178"/>
    </row>
    <row r="727" spans="1:29" ht="13.2">
      <c r="A727" s="113"/>
      <c r="AA727" s="178"/>
      <c r="AB727" s="178"/>
      <c r="AC727" s="178"/>
    </row>
    <row r="728" spans="1:29" ht="13.2">
      <c r="A728" s="113"/>
      <c r="AA728" s="178"/>
      <c r="AB728" s="178"/>
      <c r="AC728" s="178"/>
    </row>
    <row r="729" spans="1:29" ht="13.2">
      <c r="A729" s="113"/>
      <c r="AA729" s="178"/>
      <c r="AB729" s="178"/>
      <c r="AC729" s="178"/>
    </row>
    <row r="730" spans="1:29" ht="13.2">
      <c r="A730" s="113"/>
      <c r="AA730" s="178"/>
      <c r="AB730" s="178"/>
      <c r="AC730" s="178"/>
    </row>
    <row r="731" spans="1:29" ht="13.2">
      <c r="A731" s="113"/>
      <c r="AA731" s="178"/>
      <c r="AB731" s="178"/>
      <c r="AC731" s="178"/>
    </row>
    <row r="732" spans="1:29" ht="13.2">
      <c r="A732" s="113"/>
      <c r="AA732" s="178"/>
      <c r="AB732" s="178"/>
      <c r="AC732" s="178"/>
    </row>
    <row r="733" spans="1:29" ht="13.2">
      <c r="A733" s="113"/>
      <c r="AA733" s="178"/>
      <c r="AB733" s="178"/>
      <c r="AC733" s="178"/>
    </row>
    <row r="734" spans="1:29" ht="13.2">
      <c r="A734" s="113"/>
      <c r="AA734" s="178"/>
      <c r="AB734" s="178"/>
      <c r="AC734" s="178"/>
    </row>
    <row r="735" spans="1:29" ht="13.2">
      <c r="A735" s="113"/>
      <c r="AA735" s="178"/>
      <c r="AB735" s="178"/>
      <c r="AC735" s="178"/>
    </row>
    <row r="736" spans="1:29" ht="13.2">
      <c r="A736" s="113"/>
      <c r="AA736" s="178"/>
      <c r="AB736" s="178"/>
      <c r="AC736" s="178"/>
    </row>
    <row r="737" spans="1:29" ht="13.2">
      <c r="A737" s="113"/>
      <c r="AA737" s="178"/>
      <c r="AB737" s="178"/>
      <c r="AC737" s="178"/>
    </row>
    <row r="738" spans="1:29" ht="13.2">
      <c r="A738" s="113"/>
      <c r="AA738" s="178"/>
      <c r="AB738" s="178"/>
      <c r="AC738" s="178"/>
    </row>
    <row r="739" spans="1:29" ht="13.2">
      <c r="A739" s="113"/>
      <c r="AA739" s="178"/>
      <c r="AB739" s="178"/>
      <c r="AC739" s="178"/>
    </row>
    <row r="740" spans="1:29" ht="13.2">
      <c r="A740" s="113"/>
      <c r="AA740" s="178"/>
      <c r="AB740" s="178"/>
      <c r="AC740" s="178"/>
    </row>
    <row r="741" spans="1:29" ht="13.2">
      <c r="A741" s="113"/>
      <c r="AA741" s="178"/>
      <c r="AB741" s="178"/>
      <c r="AC741" s="178"/>
    </row>
    <row r="742" spans="1:29" ht="13.2">
      <c r="A742" s="113"/>
      <c r="AA742" s="178"/>
      <c r="AB742" s="178"/>
      <c r="AC742" s="178"/>
    </row>
    <row r="743" spans="1:29" ht="13.2">
      <c r="A743" s="113"/>
      <c r="AA743" s="178"/>
      <c r="AB743" s="178"/>
      <c r="AC743" s="178"/>
    </row>
    <row r="744" spans="1:29" ht="13.2">
      <c r="A744" s="113"/>
      <c r="AA744" s="178"/>
      <c r="AB744" s="178"/>
      <c r="AC744" s="178"/>
    </row>
    <row r="745" spans="1:29" ht="13.2">
      <c r="A745" s="113"/>
      <c r="AA745" s="178"/>
      <c r="AB745" s="178"/>
      <c r="AC745" s="178"/>
    </row>
    <row r="746" spans="1:29" ht="13.2">
      <c r="A746" s="113"/>
      <c r="AA746" s="178"/>
      <c r="AB746" s="178"/>
      <c r="AC746" s="178"/>
    </row>
    <row r="747" spans="1:29" ht="13.2">
      <c r="A747" s="113"/>
      <c r="AA747" s="178"/>
      <c r="AB747" s="178"/>
      <c r="AC747" s="178"/>
    </row>
    <row r="748" spans="1:29" ht="13.2">
      <c r="A748" s="113"/>
      <c r="AA748" s="178"/>
      <c r="AB748" s="178"/>
      <c r="AC748" s="178"/>
    </row>
    <row r="749" spans="1:29" ht="13.2">
      <c r="A749" s="113"/>
      <c r="AA749" s="178"/>
      <c r="AB749" s="178"/>
      <c r="AC749" s="178"/>
    </row>
    <row r="750" spans="1:29" ht="13.2">
      <c r="A750" s="113"/>
      <c r="AA750" s="178"/>
      <c r="AB750" s="178"/>
      <c r="AC750" s="178"/>
    </row>
    <row r="751" spans="1:29" ht="13.2">
      <c r="A751" s="113"/>
      <c r="AA751" s="178"/>
      <c r="AB751" s="178"/>
      <c r="AC751" s="178"/>
    </row>
    <row r="752" spans="1:29" ht="13.2">
      <c r="A752" s="113"/>
      <c r="AA752" s="178"/>
      <c r="AB752" s="178"/>
      <c r="AC752" s="178"/>
    </row>
    <row r="753" spans="1:29" ht="13.2">
      <c r="A753" s="113"/>
      <c r="AA753" s="178"/>
      <c r="AB753" s="178"/>
      <c r="AC753" s="178"/>
    </row>
    <row r="754" spans="1:29" ht="13.2">
      <c r="A754" s="113"/>
      <c r="AA754" s="178"/>
      <c r="AB754" s="178"/>
      <c r="AC754" s="178"/>
    </row>
    <row r="755" spans="1:29" ht="13.2">
      <c r="A755" s="113"/>
      <c r="AA755" s="178"/>
      <c r="AB755" s="178"/>
      <c r="AC755" s="178"/>
    </row>
    <row r="756" spans="1:29" ht="13.2">
      <c r="A756" s="113"/>
      <c r="AA756" s="178"/>
      <c r="AB756" s="178"/>
      <c r="AC756" s="178"/>
    </row>
    <row r="757" spans="1:29" ht="13.2">
      <c r="A757" s="113"/>
      <c r="AA757" s="178"/>
      <c r="AB757" s="178"/>
      <c r="AC757" s="178"/>
    </row>
    <row r="758" spans="1:29" ht="13.2">
      <c r="A758" s="113"/>
      <c r="AA758" s="178"/>
      <c r="AB758" s="178"/>
      <c r="AC758" s="178"/>
    </row>
    <row r="759" spans="1:29" ht="13.2">
      <c r="A759" s="113"/>
      <c r="AA759" s="178"/>
      <c r="AB759" s="178"/>
      <c r="AC759" s="178"/>
    </row>
    <row r="760" spans="1:29" ht="13.2">
      <c r="A760" s="113"/>
      <c r="AA760" s="178"/>
      <c r="AB760" s="178"/>
      <c r="AC760" s="178"/>
    </row>
    <row r="761" spans="1:29" ht="13.2">
      <c r="A761" s="113"/>
      <c r="AA761" s="178"/>
      <c r="AB761" s="178"/>
      <c r="AC761" s="178"/>
    </row>
    <row r="762" spans="1:29" ht="13.2">
      <c r="A762" s="113"/>
      <c r="AA762" s="178"/>
      <c r="AB762" s="178"/>
      <c r="AC762" s="178"/>
    </row>
    <row r="763" spans="1:29" ht="13.2">
      <c r="A763" s="113"/>
      <c r="AA763" s="178"/>
      <c r="AB763" s="178"/>
      <c r="AC763" s="178"/>
    </row>
    <row r="764" spans="1:29" ht="13.2">
      <c r="A764" s="113"/>
      <c r="AA764" s="178"/>
      <c r="AB764" s="178"/>
      <c r="AC764" s="178"/>
    </row>
    <row r="765" spans="1:29" ht="13.2">
      <c r="A765" s="113"/>
      <c r="AA765" s="178"/>
      <c r="AB765" s="178"/>
      <c r="AC765" s="178"/>
    </row>
    <row r="766" spans="1:29" ht="13.2">
      <c r="A766" s="113"/>
      <c r="AA766" s="178"/>
      <c r="AB766" s="178"/>
      <c r="AC766" s="178"/>
    </row>
    <row r="767" spans="1:29" ht="13.2">
      <c r="A767" s="113"/>
      <c r="AA767" s="178"/>
      <c r="AB767" s="178"/>
      <c r="AC767" s="178"/>
    </row>
    <row r="768" spans="1:29" ht="13.2">
      <c r="A768" s="113"/>
      <c r="AA768" s="178"/>
      <c r="AB768" s="178"/>
      <c r="AC768" s="178"/>
    </row>
    <row r="769" spans="1:29" ht="13.2">
      <c r="A769" s="113"/>
      <c r="AA769" s="178"/>
      <c r="AB769" s="178"/>
      <c r="AC769" s="178"/>
    </row>
    <row r="770" spans="1:29" ht="13.2">
      <c r="A770" s="113"/>
      <c r="AA770" s="178"/>
      <c r="AB770" s="178"/>
      <c r="AC770" s="178"/>
    </row>
    <row r="771" spans="1:29" ht="13.2">
      <c r="A771" s="113"/>
      <c r="AA771" s="178"/>
      <c r="AB771" s="178"/>
      <c r="AC771" s="178"/>
    </row>
    <row r="772" spans="1:29" ht="13.2">
      <c r="A772" s="113"/>
      <c r="AA772" s="178"/>
      <c r="AB772" s="178"/>
      <c r="AC772" s="178"/>
    </row>
    <row r="773" spans="1:29" ht="13.2">
      <c r="A773" s="113"/>
      <c r="AA773" s="178"/>
      <c r="AB773" s="178"/>
      <c r="AC773" s="178"/>
    </row>
    <row r="774" spans="1:29" ht="13.2">
      <c r="A774" s="113"/>
      <c r="AA774" s="178"/>
      <c r="AB774" s="178"/>
      <c r="AC774" s="178"/>
    </row>
    <row r="775" spans="1:29" ht="13.2">
      <c r="A775" s="113"/>
      <c r="AA775" s="178"/>
      <c r="AB775" s="178"/>
      <c r="AC775" s="178"/>
    </row>
    <row r="776" spans="1:29" ht="13.2">
      <c r="A776" s="113"/>
      <c r="AA776" s="178"/>
      <c r="AB776" s="178"/>
      <c r="AC776" s="178"/>
    </row>
    <row r="777" spans="1:29" ht="13.2">
      <c r="A777" s="113"/>
      <c r="AA777" s="178"/>
      <c r="AB777" s="178"/>
      <c r="AC777" s="178"/>
    </row>
    <row r="778" spans="1:29" ht="13.2">
      <c r="A778" s="113"/>
      <c r="AA778" s="178"/>
      <c r="AB778" s="178"/>
      <c r="AC778" s="178"/>
    </row>
    <row r="779" spans="1:29" ht="13.2">
      <c r="A779" s="113"/>
      <c r="AA779" s="178"/>
      <c r="AB779" s="178"/>
      <c r="AC779" s="178"/>
    </row>
    <row r="780" spans="1:29" ht="13.2">
      <c r="A780" s="113"/>
      <c r="AA780" s="178"/>
      <c r="AB780" s="178"/>
      <c r="AC780" s="178"/>
    </row>
    <row r="781" spans="1:29" ht="13.2">
      <c r="A781" s="113"/>
      <c r="AA781" s="178"/>
      <c r="AB781" s="178"/>
      <c r="AC781" s="178"/>
    </row>
    <row r="782" spans="1:29" ht="13.2">
      <c r="A782" s="113"/>
      <c r="AA782" s="178"/>
      <c r="AB782" s="178"/>
      <c r="AC782" s="178"/>
    </row>
    <row r="783" spans="1:29" ht="13.2">
      <c r="A783" s="113"/>
      <c r="AA783" s="178"/>
      <c r="AB783" s="178"/>
      <c r="AC783" s="178"/>
    </row>
    <row r="784" spans="1:29" ht="13.2">
      <c r="A784" s="113"/>
      <c r="AA784" s="178"/>
      <c r="AB784" s="178"/>
      <c r="AC784" s="178"/>
    </row>
    <row r="785" spans="1:29" ht="13.2">
      <c r="A785" s="113"/>
      <c r="AA785" s="178"/>
      <c r="AB785" s="178"/>
      <c r="AC785" s="178"/>
    </row>
    <row r="786" spans="1:29" ht="13.2">
      <c r="A786" s="113"/>
      <c r="AA786" s="178"/>
      <c r="AB786" s="178"/>
      <c r="AC786" s="178"/>
    </row>
    <row r="787" spans="1:29" ht="13.2">
      <c r="A787" s="113"/>
      <c r="AA787" s="178"/>
      <c r="AB787" s="178"/>
      <c r="AC787" s="178"/>
    </row>
    <row r="788" spans="1:29" ht="13.2">
      <c r="A788" s="113"/>
      <c r="AA788" s="178"/>
      <c r="AB788" s="178"/>
      <c r="AC788" s="178"/>
    </row>
    <row r="789" spans="1:29" ht="13.2">
      <c r="A789" s="113"/>
      <c r="AA789" s="178"/>
      <c r="AB789" s="178"/>
      <c r="AC789" s="178"/>
    </row>
    <row r="790" spans="1:29" ht="13.2">
      <c r="A790" s="113"/>
      <c r="AA790" s="178"/>
      <c r="AB790" s="178"/>
      <c r="AC790" s="178"/>
    </row>
    <row r="791" spans="1:29" ht="13.2">
      <c r="A791" s="113"/>
      <c r="AA791" s="178"/>
      <c r="AB791" s="178"/>
      <c r="AC791" s="178"/>
    </row>
    <row r="792" spans="1:29" ht="13.2">
      <c r="A792" s="113"/>
      <c r="AA792" s="178"/>
      <c r="AB792" s="178"/>
      <c r="AC792" s="178"/>
    </row>
    <row r="793" spans="1:29" ht="13.2">
      <c r="A793" s="113"/>
      <c r="AA793" s="178"/>
      <c r="AB793" s="178"/>
      <c r="AC793" s="178"/>
    </row>
    <row r="794" spans="1:29" ht="13.2">
      <c r="A794" s="113"/>
      <c r="AA794" s="178"/>
      <c r="AB794" s="178"/>
      <c r="AC794" s="178"/>
    </row>
    <row r="795" spans="1:29" ht="13.2">
      <c r="A795" s="113"/>
      <c r="AA795" s="178"/>
      <c r="AB795" s="178"/>
      <c r="AC795" s="178"/>
    </row>
    <row r="796" spans="1:29" ht="13.2">
      <c r="A796" s="113"/>
      <c r="AA796" s="178"/>
      <c r="AB796" s="178"/>
      <c r="AC796" s="178"/>
    </row>
    <row r="797" spans="1:29" ht="13.2">
      <c r="A797" s="113"/>
      <c r="AA797" s="178"/>
      <c r="AB797" s="178"/>
      <c r="AC797" s="178"/>
    </row>
    <row r="798" spans="1:29" ht="13.2">
      <c r="A798" s="113"/>
      <c r="AA798" s="178"/>
      <c r="AB798" s="178"/>
      <c r="AC798" s="178"/>
    </row>
    <row r="799" spans="1:29" ht="13.2">
      <c r="A799" s="113"/>
      <c r="AA799" s="178"/>
      <c r="AB799" s="178"/>
      <c r="AC799" s="178"/>
    </row>
    <row r="800" spans="1:29" ht="13.2">
      <c r="A800" s="113"/>
      <c r="AA800" s="178"/>
      <c r="AB800" s="178"/>
      <c r="AC800" s="178"/>
    </row>
    <row r="801" spans="1:29" ht="13.2">
      <c r="A801" s="113"/>
      <c r="AA801" s="178"/>
      <c r="AB801" s="178"/>
      <c r="AC801" s="178"/>
    </row>
    <row r="802" spans="1:29" ht="13.2">
      <c r="A802" s="113"/>
      <c r="AA802" s="178"/>
      <c r="AB802" s="178"/>
      <c r="AC802" s="178"/>
    </row>
    <row r="803" spans="1:29" ht="13.2">
      <c r="A803" s="113"/>
      <c r="AA803" s="178"/>
      <c r="AB803" s="178"/>
      <c r="AC803" s="178"/>
    </row>
    <row r="804" spans="1:29" ht="13.2">
      <c r="A804" s="113"/>
      <c r="AA804" s="178"/>
      <c r="AB804" s="178"/>
      <c r="AC804" s="178"/>
    </row>
    <row r="805" spans="1:29" ht="13.2">
      <c r="A805" s="113"/>
      <c r="AA805" s="178"/>
      <c r="AB805" s="178"/>
      <c r="AC805" s="178"/>
    </row>
    <row r="806" spans="1:29" ht="13.2">
      <c r="A806" s="113"/>
      <c r="AA806" s="178"/>
      <c r="AB806" s="178"/>
      <c r="AC806" s="178"/>
    </row>
    <row r="807" spans="1:29" ht="13.2">
      <c r="A807" s="113"/>
      <c r="AA807" s="178"/>
      <c r="AB807" s="178"/>
      <c r="AC807" s="178"/>
    </row>
    <row r="808" spans="1:29" ht="13.2">
      <c r="A808" s="113"/>
      <c r="AA808" s="178"/>
      <c r="AB808" s="178"/>
      <c r="AC808" s="178"/>
    </row>
    <row r="809" spans="1:29" ht="13.2">
      <c r="A809" s="113"/>
      <c r="AA809" s="178"/>
      <c r="AB809" s="178"/>
      <c r="AC809" s="178"/>
    </row>
    <row r="810" spans="1:29" ht="13.2">
      <c r="A810" s="113"/>
      <c r="AA810" s="178"/>
      <c r="AB810" s="178"/>
      <c r="AC810" s="178"/>
    </row>
    <row r="811" spans="1:29" ht="13.2">
      <c r="A811" s="113"/>
      <c r="AA811" s="178"/>
      <c r="AB811" s="178"/>
      <c r="AC811" s="178"/>
    </row>
    <row r="812" spans="1:29" ht="13.2">
      <c r="A812" s="113"/>
      <c r="AA812" s="178"/>
      <c r="AB812" s="178"/>
      <c r="AC812" s="178"/>
    </row>
    <row r="813" spans="1:29" ht="13.2">
      <c r="A813" s="113"/>
      <c r="AA813" s="178"/>
      <c r="AB813" s="178"/>
      <c r="AC813" s="178"/>
    </row>
    <row r="814" spans="1:29" ht="13.2">
      <c r="A814" s="113"/>
      <c r="AA814" s="178"/>
      <c r="AB814" s="178"/>
      <c r="AC814" s="178"/>
    </row>
    <row r="815" spans="1:29" ht="13.2">
      <c r="A815" s="113"/>
      <c r="AA815" s="178"/>
      <c r="AB815" s="178"/>
      <c r="AC815" s="178"/>
    </row>
    <row r="816" spans="1:29" ht="13.2">
      <c r="A816" s="113"/>
      <c r="AA816" s="178"/>
      <c r="AB816" s="178"/>
      <c r="AC816" s="178"/>
    </row>
    <row r="817" spans="1:29" ht="13.2">
      <c r="A817" s="113"/>
      <c r="AA817" s="178"/>
      <c r="AB817" s="178"/>
      <c r="AC817" s="178"/>
    </row>
    <row r="818" spans="1:29" ht="13.2">
      <c r="A818" s="113"/>
      <c r="AA818" s="178"/>
      <c r="AB818" s="178"/>
      <c r="AC818" s="178"/>
    </row>
    <row r="819" spans="1:29" ht="13.2">
      <c r="A819" s="113"/>
      <c r="AA819" s="178"/>
      <c r="AB819" s="178"/>
      <c r="AC819" s="178"/>
    </row>
    <row r="820" spans="1:29" ht="13.2">
      <c r="A820" s="113"/>
      <c r="AA820" s="178"/>
      <c r="AB820" s="178"/>
      <c r="AC820" s="178"/>
    </row>
    <row r="821" spans="1:29" ht="13.2">
      <c r="A821" s="113"/>
      <c r="AA821" s="178"/>
      <c r="AB821" s="178"/>
      <c r="AC821" s="178"/>
    </row>
    <row r="822" spans="1:29" ht="13.2">
      <c r="A822" s="113"/>
      <c r="AA822" s="178"/>
      <c r="AB822" s="178"/>
      <c r="AC822" s="178"/>
    </row>
    <row r="823" spans="1:29" ht="13.2">
      <c r="A823" s="113"/>
      <c r="AA823" s="178"/>
      <c r="AB823" s="178"/>
      <c r="AC823" s="178"/>
    </row>
    <row r="824" spans="1:29" ht="13.2">
      <c r="A824" s="113"/>
      <c r="AA824" s="178"/>
      <c r="AB824" s="178"/>
      <c r="AC824" s="178"/>
    </row>
    <row r="825" spans="1:29" ht="13.2">
      <c r="A825" s="113"/>
      <c r="AA825" s="178"/>
      <c r="AB825" s="178"/>
      <c r="AC825" s="178"/>
    </row>
    <row r="826" spans="1:29" ht="13.2">
      <c r="A826" s="113"/>
      <c r="AA826" s="178"/>
      <c r="AB826" s="178"/>
      <c r="AC826" s="178"/>
    </row>
    <row r="827" spans="1:29" ht="13.2">
      <c r="A827" s="113"/>
      <c r="AA827" s="178"/>
      <c r="AB827" s="178"/>
      <c r="AC827" s="178"/>
    </row>
    <row r="828" spans="1:29" ht="13.2">
      <c r="A828" s="113"/>
      <c r="AA828" s="178"/>
      <c r="AB828" s="178"/>
      <c r="AC828" s="178"/>
    </row>
    <row r="829" spans="1:29" ht="13.2">
      <c r="A829" s="113"/>
      <c r="AA829" s="178"/>
      <c r="AB829" s="178"/>
      <c r="AC829" s="178"/>
    </row>
    <row r="830" spans="1:29" ht="13.2">
      <c r="A830" s="113"/>
      <c r="AA830" s="178"/>
      <c r="AB830" s="178"/>
      <c r="AC830" s="178"/>
    </row>
    <row r="831" spans="1:29" ht="13.2">
      <c r="A831" s="113"/>
      <c r="AA831" s="178"/>
      <c r="AB831" s="178"/>
      <c r="AC831" s="178"/>
    </row>
    <row r="832" spans="1:29" ht="13.2">
      <c r="A832" s="113"/>
      <c r="AA832" s="178"/>
      <c r="AB832" s="178"/>
      <c r="AC832" s="178"/>
    </row>
    <row r="833" spans="1:29" ht="13.2">
      <c r="A833" s="113"/>
      <c r="AA833" s="178"/>
      <c r="AB833" s="178"/>
      <c r="AC833" s="178"/>
    </row>
    <row r="834" spans="1:29" ht="13.2">
      <c r="A834" s="113"/>
      <c r="AA834" s="178"/>
      <c r="AB834" s="178"/>
      <c r="AC834" s="178"/>
    </row>
    <row r="835" spans="1:29" ht="13.2">
      <c r="A835" s="113"/>
      <c r="AA835" s="178"/>
      <c r="AB835" s="178"/>
      <c r="AC835" s="178"/>
    </row>
    <row r="836" spans="1:29" ht="13.2">
      <c r="A836" s="113"/>
      <c r="AA836" s="178"/>
      <c r="AB836" s="178"/>
      <c r="AC836" s="178"/>
    </row>
    <row r="837" spans="1:29" ht="13.2">
      <c r="A837" s="113"/>
      <c r="AA837" s="178"/>
      <c r="AB837" s="178"/>
      <c r="AC837" s="178"/>
    </row>
    <row r="838" spans="1:29" ht="13.2">
      <c r="A838" s="113"/>
      <c r="AA838" s="178"/>
      <c r="AB838" s="178"/>
      <c r="AC838" s="178"/>
    </row>
    <row r="839" spans="1:29" ht="13.2">
      <c r="A839" s="113"/>
      <c r="AA839" s="178"/>
      <c r="AB839" s="178"/>
      <c r="AC839" s="178"/>
    </row>
    <row r="840" spans="1:29" ht="13.2">
      <c r="A840" s="113"/>
      <c r="AA840" s="178"/>
      <c r="AB840" s="178"/>
      <c r="AC840" s="178"/>
    </row>
    <row r="841" spans="1:29" ht="13.2">
      <c r="A841" s="113"/>
      <c r="AA841" s="178"/>
      <c r="AB841" s="178"/>
      <c r="AC841" s="178"/>
    </row>
    <row r="842" spans="1:29" ht="13.2">
      <c r="A842" s="113"/>
      <c r="AA842" s="178"/>
      <c r="AB842" s="178"/>
      <c r="AC842" s="178"/>
    </row>
    <row r="843" spans="1:29" ht="13.2">
      <c r="A843" s="113"/>
      <c r="AA843" s="178"/>
      <c r="AB843" s="178"/>
      <c r="AC843" s="178"/>
    </row>
    <row r="844" spans="1:29" ht="13.2">
      <c r="A844" s="113"/>
      <c r="AA844" s="178"/>
      <c r="AB844" s="178"/>
      <c r="AC844" s="178"/>
    </row>
    <row r="845" spans="1:29" ht="13.2">
      <c r="A845" s="113"/>
      <c r="AA845" s="178"/>
      <c r="AB845" s="178"/>
      <c r="AC845" s="178"/>
    </row>
    <row r="846" spans="1:29" ht="13.2">
      <c r="A846" s="113"/>
      <c r="AA846" s="178"/>
      <c r="AB846" s="178"/>
      <c r="AC846" s="178"/>
    </row>
    <row r="847" spans="1:29" ht="13.2">
      <c r="A847" s="113"/>
      <c r="AA847" s="178"/>
      <c r="AB847" s="178"/>
      <c r="AC847" s="178"/>
    </row>
    <row r="848" spans="1:29" ht="13.2">
      <c r="A848" s="113"/>
      <c r="AA848" s="178"/>
      <c r="AB848" s="178"/>
      <c r="AC848" s="178"/>
    </row>
    <row r="849" spans="1:29" ht="13.2">
      <c r="A849" s="113"/>
      <c r="AA849" s="178"/>
      <c r="AB849" s="178"/>
      <c r="AC849" s="178"/>
    </row>
    <row r="850" spans="1:29" ht="13.2">
      <c r="A850" s="113"/>
      <c r="AA850" s="178"/>
      <c r="AB850" s="178"/>
      <c r="AC850" s="178"/>
    </row>
    <row r="851" spans="1:29" ht="13.2">
      <c r="A851" s="113"/>
      <c r="AA851" s="178"/>
      <c r="AB851" s="178"/>
      <c r="AC851" s="178"/>
    </row>
    <row r="852" spans="1:29" ht="13.2">
      <c r="A852" s="113"/>
      <c r="AA852" s="178"/>
      <c r="AB852" s="178"/>
      <c r="AC852" s="178"/>
    </row>
    <row r="853" spans="1:29" ht="13.2">
      <c r="A853" s="113"/>
      <c r="AA853" s="178"/>
      <c r="AB853" s="178"/>
      <c r="AC853" s="178"/>
    </row>
    <row r="854" spans="1:29" ht="13.2">
      <c r="A854" s="113"/>
      <c r="AA854" s="178"/>
      <c r="AB854" s="178"/>
      <c r="AC854" s="178"/>
    </row>
    <row r="855" spans="1:29" ht="13.2">
      <c r="A855" s="113"/>
      <c r="AA855" s="178"/>
      <c r="AB855" s="178"/>
      <c r="AC855" s="178"/>
    </row>
    <row r="856" spans="1:29" ht="13.2">
      <c r="A856" s="113"/>
      <c r="AA856" s="178"/>
      <c r="AB856" s="178"/>
      <c r="AC856" s="178"/>
    </row>
    <row r="857" spans="1:29" ht="13.2">
      <c r="A857" s="113"/>
      <c r="AA857" s="178"/>
      <c r="AB857" s="178"/>
      <c r="AC857" s="178"/>
    </row>
    <row r="858" spans="1:29" ht="13.2">
      <c r="A858" s="113"/>
      <c r="AA858" s="178"/>
      <c r="AB858" s="178"/>
      <c r="AC858" s="178"/>
    </row>
    <row r="859" spans="1:29" ht="13.2">
      <c r="A859" s="113"/>
      <c r="AA859" s="178"/>
      <c r="AB859" s="178"/>
      <c r="AC859" s="178"/>
    </row>
    <row r="860" spans="1:29" ht="13.2">
      <c r="A860" s="113"/>
      <c r="AA860" s="178"/>
      <c r="AB860" s="178"/>
      <c r="AC860" s="178"/>
    </row>
    <row r="861" spans="1:29" ht="13.2">
      <c r="A861" s="113"/>
      <c r="AA861" s="178"/>
      <c r="AB861" s="178"/>
      <c r="AC861" s="178"/>
    </row>
    <row r="862" spans="1:29" ht="13.2">
      <c r="A862" s="113"/>
      <c r="AA862" s="178"/>
      <c r="AB862" s="178"/>
      <c r="AC862" s="178"/>
    </row>
    <row r="863" spans="1:29" ht="13.2">
      <c r="A863" s="113"/>
      <c r="AA863" s="178"/>
      <c r="AB863" s="178"/>
      <c r="AC863" s="178"/>
    </row>
    <row r="864" spans="1:29" ht="13.2">
      <c r="A864" s="113"/>
      <c r="AA864" s="178"/>
      <c r="AB864" s="178"/>
      <c r="AC864" s="178"/>
    </row>
    <row r="865" spans="1:29" ht="13.2">
      <c r="A865" s="113"/>
      <c r="AA865" s="178"/>
      <c r="AB865" s="178"/>
      <c r="AC865" s="178"/>
    </row>
    <row r="866" spans="1:29" ht="13.2">
      <c r="A866" s="113"/>
      <c r="AA866" s="178"/>
      <c r="AB866" s="178"/>
      <c r="AC866" s="178"/>
    </row>
    <row r="867" spans="1:29" ht="13.2">
      <c r="A867" s="113"/>
      <c r="AA867" s="178"/>
      <c r="AB867" s="178"/>
      <c r="AC867" s="178"/>
    </row>
    <row r="868" spans="1:29" ht="13.2">
      <c r="A868" s="113"/>
      <c r="AA868" s="178"/>
      <c r="AB868" s="178"/>
      <c r="AC868" s="178"/>
    </row>
    <row r="869" spans="1:29" ht="13.2">
      <c r="A869" s="113"/>
      <c r="AA869" s="178"/>
      <c r="AB869" s="178"/>
      <c r="AC869" s="178"/>
    </row>
    <row r="870" spans="1:29" ht="13.2">
      <c r="A870" s="113"/>
      <c r="AA870" s="178"/>
      <c r="AB870" s="178"/>
      <c r="AC870" s="178"/>
    </row>
    <row r="871" spans="1:29" ht="13.2">
      <c r="A871" s="113"/>
      <c r="AA871" s="178"/>
      <c r="AB871" s="178"/>
      <c r="AC871" s="178"/>
    </row>
    <row r="872" spans="1:29" ht="13.2">
      <c r="A872" s="113"/>
      <c r="AA872" s="178"/>
      <c r="AB872" s="178"/>
      <c r="AC872" s="178"/>
    </row>
    <row r="873" spans="1:29" ht="13.2">
      <c r="A873" s="113"/>
      <c r="AA873" s="178"/>
      <c r="AB873" s="178"/>
      <c r="AC873" s="178"/>
    </row>
    <row r="874" spans="1:29" ht="13.2">
      <c r="A874" s="113"/>
      <c r="AA874" s="178"/>
      <c r="AB874" s="178"/>
      <c r="AC874" s="178"/>
    </row>
    <row r="875" spans="1:29" ht="13.2">
      <c r="A875" s="113"/>
      <c r="AA875" s="178"/>
      <c r="AB875" s="178"/>
      <c r="AC875" s="178"/>
    </row>
    <row r="876" spans="1:29" ht="13.2">
      <c r="A876" s="113"/>
      <c r="AA876" s="178"/>
      <c r="AB876" s="178"/>
      <c r="AC876" s="178"/>
    </row>
    <row r="877" spans="1:29" ht="13.2">
      <c r="A877" s="113"/>
      <c r="AA877" s="178"/>
      <c r="AB877" s="178"/>
      <c r="AC877" s="178"/>
    </row>
    <row r="878" spans="1:29" ht="13.2">
      <c r="A878" s="113"/>
      <c r="AA878" s="178"/>
      <c r="AB878" s="178"/>
      <c r="AC878" s="178"/>
    </row>
    <row r="879" spans="1:29" ht="13.2">
      <c r="A879" s="113"/>
      <c r="AA879" s="178"/>
      <c r="AB879" s="178"/>
      <c r="AC879" s="178"/>
    </row>
    <row r="880" spans="1:29" ht="13.2">
      <c r="A880" s="113"/>
      <c r="AA880" s="178"/>
      <c r="AB880" s="178"/>
      <c r="AC880" s="178"/>
    </row>
    <row r="881" spans="1:29" ht="13.2">
      <c r="A881" s="113"/>
      <c r="AA881" s="178"/>
      <c r="AB881" s="178"/>
      <c r="AC881" s="178"/>
    </row>
    <row r="882" spans="1:29" ht="13.2">
      <c r="A882" s="113"/>
      <c r="AA882" s="178"/>
      <c r="AB882" s="178"/>
      <c r="AC882" s="178"/>
    </row>
    <row r="883" spans="1:29" ht="13.2">
      <c r="A883" s="113"/>
      <c r="AA883" s="178"/>
      <c r="AB883" s="178"/>
      <c r="AC883" s="178"/>
    </row>
    <row r="884" spans="1:29" ht="13.2">
      <c r="A884" s="113"/>
      <c r="AA884" s="178"/>
      <c r="AB884" s="178"/>
      <c r="AC884" s="178"/>
    </row>
    <row r="885" spans="1:29" ht="13.2">
      <c r="A885" s="113"/>
      <c r="AA885" s="178"/>
      <c r="AB885" s="178"/>
      <c r="AC885" s="178"/>
    </row>
    <row r="886" spans="1:29" ht="13.2">
      <c r="A886" s="113"/>
      <c r="AA886" s="178"/>
      <c r="AB886" s="178"/>
      <c r="AC886" s="178"/>
    </row>
    <row r="887" spans="1:29" ht="13.2">
      <c r="A887" s="113"/>
      <c r="AA887" s="178"/>
      <c r="AB887" s="178"/>
      <c r="AC887" s="178"/>
    </row>
    <row r="888" spans="1:29" ht="13.2">
      <c r="A888" s="113"/>
      <c r="AA888" s="178"/>
      <c r="AB888" s="178"/>
      <c r="AC888" s="178"/>
    </row>
    <row r="889" spans="1:29" ht="13.2">
      <c r="A889" s="113"/>
      <c r="AA889" s="178"/>
      <c r="AB889" s="178"/>
      <c r="AC889" s="178"/>
    </row>
    <row r="890" spans="1:29" ht="13.2">
      <c r="A890" s="113"/>
      <c r="AA890" s="178"/>
      <c r="AB890" s="178"/>
      <c r="AC890" s="178"/>
    </row>
    <row r="891" spans="1:29" ht="13.2">
      <c r="A891" s="113"/>
      <c r="AA891" s="178"/>
      <c r="AB891" s="178"/>
      <c r="AC891" s="178"/>
    </row>
    <row r="892" spans="1:29" ht="13.2">
      <c r="A892" s="113"/>
      <c r="AA892" s="178"/>
      <c r="AB892" s="178"/>
      <c r="AC892" s="178"/>
    </row>
    <row r="893" spans="1:29" ht="13.2">
      <c r="A893" s="113"/>
      <c r="AA893" s="178"/>
      <c r="AB893" s="178"/>
      <c r="AC893" s="178"/>
    </row>
    <row r="894" spans="1:29" ht="13.2">
      <c r="A894" s="113"/>
      <c r="AA894" s="178"/>
      <c r="AB894" s="178"/>
      <c r="AC894" s="178"/>
    </row>
    <row r="895" spans="1:29" ht="13.2">
      <c r="A895" s="113"/>
      <c r="AA895" s="178"/>
      <c r="AB895" s="178"/>
      <c r="AC895" s="178"/>
    </row>
    <row r="896" spans="1:29" ht="13.2">
      <c r="A896" s="113"/>
      <c r="AA896" s="178"/>
      <c r="AB896" s="178"/>
      <c r="AC896" s="178"/>
    </row>
    <row r="897" spans="1:29" ht="13.2">
      <c r="A897" s="113"/>
      <c r="AA897" s="178"/>
      <c r="AB897" s="178"/>
      <c r="AC897" s="178"/>
    </row>
    <row r="898" spans="1:29" ht="13.2">
      <c r="A898" s="113"/>
      <c r="AA898" s="178"/>
      <c r="AB898" s="178"/>
      <c r="AC898" s="178"/>
    </row>
    <row r="899" spans="1:29" ht="13.2">
      <c r="A899" s="113"/>
      <c r="AA899" s="178"/>
      <c r="AB899" s="178"/>
      <c r="AC899" s="178"/>
    </row>
    <row r="900" spans="1:29" ht="13.2">
      <c r="A900" s="113"/>
      <c r="AA900" s="178"/>
      <c r="AB900" s="178"/>
      <c r="AC900" s="178"/>
    </row>
    <row r="901" spans="1:29" ht="13.2">
      <c r="A901" s="113"/>
      <c r="AA901" s="178"/>
      <c r="AB901" s="178"/>
      <c r="AC901" s="178"/>
    </row>
    <row r="902" spans="1:29" ht="13.2">
      <c r="A902" s="113"/>
      <c r="AA902" s="178"/>
      <c r="AB902" s="178"/>
      <c r="AC902" s="178"/>
    </row>
    <row r="903" spans="1:29" ht="13.2">
      <c r="A903" s="113"/>
      <c r="AA903" s="178"/>
      <c r="AB903" s="178"/>
      <c r="AC903" s="178"/>
    </row>
    <row r="904" spans="1:29" ht="13.2">
      <c r="A904" s="113"/>
      <c r="AA904" s="178"/>
      <c r="AB904" s="178"/>
      <c r="AC904" s="178"/>
    </row>
    <row r="905" spans="1:29" ht="13.2">
      <c r="A905" s="113"/>
      <c r="AA905" s="178"/>
      <c r="AB905" s="178"/>
      <c r="AC905" s="178"/>
    </row>
    <row r="906" spans="1:29" ht="13.2">
      <c r="A906" s="113"/>
      <c r="AA906" s="178"/>
      <c r="AB906" s="178"/>
      <c r="AC906" s="178"/>
    </row>
    <row r="907" spans="1:29" ht="13.2">
      <c r="A907" s="113"/>
      <c r="AA907" s="178"/>
      <c r="AB907" s="178"/>
      <c r="AC907" s="178"/>
    </row>
    <row r="908" spans="1:29" ht="13.2">
      <c r="A908" s="113"/>
      <c r="AA908" s="178"/>
      <c r="AB908" s="178"/>
      <c r="AC908" s="178"/>
    </row>
    <row r="909" spans="1:29" ht="13.2">
      <c r="A909" s="113"/>
      <c r="AA909" s="178"/>
      <c r="AB909" s="178"/>
      <c r="AC909" s="178"/>
    </row>
    <row r="910" spans="1:29" ht="13.2">
      <c r="A910" s="113"/>
      <c r="AA910" s="178"/>
      <c r="AB910" s="178"/>
      <c r="AC910" s="178"/>
    </row>
    <row r="911" spans="1:29" ht="13.2">
      <c r="A911" s="113"/>
      <c r="AA911" s="178"/>
      <c r="AB911" s="178"/>
      <c r="AC911" s="178"/>
    </row>
    <row r="912" spans="1:29" ht="13.2">
      <c r="A912" s="113"/>
      <c r="AA912" s="178"/>
      <c r="AB912" s="178"/>
      <c r="AC912" s="178"/>
    </row>
    <row r="913" spans="1:29" ht="13.2">
      <c r="A913" s="113"/>
      <c r="AA913" s="178"/>
      <c r="AB913" s="178"/>
      <c r="AC913" s="178"/>
    </row>
    <row r="914" spans="1:29" ht="13.2">
      <c r="A914" s="113"/>
      <c r="AA914" s="178"/>
      <c r="AB914" s="178"/>
      <c r="AC914" s="178"/>
    </row>
    <row r="915" spans="1:29" ht="13.2">
      <c r="A915" s="113"/>
      <c r="AA915" s="178"/>
      <c r="AB915" s="178"/>
      <c r="AC915" s="178"/>
    </row>
    <row r="916" spans="1:29" ht="13.2">
      <c r="A916" s="113"/>
      <c r="AA916" s="178"/>
      <c r="AB916" s="178"/>
      <c r="AC916" s="178"/>
    </row>
    <row r="917" spans="1:29" ht="13.2">
      <c r="A917" s="113"/>
      <c r="AA917" s="178"/>
      <c r="AB917" s="178"/>
      <c r="AC917" s="178"/>
    </row>
    <row r="918" spans="1:29" ht="13.2">
      <c r="A918" s="113"/>
      <c r="AA918" s="178"/>
      <c r="AB918" s="178"/>
      <c r="AC918" s="178"/>
    </row>
    <row r="919" spans="1:29" ht="13.2">
      <c r="A919" s="113"/>
      <c r="AA919" s="178"/>
      <c r="AB919" s="178"/>
      <c r="AC919" s="178"/>
    </row>
    <row r="920" spans="1:29" ht="13.2">
      <c r="A920" s="113"/>
      <c r="AA920" s="178"/>
      <c r="AB920" s="178"/>
      <c r="AC920" s="178"/>
    </row>
    <row r="921" spans="1:29" ht="13.2">
      <c r="A921" s="113"/>
      <c r="AA921" s="178"/>
      <c r="AB921" s="178"/>
      <c r="AC921" s="178"/>
    </row>
    <row r="922" spans="1:29" ht="13.2">
      <c r="A922" s="113"/>
      <c r="AA922" s="178"/>
      <c r="AB922" s="178"/>
      <c r="AC922" s="178"/>
    </row>
    <row r="923" spans="1:29" ht="13.2">
      <c r="A923" s="113"/>
      <c r="AA923" s="178"/>
      <c r="AB923" s="178"/>
      <c r="AC923" s="178"/>
    </row>
    <row r="924" spans="1:29" ht="13.2">
      <c r="A924" s="113"/>
      <c r="AA924" s="178"/>
      <c r="AB924" s="178"/>
      <c r="AC924" s="178"/>
    </row>
    <row r="925" spans="1:29" ht="13.2">
      <c r="A925" s="113"/>
      <c r="AA925" s="178"/>
      <c r="AB925" s="178"/>
      <c r="AC925" s="178"/>
    </row>
    <row r="926" spans="1:29" ht="13.2">
      <c r="A926" s="113"/>
      <c r="AA926" s="178"/>
      <c r="AB926" s="178"/>
      <c r="AC926" s="178"/>
    </row>
    <row r="927" spans="1:29" ht="13.2">
      <c r="A927" s="113"/>
      <c r="AA927" s="178"/>
      <c r="AB927" s="178"/>
      <c r="AC927" s="178"/>
    </row>
    <row r="928" spans="1:29" ht="13.2">
      <c r="A928" s="113"/>
      <c r="AA928" s="178"/>
      <c r="AB928" s="178"/>
      <c r="AC928" s="178"/>
    </row>
    <row r="929" spans="1:29" ht="13.2">
      <c r="A929" s="113"/>
      <c r="AA929" s="178"/>
      <c r="AB929" s="178"/>
      <c r="AC929" s="178"/>
    </row>
    <row r="930" spans="1:29" ht="13.2">
      <c r="A930" s="113"/>
      <c r="AA930" s="178"/>
      <c r="AB930" s="178"/>
      <c r="AC930" s="178"/>
    </row>
    <row r="931" spans="1:29" ht="13.2">
      <c r="A931" s="113"/>
      <c r="AA931" s="178"/>
      <c r="AB931" s="178"/>
      <c r="AC931" s="178"/>
    </row>
    <row r="932" spans="1:29" ht="13.2">
      <c r="A932" s="113"/>
      <c r="AA932" s="178"/>
      <c r="AB932" s="178"/>
      <c r="AC932" s="178"/>
    </row>
    <row r="933" spans="1:29" ht="13.2">
      <c r="A933" s="113"/>
      <c r="AA933" s="178"/>
      <c r="AB933" s="178"/>
      <c r="AC933" s="178"/>
    </row>
    <row r="934" spans="1:29" ht="13.2">
      <c r="A934" s="113"/>
      <c r="AA934" s="178"/>
      <c r="AB934" s="178"/>
      <c r="AC934" s="178"/>
    </row>
    <row r="935" spans="1:29" ht="13.2">
      <c r="A935" s="113"/>
      <c r="AA935" s="178"/>
      <c r="AB935" s="178"/>
      <c r="AC935" s="178"/>
    </row>
    <row r="936" spans="1:29" ht="13.2">
      <c r="A936" s="113"/>
      <c r="AA936" s="178"/>
      <c r="AB936" s="178"/>
      <c r="AC936" s="178"/>
    </row>
    <row r="937" spans="1:29" ht="13.2">
      <c r="A937" s="113"/>
      <c r="AA937" s="178"/>
      <c r="AB937" s="178"/>
      <c r="AC937" s="178"/>
    </row>
    <row r="938" spans="1:29" ht="13.2">
      <c r="A938" s="113"/>
      <c r="AA938" s="178"/>
      <c r="AB938" s="178"/>
      <c r="AC938" s="178"/>
    </row>
    <row r="939" spans="1:29" ht="13.2">
      <c r="A939" s="113"/>
      <c r="AA939" s="178"/>
      <c r="AB939" s="178"/>
      <c r="AC939" s="178"/>
    </row>
    <row r="940" spans="1:29" ht="13.2">
      <c r="A940" s="113"/>
      <c r="AA940" s="178"/>
      <c r="AB940" s="178"/>
      <c r="AC940" s="178"/>
    </row>
    <row r="941" spans="1:29" ht="13.2">
      <c r="A941" s="113"/>
      <c r="AA941" s="178"/>
      <c r="AB941" s="178"/>
      <c r="AC941" s="178"/>
    </row>
    <row r="942" spans="1:29" ht="13.2">
      <c r="A942" s="113"/>
      <c r="AA942" s="178"/>
      <c r="AB942" s="178"/>
      <c r="AC942" s="178"/>
    </row>
    <row r="943" spans="1:29" ht="13.2">
      <c r="A943" s="113"/>
      <c r="AA943" s="178"/>
      <c r="AB943" s="178"/>
      <c r="AC943" s="178"/>
    </row>
    <row r="944" spans="1:29" ht="13.2">
      <c r="A944" s="113"/>
      <c r="AA944" s="178"/>
      <c r="AB944" s="178"/>
      <c r="AC944" s="178"/>
    </row>
    <row r="945" spans="1:29" ht="13.2">
      <c r="A945" s="113"/>
      <c r="AA945" s="178"/>
      <c r="AB945" s="178"/>
      <c r="AC945" s="178"/>
    </row>
    <row r="946" spans="1:29" ht="13.2">
      <c r="A946" s="113"/>
      <c r="AA946" s="178"/>
      <c r="AB946" s="178"/>
      <c r="AC946" s="178"/>
    </row>
    <row r="947" spans="1:29" ht="13.2">
      <c r="A947" s="113"/>
      <c r="AA947" s="178"/>
      <c r="AB947" s="178"/>
      <c r="AC947" s="178"/>
    </row>
    <row r="948" spans="1:29" ht="13.2">
      <c r="A948" s="113"/>
      <c r="AA948" s="178"/>
      <c r="AB948" s="178"/>
      <c r="AC948" s="178"/>
    </row>
    <row r="949" spans="1:29" ht="13.2">
      <c r="A949" s="113"/>
      <c r="AA949" s="178"/>
      <c r="AB949" s="178"/>
      <c r="AC949" s="178"/>
    </row>
    <row r="950" spans="1:29" ht="13.2">
      <c r="A950" s="113"/>
      <c r="AA950" s="178"/>
      <c r="AB950" s="178"/>
      <c r="AC950" s="178"/>
    </row>
    <row r="951" spans="1:29" ht="13.2">
      <c r="A951" s="113"/>
      <c r="AA951" s="178"/>
      <c r="AB951" s="178"/>
      <c r="AC951" s="178"/>
    </row>
    <row r="952" spans="1:29" ht="13.2">
      <c r="A952" s="113"/>
      <c r="AA952" s="178"/>
      <c r="AB952" s="178"/>
      <c r="AC952" s="178"/>
    </row>
    <row r="953" spans="1:29" ht="13.2">
      <c r="A953" s="113"/>
      <c r="AA953" s="178"/>
      <c r="AB953" s="178"/>
      <c r="AC953" s="178"/>
    </row>
    <row r="954" spans="1:29" ht="13.2">
      <c r="A954" s="113"/>
      <c r="AA954" s="178"/>
      <c r="AB954" s="178"/>
      <c r="AC954" s="178"/>
    </row>
    <row r="955" spans="1:29" ht="13.2">
      <c r="A955" s="113"/>
      <c r="AA955" s="178"/>
      <c r="AB955" s="178"/>
      <c r="AC955" s="178"/>
    </row>
    <row r="956" spans="1:29" ht="13.2">
      <c r="A956" s="113"/>
      <c r="AA956" s="178"/>
      <c r="AB956" s="178"/>
      <c r="AC956" s="178"/>
    </row>
    <row r="957" spans="1:29" ht="13.2">
      <c r="A957" s="113"/>
      <c r="AA957" s="178"/>
      <c r="AB957" s="178"/>
      <c r="AC957" s="178"/>
    </row>
    <row r="958" spans="1:29" ht="13.2">
      <c r="A958" s="113"/>
      <c r="AA958" s="178"/>
      <c r="AB958" s="178"/>
      <c r="AC958" s="178"/>
    </row>
    <row r="959" spans="1:29" ht="13.2">
      <c r="A959" s="113"/>
      <c r="AA959" s="178"/>
      <c r="AB959" s="178"/>
      <c r="AC959" s="178"/>
    </row>
    <row r="960" spans="1:29" ht="13.2">
      <c r="A960" s="113"/>
      <c r="AA960" s="178"/>
      <c r="AB960" s="178"/>
      <c r="AC960" s="178"/>
    </row>
    <row r="961" spans="1:29" ht="13.2">
      <c r="A961" s="113"/>
      <c r="AA961" s="178"/>
      <c r="AB961" s="178"/>
      <c r="AC961" s="178"/>
    </row>
    <row r="962" spans="1:29" ht="13.2">
      <c r="A962" s="113"/>
      <c r="AA962" s="178"/>
      <c r="AB962" s="178"/>
      <c r="AC962" s="178"/>
    </row>
    <row r="963" spans="1:29" ht="13.2">
      <c r="A963" s="113"/>
      <c r="AA963" s="178"/>
      <c r="AB963" s="178"/>
      <c r="AC963" s="178"/>
    </row>
    <row r="964" spans="1:29" ht="13.2">
      <c r="A964" s="113"/>
      <c r="AA964" s="178"/>
      <c r="AB964" s="178"/>
      <c r="AC964" s="178"/>
    </row>
    <row r="965" spans="1:29" ht="13.2">
      <c r="A965" s="113"/>
      <c r="AA965" s="178"/>
      <c r="AB965" s="178"/>
      <c r="AC965" s="178"/>
    </row>
    <row r="966" spans="1:29" ht="13.2">
      <c r="A966" s="113"/>
      <c r="AA966" s="178"/>
      <c r="AB966" s="178"/>
      <c r="AC966" s="178"/>
    </row>
    <row r="967" spans="1:29" ht="13.2">
      <c r="A967" s="113"/>
      <c r="AA967" s="178"/>
      <c r="AB967" s="178"/>
      <c r="AC967" s="178"/>
    </row>
    <row r="968" spans="1:29" ht="13.2">
      <c r="A968" s="113"/>
      <c r="AA968" s="178"/>
      <c r="AB968" s="178"/>
      <c r="AC968" s="178"/>
    </row>
    <row r="969" spans="1:29" ht="13.2">
      <c r="A969" s="113"/>
      <c r="AA969" s="178"/>
      <c r="AB969" s="178"/>
      <c r="AC969" s="178"/>
    </row>
    <row r="970" spans="1:29" ht="13.2">
      <c r="A970" s="113"/>
      <c r="AA970" s="178"/>
      <c r="AB970" s="178"/>
      <c r="AC970" s="178"/>
    </row>
    <row r="971" spans="1:29" ht="13.2">
      <c r="A971" s="113"/>
      <c r="AA971" s="178"/>
      <c r="AB971" s="178"/>
      <c r="AC971" s="178"/>
    </row>
    <row r="972" spans="1:29" ht="13.2">
      <c r="A972" s="113"/>
      <c r="AA972" s="178"/>
      <c r="AB972" s="178"/>
      <c r="AC972" s="178"/>
    </row>
    <row r="973" spans="1:29" ht="13.2">
      <c r="A973" s="113"/>
      <c r="AA973" s="178"/>
      <c r="AB973" s="178"/>
      <c r="AC973" s="178"/>
    </row>
    <row r="974" spans="1:29" ht="13.2">
      <c r="A974" s="113"/>
      <c r="AA974" s="178"/>
      <c r="AB974" s="178"/>
      <c r="AC974" s="178"/>
    </row>
    <row r="975" spans="1:29" ht="13.2">
      <c r="A975" s="113"/>
      <c r="AA975" s="178"/>
      <c r="AB975" s="178"/>
      <c r="AC975" s="178"/>
    </row>
    <row r="976" spans="1:29" ht="13.2">
      <c r="A976" s="113"/>
      <c r="AA976" s="178"/>
      <c r="AB976" s="178"/>
      <c r="AC976" s="178"/>
    </row>
    <row r="977" spans="1:29" ht="13.2">
      <c r="A977" s="113"/>
      <c r="AA977" s="178"/>
      <c r="AB977" s="178"/>
      <c r="AC977" s="178"/>
    </row>
    <row r="978" spans="1:29" ht="13.2">
      <c r="A978" s="113"/>
      <c r="AA978" s="178"/>
      <c r="AB978" s="178"/>
      <c r="AC978" s="178"/>
    </row>
    <row r="979" spans="1:29" ht="13.2">
      <c r="A979" s="113"/>
      <c r="AA979" s="178"/>
      <c r="AB979" s="178"/>
      <c r="AC979" s="178"/>
    </row>
    <row r="980" spans="1:29" ht="13.2">
      <c r="A980" s="113"/>
      <c r="AA980" s="178"/>
      <c r="AB980" s="178"/>
      <c r="AC980" s="178"/>
    </row>
    <row r="981" spans="1:29" ht="13.2">
      <c r="A981" s="113"/>
      <c r="AA981" s="178"/>
      <c r="AB981" s="178"/>
      <c r="AC981" s="178"/>
    </row>
    <row r="982" spans="1:29" ht="13.2">
      <c r="A982" s="113"/>
      <c r="AA982" s="178"/>
      <c r="AB982" s="178"/>
      <c r="AC982" s="178"/>
    </row>
    <row r="983" spans="1:29" ht="13.2">
      <c r="A983" s="113"/>
      <c r="AA983" s="178"/>
      <c r="AB983" s="178"/>
      <c r="AC983" s="178"/>
    </row>
    <row r="984" spans="1:29" ht="13.2">
      <c r="A984" s="113"/>
      <c r="AA984" s="178"/>
      <c r="AB984" s="178"/>
      <c r="AC984" s="178"/>
    </row>
    <row r="985" spans="1:29" ht="13.2">
      <c r="A985" s="113"/>
      <c r="AA985" s="178"/>
      <c r="AB985" s="178"/>
      <c r="AC985" s="178"/>
    </row>
    <row r="986" spans="1:29" ht="13.2">
      <c r="A986" s="113"/>
      <c r="AA986" s="178"/>
      <c r="AB986" s="178"/>
      <c r="AC986" s="178"/>
    </row>
    <row r="987" spans="1:29" ht="13.2">
      <c r="A987" s="113"/>
      <c r="AA987" s="178"/>
      <c r="AB987" s="178"/>
      <c r="AC987" s="178"/>
    </row>
    <row r="988" spans="1:29" ht="13.2">
      <c r="A988" s="113"/>
      <c r="AA988" s="178"/>
      <c r="AB988" s="178"/>
      <c r="AC988" s="178"/>
    </row>
    <row r="989" spans="1:29" ht="13.2">
      <c r="A989" s="113"/>
      <c r="AA989" s="178"/>
      <c r="AB989" s="178"/>
      <c r="AC989" s="178"/>
    </row>
    <row r="990" spans="1:29" ht="13.2">
      <c r="A990" s="113"/>
      <c r="AA990" s="178"/>
      <c r="AB990" s="178"/>
      <c r="AC990" s="178"/>
    </row>
    <row r="991" spans="1:29" ht="13.2">
      <c r="A991" s="113"/>
      <c r="AA991" s="178"/>
      <c r="AB991" s="178"/>
      <c r="AC991" s="178"/>
    </row>
    <row r="992" spans="1:29" ht="13.2">
      <c r="A992" s="113"/>
      <c r="AA992" s="178"/>
      <c r="AB992" s="178"/>
      <c r="AC992" s="178"/>
    </row>
    <row r="993" spans="1:29" ht="13.2">
      <c r="A993" s="113"/>
      <c r="AA993" s="178"/>
      <c r="AB993" s="178"/>
      <c r="AC993" s="178"/>
    </row>
    <row r="994" spans="1:29" ht="13.2">
      <c r="A994" s="113"/>
      <c r="AA994" s="178"/>
      <c r="AB994" s="178"/>
      <c r="AC994" s="178"/>
    </row>
    <row r="995" spans="1:29" ht="13.2">
      <c r="A995" s="113"/>
      <c r="AA995" s="178"/>
      <c r="AB995" s="178"/>
      <c r="AC995" s="178"/>
    </row>
    <row r="996" spans="1:29" ht="13.2">
      <c r="A996" s="113"/>
      <c r="AA996" s="178"/>
      <c r="AB996" s="178"/>
      <c r="AC996" s="178"/>
    </row>
    <row r="997" spans="1:29" ht="13.2">
      <c r="A997" s="113"/>
      <c r="AA997" s="178"/>
      <c r="AB997" s="178"/>
      <c r="AC997" s="178"/>
    </row>
    <row r="998" spans="1:29" ht="13.2">
      <c r="A998" s="113"/>
      <c r="AA998" s="178"/>
      <c r="AB998" s="178"/>
      <c r="AC998" s="178"/>
    </row>
    <row r="999" spans="1:29" ht="13.2">
      <c r="A999" s="113"/>
      <c r="AA999" s="178"/>
      <c r="AB999" s="178"/>
      <c r="AC999" s="178"/>
    </row>
    <row r="1000" spans="1:29" ht="13.2">
      <c r="A1000" s="113"/>
      <c r="AA1000" s="178"/>
      <c r="AB1000" s="178"/>
      <c r="AC1000" s="178"/>
    </row>
    <row r="1001" spans="1:29" ht="13.2">
      <c r="A1001" s="113"/>
      <c r="AA1001" s="178"/>
      <c r="AB1001" s="178"/>
      <c r="AC1001" s="178"/>
    </row>
    <row r="1002" spans="1:29" ht="13.2">
      <c r="A1002" s="113"/>
      <c r="AA1002" s="178"/>
      <c r="AB1002" s="178"/>
      <c r="AC1002" s="178"/>
    </row>
    <row r="1003" spans="1:29" ht="13.2">
      <c r="A1003" s="113"/>
      <c r="AA1003" s="178"/>
      <c r="AB1003" s="178"/>
      <c r="AC1003" s="178"/>
    </row>
    <row r="1004" spans="1:29" ht="13.2">
      <c r="A1004" s="113"/>
      <c r="AA1004" s="178"/>
      <c r="AB1004" s="178"/>
      <c r="AC1004" s="178"/>
    </row>
    <row r="1005" spans="1:29" ht="13.2">
      <c r="A1005" s="113"/>
      <c r="AA1005" s="178"/>
      <c r="AB1005" s="178"/>
      <c r="AC1005" s="178"/>
    </row>
    <row r="1006" spans="1:29" ht="13.2">
      <c r="A1006" s="113"/>
      <c r="AA1006" s="178"/>
      <c r="AB1006" s="178"/>
      <c r="AC1006" s="178"/>
    </row>
    <row r="1007" spans="1:29" ht="13.2">
      <c r="A1007" s="113"/>
      <c r="AA1007" s="178"/>
      <c r="AB1007" s="178"/>
      <c r="AC1007" s="178"/>
    </row>
    <row r="1008" spans="1:29" ht="13.2">
      <c r="A1008" s="113"/>
      <c r="AA1008" s="178"/>
      <c r="AB1008" s="178"/>
      <c r="AC1008" s="178"/>
    </row>
    <row r="1009" spans="1:29" ht="13.2">
      <c r="A1009" s="113"/>
      <c r="AA1009" s="178"/>
      <c r="AB1009" s="178"/>
      <c r="AC1009" s="178"/>
    </row>
    <row r="1010" spans="1:29" ht="13.2">
      <c r="A1010" s="113"/>
      <c r="AA1010" s="178"/>
      <c r="AB1010" s="178"/>
      <c r="AC1010" s="178"/>
    </row>
    <row r="1011" spans="1:29" ht="13.2">
      <c r="A1011" s="113"/>
      <c r="AA1011" s="178"/>
      <c r="AB1011" s="178"/>
      <c r="AC1011" s="178"/>
    </row>
    <row r="1012" spans="1:29" ht="13.2">
      <c r="A1012" s="113"/>
      <c r="AA1012" s="178"/>
      <c r="AB1012" s="178"/>
      <c r="AC1012" s="178"/>
    </row>
    <row r="1013" spans="1:29" ht="13.2">
      <c r="A1013" s="113"/>
      <c r="AA1013" s="178"/>
      <c r="AB1013" s="178"/>
      <c r="AC1013" s="178"/>
    </row>
    <row r="1014" spans="1:29" ht="13.2">
      <c r="A1014" s="113"/>
      <c r="F1014" s="194"/>
      <c r="M1014" s="163"/>
      <c r="N1014" s="145"/>
      <c r="Q1014" s="145"/>
      <c r="AA1014" s="178"/>
      <c r="AB1014" s="178"/>
      <c r="AC1014" s="178"/>
    </row>
  </sheetData>
  <autoFilter ref="B7:AB32" xr:uid="{00000000-0009-0000-0000-000005000000}"/>
  <mergeCells count="12">
    <mergeCell ref="U35:W35"/>
    <mergeCell ref="U36:W36"/>
    <mergeCell ref="U37:W37"/>
    <mergeCell ref="U38:W42"/>
    <mergeCell ref="B3:J6"/>
    <mergeCell ref="K3:V4"/>
    <mergeCell ref="W3:W4"/>
    <mergeCell ref="K5:V6"/>
    <mergeCell ref="W5:W6"/>
    <mergeCell ref="S7:U7"/>
    <mergeCell ref="B33:T43"/>
    <mergeCell ref="U43:W43"/>
  </mergeCells>
  <hyperlinks>
    <hyperlink ref="Z8" r:id="rId1" xr:uid="{00000000-0004-0000-0500-000000000000}"/>
  </hyperlink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1032"/>
  <sheetViews>
    <sheetView topLeftCell="A7" workbookViewId="0">
      <selection activeCell="X35" sqref="X35"/>
    </sheetView>
  </sheetViews>
  <sheetFormatPr defaultColWidth="12.6640625" defaultRowHeight="15.75" customHeight="1"/>
  <cols>
    <col min="3" max="3" width="0" hidden="1" customWidth="1"/>
    <col min="4" max="4" width="15.6640625" hidden="1" customWidth="1"/>
    <col min="5" max="5" width="20.6640625" hidden="1" customWidth="1"/>
    <col min="6" max="7" width="0" hidden="1" customWidth="1"/>
    <col min="9" max="9" width="35.21875" customWidth="1"/>
    <col min="10" max="10" width="0" hidden="1" customWidth="1"/>
    <col min="11" max="12" width="13.44140625" hidden="1" customWidth="1"/>
    <col min="13" max="13" width="0" hidden="1" customWidth="1"/>
    <col min="14" max="14" width="13.77734375" hidden="1" customWidth="1"/>
    <col min="15" max="21" width="0" hidden="1" customWidth="1"/>
    <col min="22" max="22" width="13.88671875" hidden="1" customWidth="1"/>
    <col min="23" max="23" width="16.5546875" customWidth="1"/>
    <col min="24" max="24" width="0" hidden="1" customWidth="1"/>
    <col min="25" max="25" width="14.6640625" hidden="1" customWidth="1"/>
    <col min="26" max="26" width="12.77734375" hidden="1" customWidth="1"/>
    <col min="27" max="27" width="14" customWidth="1"/>
    <col min="28" max="28" width="12.33203125" hidden="1" customWidth="1"/>
    <col min="29" max="29" width="16.44140625" hidden="1" customWidth="1"/>
    <col min="31" max="31" width="18.77734375" bestFit="1" customWidth="1"/>
    <col min="32" max="32" width="16.109375" bestFit="1" customWidth="1"/>
  </cols>
  <sheetData>
    <row r="1" spans="2:32" ht="15.75" customHeight="1">
      <c r="C1" s="208"/>
      <c r="D1" s="208"/>
      <c r="X1" s="114"/>
      <c r="Y1" s="61" t="s">
        <v>327</v>
      </c>
    </row>
    <row r="2" spans="2:32" ht="15.75" customHeight="1">
      <c r="C2" s="208"/>
      <c r="D2" s="208"/>
      <c r="X2" s="115"/>
      <c r="Y2" s="61" t="s">
        <v>328</v>
      </c>
    </row>
    <row r="3" spans="2:32" ht="15.75" customHeight="1">
      <c r="B3" s="645" t="s">
        <v>359</v>
      </c>
      <c r="C3" s="618"/>
      <c r="D3" s="618"/>
      <c r="E3" s="618"/>
      <c r="F3" s="618"/>
      <c r="G3" s="618"/>
      <c r="H3" s="618"/>
      <c r="I3" s="618"/>
      <c r="J3" s="618"/>
      <c r="K3" s="637" t="s">
        <v>329</v>
      </c>
      <c r="L3" s="627"/>
      <c r="M3" s="627"/>
      <c r="N3" s="627"/>
      <c r="O3" s="627"/>
      <c r="P3" s="627"/>
      <c r="Q3" s="627"/>
      <c r="R3" s="627"/>
      <c r="S3" s="627"/>
      <c r="T3" s="627"/>
      <c r="U3" s="627"/>
      <c r="V3" s="628"/>
      <c r="W3" s="639"/>
      <c r="X3" s="116"/>
      <c r="Y3" s="61" t="s">
        <v>330</v>
      </c>
    </row>
    <row r="4" spans="2:32" ht="15.75" customHeight="1">
      <c r="B4" s="618"/>
      <c r="C4" s="618"/>
      <c r="D4" s="618"/>
      <c r="E4" s="618"/>
      <c r="F4" s="618"/>
      <c r="G4" s="618"/>
      <c r="H4" s="618"/>
      <c r="I4" s="618"/>
      <c r="J4" s="618"/>
      <c r="K4" s="638"/>
      <c r="L4" s="625"/>
      <c r="M4" s="625"/>
      <c r="N4" s="625"/>
      <c r="O4" s="625"/>
      <c r="P4" s="625"/>
      <c r="Q4" s="625"/>
      <c r="R4" s="625"/>
      <c r="S4" s="625"/>
      <c r="T4" s="625"/>
      <c r="U4" s="625"/>
      <c r="V4" s="620"/>
      <c r="W4" s="634"/>
      <c r="X4" s="117"/>
      <c r="Y4" s="61" t="s">
        <v>417</v>
      </c>
    </row>
    <row r="5" spans="2:32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46" t="s">
        <v>613</v>
      </c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8"/>
      <c r="W5" s="640"/>
      <c r="X5" s="118"/>
    </row>
    <row r="6" spans="2:32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38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34"/>
      <c r="X6" s="118"/>
    </row>
    <row r="7" spans="2:32" ht="15.75" customHeight="1">
      <c r="B7" s="65" t="s">
        <v>2</v>
      </c>
      <c r="C7" s="66" t="s">
        <v>3</v>
      </c>
      <c r="D7" s="66" t="s">
        <v>4</v>
      </c>
      <c r="E7" s="66" t="s">
        <v>5</v>
      </c>
      <c r="F7" s="65" t="s">
        <v>6</v>
      </c>
      <c r="G7" s="65" t="s">
        <v>333</v>
      </c>
      <c r="H7" s="65" t="s">
        <v>8</v>
      </c>
      <c r="I7" s="65" t="s">
        <v>9</v>
      </c>
      <c r="J7" s="65" t="s">
        <v>10</v>
      </c>
      <c r="K7" s="65" t="s">
        <v>11</v>
      </c>
      <c r="L7" s="65" t="s">
        <v>12</v>
      </c>
      <c r="M7" s="65" t="s">
        <v>13</v>
      </c>
      <c r="N7" s="65" t="s">
        <v>14</v>
      </c>
      <c r="O7" s="65" t="s">
        <v>15</v>
      </c>
      <c r="P7" s="66" t="s">
        <v>16</v>
      </c>
      <c r="Q7" s="66" t="s">
        <v>17</v>
      </c>
      <c r="R7" s="65" t="s">
        <v>18</v>
      </c>
      <c r="S7" s="641" t="s">
        <v>19</v>
      </c>
      <c r="T7" s="642"/>
      <c r="U7" s="643"/>
      <c r="V7" s="65" t="s">
        <v>20</v>
      </c>
      <c r="W7" s="67" t="s">
        <v>334</v>
      </c>
      <c r="X7" s="66" t="s">
        <v>335</v>
      </c>
      <c r="Y7" s="66" t="s">
        <v>336</v>
      </c>
      <c r="Z7" s="66" t="s">
        <v>337</v>
      </c>
      <c r="AA7" s="66" t="s">
        <v>338</v>
      </c>
      <c r="AB7" s="66" t="s">
        <v>339</v>
      </c>
    </row>
    <row r="8" spans="2:32" ht="15.75" customHeight="1">
      <c r="B8" s="68"/>
      <c r="C8" s="69"/>
      <c r="D8" s="69"/>
      <c r="E8" s="69"/>
      <c r="F8" s="68"/>
      <c r="G8" s="68"/>
      <c r="H8" s="68"/>
      <c r="I8" s="68"/>
      <c r="J8" s="68"/>
      <c r="K8" s="68"/>
      <c r="L8" s="68"/>
      <c r="M8" s="68"/>
      <c r="N8" s="68"/>
      <c r="O8" s="68"/>
      <c r="P8" s="69"/>
      <c r="Q8" s="69"/>
      <c r="R8" s="68"/>
      <c r="S8" s="70" t="s">
        <v>22</v>
      </c>
      <c r="T8" s="70" t="s">
        <v>23</v>
      </c>
      <c r="U8" s="70" t="s">
        <v>24</v>
      </c>
      <c r="V8" s="68"/>
      <c r="W8" s="71" t="s">
        <v>25</v>
      </c>
      <c r="X8" s="69"/>
      <c r="Y8" s="69"/>
      <c r="Z8" s="72" t="s">
        <v>340</v>
      </c>
      <c r="AA8" s="69"/>
      <c r="AB8" s="69"/>
    </row>
    <row r="9" spans="2:32" ht="15.75" customHeight="1">
      <c r="B9" s="73">
        <v>1</v>
      </c>
      <c r="C9" s="75">
        <v>2</v>
      </c>
      <c r="D9" s="75">
        <v>3</v>
      </c>
      <c r="E9" s="75">
        <v>4</v>
      </c>
      <c r="F9" s="75">
        <v>5</v>
      </c>
      <c r="G9" s="75">
        <v>6</v>
      </c>
      <c r="H9" s="75">
        <v>7</v>
      </c>
      <c r="I9" s="75">
        <v>8</v>
      </c>
      <c r="J9" s="75">
        <v>9</v>
      </c>
      <c r="K9" s="75">
        <v>10</v>
      </c>
      <c r="L9" s="75">
        <v>11</v>
      </c>
      <c r="M9" s="75">
        <v>12</v>
      </c>
      <c r="N9" s="75">
        <v>13</v>
      </c>
      <c r="O9" s="75">
        <v>14</v>
      </c>
      <c r="P9" s="75">
        <v>15</v>
      </c>
      <c r="Q9" s="75">
        <v>16</v>
      </c>
      <c r="R9" s="75">
        <v>17</v>
      </c>
      <c r="S9" s="75">
        <v>18</v>
      </c>
      <c r="T9" s="75">
        <v>19</v>
      </c>
      <c r="U9" s="75">
        <v>20</v>
      </c>
      <c r="V9" s="75">
        <v>21</v>
      </c>
      <c r="W9" s="75">
        <v>22</v>
      </c>
      <c r="X9" s="75">
        <v>23</v>
      </c>
      <c r="Y9" s="75">
        <v>24</v>
      </c>
      <c r="Z9" s="75">
        <v>24</v>
      </c>
      <c r="AA9" s="75">
        <v>24</v>
      </c>
      <c r="AB9" s="75">
        <v>24</v>
      </c>
      <c r="AD9" s="465" t="s">
        <v>382</v>
      </c>
      <c r="AE9" s="466">
        <f>W25+W26+W49</f>
        <v>74958855</v>
      </c>
      <c r="AF9" s="466">
        <f>AE9/6</f>
        <v>12493142.5</v>
      </c>
    </row>
    <row r="10" spans="2:32" ht="13.2">
      <c r="B10" s="209">
        <v>1</v>
      </c>
      <c r="C10" s="145">
        <v>2000026622</v>
      </c>
      <c r="D10" s="145">
        <v>3000026413</v>
      </c>
      <c r="E10" s="184" t="s">
        <v>614</v>
      </c>
      <c r="F10" s="185">
        <v>45104</v>
      </c>
      <c r="G10" s="186">
        <v>9875000</v>
      </c>
      <c r="H10" s="187" t="s">
        <v>31</v>
      </c>
      <c r="I10" s="210" t="s">
        <v>615</v>
      </c>
      <c r="J10" s="187" t="s">
        <v>421</v>
      </c>
      <c r="K10" s="187" t="s">
        <v>422</v>
      </c>
      <c r="L10" s="130" t="s">
        <v>457</v>
      </c>
      <c r="M10" s="189">
        <v>45110</v>
      </c>
      <c r="N10" s="130" t="s">
        <v>424</v>
      </c>
      <c r="O10" s="187" t="s">
        <v>37</v>
      </c>
      <c r="P10" s="129">
        <v>53000010241</v>
      </c>
      <c r="Q10" s="145" t="s">
        <v>616</v>
      </c>
      <c r="R10" s="164">
        <v>45110</v>
      </c>
      <c r="S10" s="11" t="s">
        <v>39</v>
      </c>
      <c r="T10" s="104" t="s">
        <v>40</v>
      </c>
      <c r="U10" s="16" t="s">
        <v>41</v>
      </c>
      <c r="V10" s="211">
        <v>9875000</v>
      </c>
      <c r="W10" s="26">
        <f t="shared" ref="W10:W51" si="0">V10+(V10*11%)</f>
        <v>10961250</v>
      </c>
      <c r="X10" s="142">
        <v>5000046084</v>
      </c>
      <c r="Y10" s="165" t="s">
        <v>347</v>
      </c>
      <c r="Z10" s="150" t="s">
        <v>347</v>
      </c>
      <c r="AA10" s="162" t="s">
        <v>379</v>
      </c>
      <c r="AB10" s="162" t="s">
        <v>349</v>
      </c>
      <c r="AC10" s="178"/>
      <c r="AD10" s="465" t="s">
        <v>379</v>
      </c>
      <c r="AE10" s="466">
        <f>SUM(W10:W17)+W19+W41+W50+W24+AF9</f>
        <v>347170352.5</v>
      </c>
    </row>
    <row r="11" spans="2:32" ht="13.2">
      <c r="B11" s="209">
        <v>2</v>
      </c>
      <c r="C11" s="183">
        <v>2000026552</v>
      </c>
      <c r="D11" s="183">
        <v>3000026364</v>
      </c>
      <c r="E11" s="184" t="s">
        <v>617</v>
      </c>
      <c r="F11" s="161">
        <v>45104</v>
      </c>
      <c r="G11" s="186">
        <v>12675000</v>
      </c>
      <c r="H11" s="187" t="s">
        <v>31</v>
      </c>
      <c r="I11" s="210" t="s">
        <v>618</v>
      </c>
      <c r="J11" s="187" t="s">
        <v>421</v>
      </c>
      <c r="K11" s="187" t="s">
        <v>422</v>
      </c>
      <c r="L11" s="130" t="s">
        <v>457</v>
      </c>
      <c r="M11" s="163">
        <v>45110</v>
      </c>
      <c r="N11" s="130" t="s">
        <v>424</v>
      </c>
      <c r="O11" s="187" t="s">
        <v>37</v>
      </c>
      <c r="P11" s="129">
        <v>53000010211</v>
      </c>
      <c r="Q11" s="145" t="s">
        <v>619</v>
      </c>
      <c r="R11" s="164">
        <v>45110</v>
      </c>
      <c r="S11" s="11" t="s">
        <v>39</v>
      </c>
      <c r="T11" s="104" t="s">
        <v>40</v>
      </c>
      <c r="U11" s="16" t="s">
        <v>41</v>
      </c>
      <c r="V11" s="212">
        <v>12675000</v>
      </c>
      <c r="W11" s="26">
        <f t="shared" si="0"/>
        <v>14069250</v>
      </c>
      <c r="X11" s="142">
        <v>5000045980</v>
      </c>
      <c r="Y11" s="165" t="s">
        <v>347</v>
      </c>
      <c r="Z11" s="150" t="s">
        <v>347</v>
      </c>
      <c r="AA11" s="162" t="s">
        <v>379</v>
      </c>
      <c r="AB11" s="162" t="s">
        <v>349</v>
      </c>
      <c r="AC11" s="178"/>
      <c r="AD11" t="str">
        <f>AA20</f>
        <v>CENGKIH AFO</v>
      </c>
      <c r="AE11" s="466">
        <f>W20+W43+AF9</f>
        <v>22322192.5</v>
      </c>
    </row>
    <row r="12" spans="2:32" ht="13.2">
      <c r="B12" s="170">
        <v>3</v>
      </c>
      <c r="C12" s="145">
        <v>2000027494</v>
      </c>
      <c r="D12" s="145">
        <v>3000027406</v>
      </c>
      <c r="E12" s="184" t="s">
        <v>620</v>
      </c>
      <c r="F12" s="161">
        <v>45104</v>
      </c>
      <c r="G12" s="139">
        <v>12420000</v>
      </c>
      <c r="H12" s="170" t="s">
        <v>31</v>
      </c>
      <c r="I12" s="201" t="s">
        <v>621</v>
      </c>
      <c r="J12" s="170" t="s">
        <v>421</v>
      </c>
      <c r="K12" s="170" t="s">
        <v>422</v>
      </c>
      <c r="L12" s="130" t="s">
        <v>457</v>
      </c>
      <c r="M12" s="163">
        <v>45110</v>
      </c>
      <c r="N12" s="130" t="s">
        <v>424</v>
      </c>
      <c r="O12" s="170" t="s">
        <v>37</v>
      </c>
      <c r="P12" s="132">
        <v>5300010974</v>
      </c>
      <c r="Q12" s="145" t="s">
        <v>622</v>
      </c>
      <c r="R12" s="164">
        <v>45110</v>
      </c>
      <c r="S12" s="11" t="s">
        <v>132</v>
      </c>
      <c r="T12" s="106" t="s">
        <v>133</v>
      </c>
      <c r="U12" s="16" t="s">
        <v>134</v>
      </c>
      <c r="V12" s="211">
        <v>12420000</v>
      </c>
      <c r="W12" s="26">
        <f t="shared" si="0"/>
        <v>13786200</v>
      </c>
      <c r="X12" s="142">
        <v>5000047383</v>
      </c>
      <c r="Y12" s="165" t="s">
        <v>601</v>
      </c>
      <c r="Z12" s="213" t="s">
        <v>623</v>
      </c>
      <c r="AA12" s="162" t="s">
        <v>379</v>
      </c>
      <c r="AB12" s="162" t="s">
        <v>349</v>
      </c>
      <c r="AC12" s="178"/>
      <c r="AD12" t="str">
        <f>AA21</f>
        <v>TELUK TOLO</v>
      </c>
      <c r="AE12" s="466">
        <f>W21+W23+SUM(W33:W40)+SUM(W45:W48)+W51+AF9</f>
        <v>977058063.16000009</v>
      </c>
    </row>
    <row r="13" spans="2:32" ht="13.2">
      <c r="B13" s="170">
        <v>4</v>
      </c>
      <c r="C13" s="105">
        <v>2000027501</v>
      </c>
      <c r="D13" s="105">
        <v>3000027408</v>
      </c>
      <c r="E13" s="184" t="s">
        <v>624</v>
      </c>
      <c r="F13" s="161">
        <v>45104</v>
      </c>
      <c r="G13" s="141">
        <v>68930000</v>
      </c>
      <c r="H13" s="170" t="s">
        <v>31</v>
      </c>
      <c r="I13" s="201" t="s">
        <v>625</v>
      </c>
      <c r="J13" s="170" t="s">
        <v>421</v>
      </c>
      <c r="K13" s="170" t="s">
        <v>422</v>
      </c>
      <c r="L13" s="130" t="s">
        <v>457</v>
      </c>
      <c r="M13" s="163">
        <v>45110</v>
      </c>
      <c r="N13" s="130" t="s">
        <v>424</v>
      </c>
      <c r="O13" s="170" t="s">
        <v>37</v>
      </c>
      <c r="P13" s="132">
        <v>5300010976</v>
      </c>
      <c r="Q13" s="145" t="s">
        <v>626</v>
      </c>
      <c r="R13" s="164">
        <v>45110</v>
      </c>
      <c r="S13" s="11" t="s">
        <v>132</v>
      </c>
      <c r="T13" s="106" t="s">
        <v>133</v>
      </c>
      <c r="U13" s="16" t="s">
        <v>134</v>
      </c>
      <c r="V13" s="211">
        <v>68930000</v>
      </c>
      <c r="W13" s="26">
        <f t="shared" si="0"/>
        <v>76512300</v>
      </c>
      <c r="X13" s="142">
        <v>5000047385</v>
      </c>
      <c r="Y13" s="165" t="s">
        <v>601</v>
      </c>
      <c r="Z13" s="213" t="s">
        <v>623</v>
      </c>
      <c r="AA13" s="162" t="s">
        <v>379</v>
      </c>
      <c r="AB13" s="162" t="s">
        <v>349</v>
      </c>
      <c r="AC13" s="178"/>
      <c r="AD13" t="str">
        <f>AA22</f>
        <v>TANJUNG API</v>
      </c>
      <c r="AE13" s="466">
        <f>W22+W29+W30+W44+AF9</f>
        <v>54395642.5</v>
      </c>
    </row>
    <row r="14" spans="2:32" ht="13.2">
      <c r="B14" s="170">
        <v>5</v>
      </c>
      <c r="C14" s="145">
        <v>2000027498</v>
      </c>
      <c r="D14" s="145">
        <v>3000027407</v>
      </c>
      <c r="E14" s="184" t="s">
        <v>627</v>
      </c>
      <c r="F14" s="194">
        <v>45104</v>
      </c>
      <c r="G14" s="141">
        <v>56085000</v>
      </c>
      <c r="H14" s="170" t="s">
        <v>31</v>
      </c>
      <c r="I14" s="201" t="s">
        <v>628</v>
      </c>
      <c r="J14" s="170" t="s">
        <v>421</v>
      </c>
      <c r="K14" s="170" t="s">
        <v>422</v>
      </c>
      <c r="L14" s="145" t="s">
        <v>457</v>
      </c>
      <c r="M14" s="163">
        <v>45110</v>
      </c>
      <c r="N14" s="130" t="s">
        <v>424</v>
      </c>
      <c r="O14" s="170" t="s">
        <v>37</v>
      </c>
      <c r="P14" s="132">
        <v>5300010975</v>
      </c>
      <c r="Q14" s="145" t="s">
        <v>629</v>
      </c>
      <c r="R14" s="164">
        <v>45110</v>
      </c>
      <c r="S14" s="11" t="s">
        <v>132</v>
      </c>
      <c r="T14" s="106" t="s">
        <v>133</v>
      </c>
      <c r="U14" s="16" t="s">
        <v>134</v>
      </c>
      <c r="V14" s="211">
        <v>56085000</v>
      </c>
      <c r="W14" s="26">
        <f t="shared" si="0"/>
        <v>62254350</v>
      </c>
      <c r="X14" s="142">
        <v>5000047386</v>
      </c>
      <c r="Y14" s="165" t="s">
        <v>601</v>
      </c>
      <c r="Z14" s="213" t="s">
        <v>623</v>
      </c>
      <c r="AA14" s="162" t="s">
        <v>379</v>
      </c>
      <c r="AB14" s="162" t="s">
        <v>349</v>
      </c>
      <c r="AC14" s="178"/>
      <c r="AD14" t="str">
        <f>AA18</f>
        <v>DOLOSI</v>
      </c>
      <c r="AE14" s="466">
        <f>W18+W28+W31+W32+W42+AF9</f>
        <v>29942342.5</v>
      </c>
    </row>
    <row r="15" spans="2:32" ht="13.2">
      <c r="B15" s="170">
        <v>6</v>
      </c>
      <c r="C15" s="105">
        <v>2000027169</v>
      </c>
      <c r="D15" s="145">
        <v>3000027040</v>
      </c>
      <c r="E15" s="184" t="s">
        <v>630</v>
      </c>
      <c r="F15" s="194">
        <v>45104</v>
      </c>
      <c r="G15" s="139">
        <v>12580000</v>
      </c>
      <c r="H15" s="170" t="s">
        <v>31</v>
      </c>
      <c r="I15" s="201" t="s">
        <v>631</v>
      </c>
      <c r="J15" s="170" t="s">
        <v>421</v>
      </c>
      <c r="K15" s="170" t="s">
        <v>422</v>
      </c>
      <c r="L15" s="145" t="s">
        <v>423</v>
      </c>
      <c r="M15" s="163">
        <v>45110</v>
      </c>
      <c r="N15" s="130" t="s">
        <v>424</v>
      </c>
      <c r="O15" s="170" t="s">
        <v>37</v>
      </c>
      <c r="P15" s="132">
        <v>5300010704</v>
      </c>
      <c r="Q15" s="145" t="s">
        <v>632</v>
      </c>
      <c r="R15" s="164">
        <v>45110</v>
      </c>
      <c r="S15" s="214" t="s">
        <v>183</v>
      </c>
      <c r="T15" s="171"/>
      <c r="U15" s="137"/>
      <c r="V15" s="211">
        <v>11544000</v>
      </c>
      <c r="W15" s="26">
        <f t="shared" si="0"/>
        <v>12813840</v>
      </c>
      <c r="X15" s="142">
        <v>5000046876</v>
      </c>
      <c r="Y15" s="165" t="s">
        <v>601</v>
      </c>
      <c r="Z15" s="150" t="s">
        <v>347</v>
      </c>
      <c r="AA15" s="162" t="s">
        <v>379</v>
      </c>
      <c r="AB15" s="162" t="s">
        <v>349</v>
      </c>
      <c r="AC15" s="178"/>
      <c r="AD15" t="str">
        <f>AA27</f>
        <v>TUNA TOMINI</v>
      </c>
      <c r="AE15" s="467">
        <f>W27+AF9</f>
        <v>35803142.5</v>
      </c>
    </row>
    <row r="16" spans="2:32" ht="13.2">
      <c r="B16" s="170">
        <v>7</v>
      </c>
      <c r="C16" s="105">
        <v>2000026549</v>
      </c>
      <c r="D16" s="145">
        <v>3000026359</v>
      </c>
      <c r="E16" s="184" t="s">
        <v>633</v>
      </c>
      <c r="F16" s="194">
        <v>45104</v>
      </c>
      <c r="G16" s="139">
        <v>20000000</v>
      </c>
      <c r="H16" s="170" t="s">
        <v>31</v>
      </c>
      <c r="I16" s="201" t="s">
        <v>634</v>
      </c>
      <c r="J16" s="170" t="s">
        <v>421</v>
      </c>
      <c r="K16" s="170" t="s">
        <v>505</v>
      </c>
      <c r="L16" s="145" t="s">
        <v>457</v>
      </c>
      <c r="M16" s="163">
        <v>45110</v>
      </c>
      <c r="N16" s="130" t="s">
        <v>424</v>
      </c>
      <c r="O16" s="170" t="s">
        <v>37</v>
      </c>
      <c r="P16" s="132">
        <v>53000010206</v>
      </c>
      <c r="Q16" s="145" t="s">
        <v>635</v>
      </c>
      <c r="R16" s="164">
        <v>45110</v>
      </c>
      <c r="S16" s="11" t="s">
        <v>39</v>
      </c>
      <c r="T16" s="104" t="s">
        <v>40</v>
      </c>
      <c r="U16" s="16" t="s">
        <v>41</v>
      </c>
      <c r="V16" s="211">
        <v>20000000</v>
      </c>
      <c r="W16" s="26">
        <f t="shared" si="0"/>
        <v>22200000</v>
      </c>
      <c r="X16" s="142">
        <v>5000045973</v>
      </c>
      <c r="Y16" s="165" t="s">
        <v>347</v>
      </c>
      <c r="Z16" s="150" t="s">
        <v>347</v>
      </c>
      <c r="AA16" s="162" t="s">
        <v>379</v>
      </c>
      <c r="AB16" s="162" t="s">
        <v>349</v>
      </c>
      <c r="AC16" s="215"/>
      <c r="AE16" s="466">
        <f>SUM(AE10:AE15)</f>
        <v>1466691735.6600001</v>
      </c>
    </row>
    <row r="17" spans="2:29" ht="13.2">
      <c r="B17" s="170">
        <v>8</v>
      </c>
      <c r="C17" s="105">
        <v>2000026532</v>
      </c>
      <c r="D17" s="145">
        <v>3000026342</v>
      </c>
      <c r="E17" s="184" t="s">
        <v>636</v>
      </c>
      <c r="F17" s="194">
        <v>45104</v>
      </c>
      <c r="G17" s="141">
        <v>82400000</v>
      </c>
      <c r="H17" s="170" t="s">
        <v>31</v>
      </c>
      <c r="I17" s="201" t="s">
        <v>637</v>
      </c>
      <c r="J17" s="170" t="s">
        <v>421</v>
      </c>
      <c r="K17" s="170" t="s">
        <v>505</v>
      </c>
      <c r="L17" s="145" t="s">
        <v>457</v>
      </c>
      <c r="M17" s="163">
        <v>45110</v>
      </c>
      <c r="N17" s="130" t="s">
        <v>424</v>
      </c>
      <c r="O17" s="170" t="s">
        <v>37</v>
      </c>
      <c r="P17" s="132">
        <v>53000010190</v>
      </c>
      <c r="Q17" s="145" t="s">
        <v>638</v>
      </c>
      <c r="R17" s="164">
        <v>45110</v>
      </c>
      <c r="S17" s="11" t="s">
        <v>109</v>
      </c>
      <c r="T17" s="104" t="s">
        <v>110</v>
      </c>
      <c r="U17" s="16" t="s">
        <v>111</v>
      </c>
      <c r="V17" s="211">
        <v>70400000</v>
      </c>
      <c r="W17" s="26">
        <f t="shared" si="0"/>
        <v>78144000</v>
      </c>
      <c r="X17" s="142">
        <v>5000045957</v>
      </c>
      <c r="Y17" s="165" t="s">
        <v>347</v>
      </c>
      <c r="Z17" s="150" t="s">
        <v>347</v>
      </c>
      <c r="AA17" s="162" t="s">
        <v>379</v>
      </c>
      <c r="AB17" s="162" t="s">
        <v>349</v>
      </c>
      <c r="AC17" s="215"/>
    </row>
    <row r="18" spans="2:29" ht="13.2">
      <c r="B18" s="209">
        <v>9</v>
      </c>
      <c r="C18" s="105">
        <v>2000026750</v>
      </c>
      <c r="D18" s="145">
        <v>3000026542</v>
      </c>
      <c r="E18" s="184" t="s">
        <v>639</v>
      </c>
      <c r="F18" s="194">
        <v>45112</v>
      </c>
      <c r="G18" s="139">
        <v>2600000</v>
      </c>
      <c r="H18" s="170" t="s">
        <v>31</v>
      </c>
      <c r="I18" s="184" t="s">
        <v>640</v>
      </c>
      <c r="J18" s="170" t="s">
        <v>421</v>
      </c>
      <c r="K18" s="170" t="s">
        <v>422</v>
      </c>
      <c r="L18" s="145" t="s">
        <v>457</v>
      </c>
      <c r="M18" s="163">
        <v>45113</v>
      </c>
      <c r="N18" s="130" t="s">
        <v>424</v>
      </c>
      <c r="O18" s="170" t="s">
        <v>37</v>
      </c>
      <c r="P18" s="132">
        <v>53000010335</v>
      </c>
      <c r="Q18" s="145" t="s">
        <v>641</v>
      </c>
      <c r="R18" s="164">
        <v>45113</v>
      </c>
      <c r="S18" s="11" t="s">
        <v>39</v>
      </c>
      <c r="T18" s="104" t="s">
        <v>40</v>
      </c>
      <c r="U18" s="16" t="s">
        <v>41</v>
      </c>
      <c r="V18" s="139">
        <v>2600000</v>
      </c>
      <c r="W18" s="26">
        <f t="shared" si="0"/>
        <v>2886000</v>
      </c>
      <c r="X18" s="142">
        <v>5000046273</v>
      </c>
      <c r="Y18" s="165" t="s">
        <v>347</v>
      </c>
      <c r="Z18" s="150" t="s">
        <v>347</v>
      </c>
      <c r="AA18" s="162" t="s">
        <v>396</v>
      </c>
      <c r="AB18" s="162" t="s">
        <v>357</v>
      </c>
      <c r="AC18" s="215" t="s">
        <v>642</v>
      </c>
    </row>
    <row r="19" spans="2:29" ht="13.2">
      <c r="B19" s="209">
        <v>10</v>
      </c>
      <c r="C19" s="105">
        <v>2000026535</v>
      </c>
      <c r="D19" s="145">
        <v>3000026346</v>
      </c>
      <c r="E19" s="184" t="s">
        <v>643</v>
      </c>
      <c r="F19" s="194">
        <v>45104</v>
      </c>
      <c r="G19" s="139">
        <v>3200000</v>
      </c>
      <c r="H19" s="170" t="s">
        <v>31</v>
      </c>
      <c r="I19" s="201" t="s">
        <v>644</v>
      </c>
      <c r="J19" s="170" t="s">
        <v>421</v>
      </c>
      <c r="K19" s="170" t="s">
        <v>422</v>
      </c>
      <c r="L19" s="145" t="s">
        <v>457</v>
      </c>
      <c r="M19" s="163">
        <v>45110</v>
      </c>
      <c r="N19" s="130" t="s">
        <v>424</v>
      </c>
      <c r="O19" s="170" t="s">
        <v>37</v>
      </c>
      <c r="P19" s="132">
        <v>53000010202</v>
      </c>
      <c r="Q19" s="145" t="s">
        <v>645</v>
      </c>
      <c r="R19" s="164">
        <v>45110</v>
      </c>
      <c r="S19" s="11" t="s">
        <v>39</v>
      </c>
      <c r="T19" s="104" t="s">
        <v>40</v>
      </c>
      <c r="U19" s="16" t="s">
        <v>41</v>
      </c>
      <c r="V19" s="139">
        <v>3200000</v>
      </c>
      <c r="W19" s="26">
        <f t="shared" si="0"/>
        <v>3552000</v>
      </c>
      <c r="X19" s="142">
        <v>5000045969</v>
      </c>
      <c r="Y19" s="165" t="s">
        <v>347</v>
      </c>
      <c r="Z19" s="150" t="s">
        <v>347</v>
      </c>
      <c r="AA19" s="162" t="s">
        <v>379</v>
      </c>
      <c r="AB19" s="162" t="s">
        <v>349</v>
      </c>
      <c r="AC19" s="215"/>
    </row>
    <row r="20" spans="2:29" ht="13.2">
      <c r="B20" s="209">
        <v>11</v>
      </c>
      <c r="C20" s="56">
        <v>2000027318</v>
      </c>
      <c r="D20" s="56">
        <v>3000027198</v>
      </c>
      <c r="E20" s="144" t="s">
        <v>646</v>
      </c>
      <c r="F20" s="216">
        <v>45124</v>
      </c>
      <c r="G20" s="166">
        <v>4300000</v>
      </c>
      <c r="H20" s="55" t="s">
        <v>31</v>
      </c>
      <c r="I20" s="144" t="s">
        <v>647</v>
      </c>
      <c r="J20" s="55" t="s">
        <v>421</v>
      </c>
      <c r="K20" s="55" t="s">
        <v>422</v>
      </c>
      <c r="L20" s="144" t="s">
        <v>457</v>
      </c>
      <c r="M20" s="167">
        <v>45125</v>
      </c>
      <c r="N20" s="11" t="s">
        <v>424</v>
      </c>
      <c r="O20" s="55" t="s">
        <v>37</v>
      </c>
      <c r="P20" s="119">
        <v>53000010829</v>
      </c>
      <c r="Q20" s="144" t="s">
        <v>648</v>
      </c>
      <c r="R20" s="101">
        <v>45125</v>
      </c>
      <c r="S20" s="11" t="s">
        <v>39</v>
      </c>
      <c r="T20" s="104" t="s">
        <v>40</v>
      </c>
      <c r="U20" s="16" t="s">
        <v>41</v>
      </c>
      <c r="V20" s="166">
        <v>4300000</v>
      </c>
      <c r="W20" s="26">
        <f t="shared" si="0"/>
        <v>4773000</v>
      </c>
      <c r="X20" s="144">
        <v>5000047018</v>
      </c>
      <c r="Y20" s="109" t="s">
        <v>601</v>
      </c>
      <c r="Z20" s="84" t="s">
        <v>347</v>
      </c>
      <c r="AA20" s="55" t="s">
        <v>356</v>
      </c>
      <c r="AB20" s="55" t="s">
        <v>357</v>
      </c>
      <c r="AC20" s="215" t="s">
        <v>649</v>
      </c>
    </row>
    <row r="21" spans="2:29" ht="13.2">
      <c r="B21" s="170">
        <v>12</v>
      </c>
      <c r="C21" s="105">
        <v>2000026758</v>
      </c>
      <c r="D21" s="145">
        <v>3000026550</v>
      </c>
      <c r="E21" s="184" t="s">
        <v>650</v>
      </c>
      <c r="F21" s="194">
        <v>45104</v>
      </c>
      <c r="G21" s="139">
        <v>43078000</v>
      </c>
      <c r="H21" s="170" t="s">
        <v>31</v>
      </c>
      <c r="I21" s="184" t="s">
        <v>651</v>
      </c>
      <c r="J21" s="170" t="s">
        <v>421</v>
      </c>
      <c r="K21" s="170" t="s">
        <v>422</v>
      </c>
      <c r="L21" s="145" t="s">
        <v>457</v>
      </c>
      <c r="M21" s="163">
        <v>45110</v>
      </c>
      <c r="N21" s="130" t="s">
        <v>424</v>
      </c>
      <c r="O21" s="170" t="s">
        <v>37</v>
      </c>
      <c r="P21" s="132">
        <v>53000010341</v>
      </c>
      <c r="Q21" s="145" t="s">
        <v>652</v>
      </c>
      <c r="R21" s="164">
        <v>45110</v>
      </c>
      <c r="S21" s="56" t="s">
        <v>300</v>
      </c>
      <c r="T21" s="104" t="s">
        <v>411</v>
      </c>
      <c r="U21" s="16" t="s">
        <v>412</v>
      </c>
      <c r="V21" s="139">
        <v>39510000</v>
      </c>
      <c r="W21" s="26">
        <f t="shared" si="0"/>
        <v>43856100</v>
      </c>
      <c r="X21" s="142">
        <v>5000046286</v>
      </c>
      <c r="Y21" s="165" t="s">
        <v>347</v>
      </c>
      <c r="Z21" s="150" t="s">
        <v>347</v>
      </c>
      <c r="AA21" s="162" t="s">
        <v>367</v>
      </c>
      <c r="AB21" s="162" t="s">
        <v>349</v>
      </c>
      <c r="AC21" s="215"/>
    </row>
    <row r="22" spans="2:29" ht="13.2">
      <c r="B22" s="170">
        <v>13</v>
      </c>
      <c r="C22" s="105">
        <v>2000026755</v>
      </c>
      <c r="D22" s="145">
        <v>3000026546</v>
      </c>
      <c r="E22" s="184" t="s">
        <v>653</v>
      </c>
      <c r="F22" s="194">
        <v>45104</v>
      </c>
      <c r="G22" s="139">
        <v>17798000</v>
      </c>
      <c r="H22" s="170" t="s">
        <v>31</v>
      </c>
      <c r="I22" s="184" t="s">
        <v>654</v>
      </c>
      <c r="J22" s="170" t="s">
        <v>421</v>
      </c>
      <c r="K22" s="170" t="s">
        <v>422</v>
      </c>
      <c r="L22" s="145" t="s">
        <v>457</v>
      </c>
      <c r="M22" s="163">
        <v>45110</v>
      </c>
      <c r="N22" s="130" t="s">
        <v>424</v>
      </c>
      <c r="O22" s="170" t="s">
        <v>37</v>
      </c>
      <c r="P22" s="132">
        <v>53000010338</v>
      </c>
      <c r="Q22" s="145" t="s">
        <v>655</v>
      </c>
      <c r="R22" s="164">
        <v>45110</v>
      </c>
      <c r="S22" s="56" t="s">
        <v>300</v>
      </c>
      <c r="T22" s="104" t="s">
        <v>411</v>
      </c>
      <c r="U22" s="16" t="s">
        <v>412</v>
      </c>
      <c r="V22" s="139">
        <v>16300000</v>
      </c>
      <c r="W22" s="26">
        <f t="shared" si="0"/>
        <v>18093000</v>
      </c>
      <c r="X22" s="142">
        <v>5000046278</v>
      </c>
      <c r="Y22" s="165" t="s">
        <v>347</v>
      </c>
      <c r="Z22" s="150" t="s">
        <v>347</v>
      </c>
      <c r="AA22" s="162" t="s">
        <v>374</v>
      </c>
      <c r="AB22" s="162" t="s">
        <v>349</v>
      </c>
      <c r="AC22" s="215"/>
    </row>
    <row r="23" spans="2:29" ht="13.2">
      <c r="B23" s="170">
        <v>14</v>
      </c>
      <c r="C23" s="56">
        <v>2000027337</v>
      </c>
      <c r="D23" s="56">
        <v>3000027227</v>
      </c>
      <c r="E23" s="144" t="s">
        <v>656</v>
      </c>
      <c r="F23" s="133">
        <v>45128</v>
      </c>
      <c r="G23" s="166">
        <v>5760000</v>
      </c>
      <c r="H23" s="55" t="s">
        <v>31</v>
      </c>
      <c r="I23" s="144" t="s">
        <v>657</v>
      </c>
      <c r="J23" s="55" t="s">
        <v>421</v>
      </c>
      <c r="K23" s="55" t="s">
        <v>422</v>
      </c>
      <c r="L23" s="144" t="s">
        <v>423</v>
      </c>
      <c r="M23" s="167">
        <v>45131</v>
      </c>
      <c r="N23" s="11" t="s">
        <v>424</v>
      </c>
      <c r="O23" s="55" t="s">
        <v>37</v>
      </c>
      <c r="P23" s="119">
        <v>5300010849</v>
      </c>
      <c r="Q23" s="144" t="s">
        <v>658</v>
      </c>
      <c r="R23" s="101">
        <v>45131</v>
      </c>
      <c r="S23" s="217" t="s">
        <v>177</v>
      </c>
      <c r="T23" s="81" t="s">
        <v>40</v>
      </c>
      <c r="U23" s="81" t="s">
        <v>317</v>
      </c>
      <c r="V23" s="166">
        <v>3840000</v>
      </c>
      <c r="W23" s="26">
        <f t="shared" si="0"/>
        <v>4262400</v>
      </c>
      <c r="X23" s="142">
        <v>5000047396</v>
      </c>
      <c r="Y23" s="165" t="s">
        <v>601</v>
      </c>
      <c r="Z23" s="213" t="s">
        <v>623</v>
      </c>
      <c r="AA23" s="55" t="s">
        <v>367</v>
      </c>
      <c r="AB23" s="55" t="s">
        <v>357</v>
      </c>
      <c r="AC23" s="215"/>
    </row>
    <row r="24" spans="2:29" ht="13.2">
      <c r="B24" s="170">
        <v>17</v>
      </c>
      <c r="C24" s="105">
        <v>2000026483</v>
      </c>
      <c r="D24" s="145">
        <v>3000026305</v>
      </c>
      <c r="E24" s="184" t="s">
        <v>661</v>
      </c>
      <c r="F24" s="194">
        <v>45104</v>
      </c>
      <c r="G24" s="139">
        <v>35850000</v>
      </c>
      <c r="H24" s="170" t="s">
        <v>31</v>
      </c>
      <c r="I24" s="201" t="s">
        <v>662</v>
      </c>
      <c r="J24" s="170" t="s">
        <v>421</v>
      </c>
      <c r="K24" s="170" t="s">
        <v>422</v>
      </c>
      <c r="L24" s="145" t="s">
        <v>423</v>
      </c>
      <c r="M24" s="163">
        <v>45110</v>
      </c>
      <c r="N24" s="145" t="s">
        <v>424</v>
      </c>
      <c r="O24" s="170" t="s">
        <v>37</v>
      </c>
      <c r="P24" s="132">
        <v>5300010166</v>
      </c>
      <c r="Q24" s="145" t="s">
        <v>663</v>
      </c>
      <c r="R24" s="164">
        <v>45110</v>
      </c>
      <c r="S24" s="218" t="s">
        <v>143</v>
      </c>
      <c r="T24" s="106" t="s">
        <v>144</v>
      </c>
      <c r="U24" s="11" t="s">
        <v>145</v>
      </c>
      <c r="V24" s="211">
        <v>27324000</v>
      </c>
      <c r="W24" s="26">
        <f t="shared" si="0"/>
        <v>30329640</v>
      </c>
      <c r="X24" s="142">
        <v>5000047401</v>
      </c>
      <c r="Y24" s="165" t="s">
        <v>601</v>
      </c>
      <c r="Z24" s="150" t="s">
        <v>347</v>
      </c>
      <c r="AA24" s="162" t="s">
        <v>379</v>
      </c>
      <c r="AB24" s="162" t="s">
        <v>349</v>
      </c>
      <c r="AC24" s="215" t="s">
        <v>664</v>
      </c>
    </row>
    <row r="25" spans="2:29" ht="13.2">
      <c r="B25" s="209">
        <v>18</v>
      </c>
      <c r="C25" s="183">
        <v>2000026534</v>
      </c>
      <c r="D25" s="183">
        <v>3000026345</v>
      </c>
      <c r="E25" s="184" t="s">
        <v>665</v>
      </c>
      <c r="F25" s="194">
        <v>45104</v>
      </c>
      <c r="G25" s="139">
        <v>12648000</v>
      </c>
      <c r="H25" s="170" t="s">
        <v>31</v>
      </c>
      <c r="I25" s="184" t="s">
        <v>32</v>
      </c>
      <c r="J25" s="170" t="s">
        <v>421</v>
      </c>
      <c r="K25" s="170" t="s">
        <v>422</v>
      </c>
      <c r="L25" s="145" t="s">
        <v>457</v>
      </c>
      <c r="M25" s="163">
        <v>45110</v>
      </c>
      <c r="N25" s="145" t="s">
        <v>424</v>
      </c>
      <c r="O25" s="170" t="s">
        <v>37</v>
      </c>
      <c r="P25" s="129">
        <v>53000010192</v>
      </c>
      <c r="Q25" s="145" t="s">
        <v>666</v>
      </c>
      <c r="R25" s="164">
        <v>45110</v>
      </c>
      <c r="S25" s="11" t="s">
        <v>39</v>
      </c>
      <c r="T25" s="104" t="s">
        <v>40</v>
      </c>
      <c r="U25" s="16" t="s">
        <v>41</v>
      </c>
      <c r="V25" s="139">
        <v>12648000</v>
      </c>
      <c r="W25" s="26">
        <f t="shared" si="0"/>
        <v>14039280</v>
      </c>
      <c r="X25" s="142">
        <v>5000045959</v>
      </c>
      <c r="Y25" s="165" t="s">
        <v>347</v>
      </c>
      <c r="Z25" s="150" t="s">
        <v>347</v>
      </c>
      <c r="AA25" s="162" t="s">
        <v>382</v>
      </c>
      <c r="AB25" s="162" t="s">
        <v>404</v>
      </c>
      <c r="AC25" s="215"/>
    </row>
    <row r="26" spans="2:29" ht="13.2">
      <c r="B26" s="209">
        <v>19</v>
      </c>
      <c r="C26" s="145">
        <v>2000026535</v>
      </c>
      <c r="D26" s="93">
        <v>3000026344</v>
      </c>
      <c r="E26" s="184" t="s">
        <v>667</v>
      </c>
      <c r="F26" s="194">
        <v>45104</v>
      </c>
      <c r="G26" s="139">
        <v>15372500</v>
      </c>
      <c r="H26" s="170" t="s">
        <v>31</v>
      </c>
      <c r="I26" s="184" t="s">
        <v>43</v>
      </c>
      <c r="J26" s="170" t="s">
        <v>421</v>
      </c>
      <c r="K26" s="170" t="s">
        <v>422</v>
      </c>
      <c r="L26" s="145" t="s">
        <v>457</v>
      </c>
      <c r="M26" s="163">
        <v>45110</v>
      </c>
      <c r="N26" s="145" t="s">
        <v>424</v>
      </c>
      <c r="O26" s="170" t="s">
        <v>37</v>
      </c>
      <c r="P26" s="129">
        <v>53000010191</v>
      </c>
      <c r="Q26" s="145" t="s">
        <v>668</v>
      </c>
      <c r="R26" s="164">
        <v>45110</v>
      </c>
      <c r="S26" s="11" t="s">
        <v>39</v>
      </c>
      <c r="T26" s="104" t="s">
        <v>40</v>
      </c>
      <c r="U26" s="16" t="s">
        <v>41</v>
      </c>
      <c r="V26" s="139">
        <v>15372500</v>
      </c>
      <c r="W26" s="26">
        <f t="shared" si="0"/>
        <v>17063475</v>
      </c>
      <c r="X26" s="142">
        <v>5000045958</v>
      </c>
      <c r="Y26" s="165" t="s">
        <v>347</v>
      </c>
      <c r="Z26" s="150" t="s">
        <v>347</v>
      </c>
      <c r="AA26" s="162" t="s">
        <v>382</v>
      </c>
      <c r="AB26" s="162" t="s">
        <v>404</v>
      </c>
      <c r="AC26" s="215" t="s">
        <v>669</v>
      </c>
    </row>
    <row r="27" spans="2:29" ht="13.2">
      <c r="B27" s="170">
        <v>23</v>
      </c>
      <c r="C27" s="105">
        <v>2000026748</v>
      </c>
      <c r="D27" s="145">
        <v>3000026540</v>
      </c>
      <c r="E27" s="184" t="s">
        <v>670</v>
      </c>
      <c r="F27" s="194">
        <v>45111</v>
      </c>
      <c r="G27" s="139">
        <v>24000000</v>
      </c>
      <c r="H27" s="170" t="s">
        <v>31</v>
      </c>
      <c r="I27" s="152" t="s">
        <v>671</v>
      </c>
      <c r="J27" s="170" t="s">
        <v>421</v>
      </c>
      <c r="K27" s="170" t="s">
        <v>422</v>
      </c>
      <c r="L27" s="145" t="s">
        <v>457</v>
      </c>
      <c r="M27" s="163">
        <v>45112</v>
      </c>
      <c r="N27" s="145" t="s">
        <v>424</v>
      </c>
      <c r="O27" s="170" t="s">
        <v>37</v>
      </c>
      <c r="P27" s="132">
        <v>53000010333</v>
      </c>
      <c r="Q27" s="145" t="s">
        <v>672</v>
      </c>
      <c r="R27" s="164">
        <v>45112</v>
      </c>
      <c r="S27" s="11" t="s">
        <v>109</v>
      </c>
      <c r="T27" s="104" t="s">
        <v>110</v>
      </c>
      <c r="U27" s="16" t="s">
        <v>111</v>
      </c>
      <c r="V27" s="139">
        <v>21000000</v>
      </c>
      <c r="W27" s="26">
        <f t="shared" si="0"/>
        <v>23310000</v>
      </c>
      <c r="X27" s="219">
        <v>5000046271</v>
      </c>
      <c r="Y27" s="165" t="s">
        <v>347</v>
      </c>
      <c r="Z27" s="84" t="s">
        <v>347</v>
      </c>
      <c r="AA27" s="55" t="s">
        <v>348</v>
      </c>
      <c r="AB27" s="162" t="s">
        <v>349</v>
      </c>
    </row>
    <row r="28" spans="2:29" ht="13.2">
      <c r="B28" s="170">
        <v>24</v>
      </c>
      <c r="C28" s="105">
        <v>2000026749</v>
      </c>
      <c r="D28" s="145">
        <v>3000026541</v>
      </c>
      <c r="E28" s="184" t="s">
        <v>673</v>
      </c>
      <c r="F28" s="194">
        <v>45112</v>
      </c>
      <c r="G28" s="139">
        <v>1300000</v>
      </c>
      <c r="H28" s="170" t="s">
        <v>31</v>
      </c>
      <c r="I28" s="184" t="s">
        <v>674</v>
      </c>
      <c r="J28" s="170" t="s">
        <v>421</v>
      </c>
      <c r="K28" s="170" t="s">
        <v>422</v>
      </c>
      <c r="L28" s="145" t="s">
        <v>457</v>
      </c>
      <c r="M28" s="163">
        <v>45113</v>
      </c>
      <c r="N28" s="145" t="s">
        <v>424</v>
      </c>
      <c r="O28" s="170" t="s">
        <v>37</v>
      </c>
      <c r="P28" s="132">
        <v>53000010334</v>
      </c>
      <c r="Q28" s="145" t="s">
        <v>675</v>
      </c>
      <c r="R28" s="220">
        <v>45113</v>
      </c>
      <c r="S28" s="11" t="s">
        <v>39</v>
      </c>
      <c r="T28" s="104" t="s">
        <v>40</v>
      </c>
      <c r="U28" s="16" t="s">
        <v>41</v>
      </c>
      <c r="V28" s="139">
        <v>1300000</v>
      </c>
      <c r="W28" s="26">
        <f t="shared" si="0"/>
        <v>1443000</v>
      </c>
      <c r="X28" s="219">
        <v>5000046272</v>
      </c>
      <c r="Y28" s="165" t="s">
        <v>347</v>
      </c>
      <c r="Z28" s="84" t="s">
        <v>347</v>
      </c>
      <c r="AA28" s="55" t="s">
        <v>396</v>
      </c>
      <c r="AB28" s="55" t="s">
        <v>357</v>
      </c>
    </row>
    <row r="29" spans="2:29" ht="13.2">
      <c r="B29" s="170">
        <v>25</v>
      </c>
      <c r="C29" s="56">
        <v>2000027314</v>
      </c>
      <c r="D29" s="56">
        <v>3000027197</v>
      </c>
      <c r="E29" s="144" t="s">
        <v>676</v>
      </c>
      <c r="F29" s="216">
        <v>45124</v>
      </c>
      <c r="G29" s="166">
        <v>8100000</v>
      </c>
      <c r="H29" s="55" t="s">
        <v>31</v>
      </c>
      <c r="I29" s="144" t="s">
        <v>677</v>
      </c>
      <c r="J29" s="55" t="s">
        <v>421</v>
      </c>
      <c r="K29" s="55" t="s">
        <v>505</v>
      </c>
      <c r="L29" s="144" t="s">
        <v>457</v>
      </c>
      <c r="M29" s="167">
        <v>45125</v>
      </c>
      <c r="N29" s="144" t="s">
        <v>424</v>
      </c>
      <c r="O29" s="55" t="s">
        <v>37</v>
      </c>
      <c r="P29" s="119">
        <v>53000010828</v>
      </c>
      <c r="Q29" s="144" t="s">
        <v>678</v>
      </c>
      <c r="R29" s="101">
        <v>45125</v>
      </c>
      <c r="S29" s="144" t="s">
        <v>39</v>
      </c>
      <c r="T29" s="149" t="s">
        <v>40</v>
      </c>
      <c r="U29" s="143" t="s">
        <v>41</v>
      </c>
      <c r="V29" s="166">
        <v>8100000</v>
      </c>
      <c r="W29" s="26">
        <f t="shared" si="0"/>
        <v>8991000</v>
      </c>
      <c r="X29" s="221">
        <v>5000047015</v>
      </c>
      <c r="Y29" s="109" t="s">
        <v>601</v>
      </c>
      <c r="Z29" s="84" t="s">
        <v>347</v>
      </c>
      <c r="AA29" s="55" t="s">
        <v>374</v>
      </c>
      <c r="AB29" s="55" t="s">
        <v>357</v>
      </c>
    </row>
    <row r="30" spans="2:29" ht="13.2">
      <c r="B30" s="170">
        <v>26</v>
      </c>
      <c r="C30" s="105">
        <v>2000026753</v>
      </c>
      <c r="D30" s="145">
        <v>3000026545</v>
      </c>
      <c r="E30" s="184" t="s">
        <v>679</v>
      </c>
      <c r="F30" s="194">
        <v>45111</v>
      </c>
      <c r="G30" s="139">
        <v>4500000</v>
      </c>
      <c r="H30" s="170" t="s">
        <v>31</v>
      </c>
      <c r="I30" s="184" t="s">
        <v>680</v>
      </c>
      <c r="J30" s="170" t="s">
        <v>421</v>
      </c>
      <c r="K30" s="170" t="s">
        <v>505</v>
      </c>
      <c r="L30" s="145" t="s">
        <v>457</v>
      </c>
      <c r="M30" s="163">
        <v>45112</v>
      </c>
      <c r="N30" s="145" t="s">
        <v>424</v>
      </c>
      <c r="O30" s="170" t="s">
        <v>37</v>
      </c>
      <c r="P30" s="132">
        <v>53000010337</v>
      </c>
      <c r="Q30" s="145" t="s">
        <v>681</v>
      </c>
      <c r="R30" s="164">
        <v>45112</v>
      </c>
      <c r="S30" s="11" t="s">
        <v>39</v>
      </c>
      <c r="T30" s="104" t="s">
        <v>40</v>
      </c>
      <c r="U30" s="16" t="s">
        <v>41</v>
      </c>
      <c r="V30" s="139">
        <v>4500000</v>
      </c>
      <c r="W30" s="26">
        <f t="shared" si="0"/>
        <v>4995000</v>
      </c>
      <c r="X30" s="219">
        <v>5000046277</v>
      </c>
      <c r="Y30" s="165" t="s">
        <v>347</v>
      </c>
      <c r="Z30" s="150" t="s">
        <v>347</v>
      </c>
      <c r="AA30" s="162" t="s">
        <v>374</v>
      </c>
      <c r="AB30" s="162" t="s">
        <v>357</v>
      </c>
    </row>
    <row r="31" spans="2:29" ht="13.2">
      <c r="B31" s="209">
        <v>27</v>
      </c>
      <c r="C31" s="105">
        <v>2000026751</v>
      </c>
      <c r="D31" s="145">
        <v>3000026543</v>
      </c>
      <c r="E31" s="184" t="s">
        <v>682</v>
      </c>
      <c r="F31" s="194">
        <v>45110</v>
      </c>
      <c r="G31" s="139">
        <v>8000000</v>
      </c>
      <c r="H31" s="170" t="s">
        <v>31</v>
      </c>
      <c r="I31" s="184" t="s">
        <v>683</v>
      </c>
      <c r="J31" s="170" t="s">
        <v>421</v>
      </c>
      <c r="K31" s="170" t="s">
        <v>422</v>
      </c>
      <c r="L31" s="145" t="s">
        <v>457</v>
      </c>
      <c r="M31" s="163">
        <v>45111</v>
      </c>
      <c r="N31" s="145" t="s">
        <v>424</v>
      </c>
      <c r="O31" s="170" t="s">
        <v>37</v>
      </c>
      <c r="P31" s="132">
        <v>53000010336</v>
      </c>
      <c r="Q31" s="145" t="s">
        <v>684</v>
      </c>
      <c r="R31" s="164">
        <v>45111</v>
      </c>
      <c r="S31" s="11" t="s">
        <v>39</v>
      </c>
      <c r="T31" s="104" t="s">
        <v>40</v>
      </c>
      <c r="U31" s="16" t="s">
        <v>41</v>
      </c>
      <c r="V31" s="139">
        <v>8000000</v>
      </c>
      <c r="W31" s="26">
        <f t="shared" si="0"/>
        <v>8880000</v>
      </c>
      <c r="X31" s="219">
        <v>5000046275</v>
      </c>
      <c r="Y31" s="165" t="s">
        <v>347</v>
      </c>
      <c r="Z31" s="150" t="s">
        <v>347</v>
      </c>
      <c r="AA31" s="162" t="s">
        <v>396</v>
      </c>
      <c r="AB31" s="162" t="s">
        <v>357</v>
      </c>
    </row>
    <row r="32" spans="2:29" ht="13.2">
      <c r="B32" s="209">
        <v>28</v>
      </c>
      <c r="C32" s="105">
        <v>2000026548</v>
      </c>
      <c r="D32" s="145">
        <v>3000026357</v>
      </c>
      <c r="E32" s="184" t="s">
        <v>685</v>
      </c>
      <c r="F32" s="194">
        <v>45104</v>
      </c>
      <c r="G32" s="139">
        <v>1320000</v>
      </c>
      <c r="H32" s="170" t="s">
        <v>31</v>
      </c>
      <c r="I32" s="184" t="s">
        <v>686</v>
      </c>
      <c r="J32" s="170" t="s">
        <v>421</v>
      </c>
      <c r="K32" s="170" t="s">
        <v>422</v>
      </c>
      <c r="L32" s="145" t="s">
        <v>457</v>
      </c>
      <c r="M32" s="163">
        <v>45110</v>
      </c>
      <c r="N32" s="145" t="s">
        <v>424</v>
      </c>
      <c r="O32" s="170" t="s">
        <v>37</v>
      </c>
      <c r="P32" s="132">
        <v>53000010204</v>
      </c>
      <c r="Q32" s="145" t="s">
        <v>687</v>
      </c>
      <c r="R32" s="164">
        <v>45110</v>
      </c>
      <c r="S32" s="144" t="s">
        <v>39</v>
      </c>
      <c r="T32" s="149" t="s">
        <v>40</v>
      </c>
      <c r="U32" s="143" t="s">
        <v>41</v>
      </c>
      <c r="V32" s="139">
        <v>1320000</v>
      </c>
      <c r="W32" s="26">
        <f t="shared" si="0"/>
        <v>1465200</v>
      </c>
      <c r="X32" s="219">
        <v>5000045971</v>
      </c>
      <c r="Y32" s="165" t="s">
        <v>347</v>
      </c>
      <c r="Z32" s="150" t="s">
        <v>347</v>
      </c>
      <c r="AA32" s="162" t="s">
        <v>396</v>
      </c>
      <c r="AB32" s="162" t="s">
        <v>357</v>
      </c>
    </row>
    <row r="33" spans="1:29" ht="13.2">
      <c r="B33" s="209">
        <v>29</v>
      </c>
      <c r="C33" s="56">
        <v>2000027294</v>
      </c>
      <c r="D33" s="56">
        <v>3000027172</v>
      </c>
      <c r="E33" s="144" t="s">
        <v>688</v>
      </c>
      <c r="F33" s="133">
        <v>45119</v>
      </c>
      <c r="G33" s="166">
        <v>10175000</v>
      </c>
      <c r="H33" s="55" t="s">
        <v>31</v>
      </c>
      <c r="I33" s="222" t="s">
        <v>689</v>
      </c>
      <c r="J33" s="55" t="s">
        <v>421</v>
      </c>
      <c r="K33" s="55" t="s">
        <v>422</v>
      </c>
      <c r="L33" s="144" t="s">
        <v>457</v>
      </c>
      <c r="M33" s="167">
        <v>45120</v>
      </c>
      <c r="N33" s="144" t="s">
        <v>424</v>
      </c>
      <c r="O33" s="55" t="s">
        <v>37</v>
      </c>
      <c r="P33" s="119">
        <v>53000010816</v>
      </c>
      <c r="Q33" s="144" t="s">
        <v>690</v>
      </c>
      <c r="R33" s="101">
        <v>45120</v>
      </c>
      <c r="S33" s="144" t="s">
        <v>39</v>
      </c>
      <c r="T33" s="149" t="s">
        <v>40</v>
      </c>
      <c r="U33" s="143" t="s">
        <v>41</v>
      </c>
      <c r="V33" s="223">
        <v>10175000</v>
      </c>
      <c r="W33" s="26">
        <f t="shared" si="0"/>
        <v>11294250</v>
      </c>
      <c r="X33" s="144">
        <v>5000047009</v>
      </c>
      <c r="Y33" s="109" t="s">
        <v>601</v>
      </c>
      <c r="Z33" s="84" t="s">
        <v>347</v>
      </c>
      <c r="AA33" s="55" t="s">
        <v>367</v>
      </c>
      <c r="AB33" s="55" t="s">
        <v>349</v>
      </c>
    </row>
    <row r="34" spans="1:29" ht="13.2">
      <c r="B34" s="170">
        <v>30</v>
      </c>
      <c r="C34" s="56">
        <v>2000027298</v>
      </c>
      <c r="D34" s="56">
        <v>3000027178</v>
      </c>
      <c r="E34" s="144" t="s">
        <v>691</v>
      </c>
      <c r="F34" s="133">
        <v>45119</v>
      </c>
      <c r="G34" s="166">
        <v>14129000</v>
      </c>
      <c r="H34" s="55" t="s">
        <v>31</v>
      </c>
      <c r="I34" s="222" t="s">
        <v>692</v>
      </c>
      <c r="J34" s="55" t="s">
        <v>421</v>
      </c>
      <c r="K34" s="55" t="s">
        <v>422</v>
      </c>
      <c r="L34" s="144" t="s">
        <v>457</v>
      </c>
      <c r="M34" s="167">
        <v>45120</v>
      </c>
      <c r="N34" s="144" t="s">
        <v>424</v>
      </c>
      <c r="O34" s="55" t="s">
        <v>37</v>
      </c>
      <c r="P34" s="119">
        <v>53000010820</v>
      </c>
      <c r="Q34" s="144" t="s">
        <v>693</v>
      </c>
      <c r="R34" s="101">
        <v>45120</v>
      </c>
      <c r="S34" s="144" t="s">
        <v>39</v>
      </c>
      <c r="T34" s="149" t="s">
        <v>40</v>
      </c>
      <c r="U34" s="143" t="s">
        <v>41</v>
      </c>
      <c r="V34" s="223">
        <v>14129000</v>
      </c>
      <c r="W34" s="26">
        <f t="shared" si="0"/>
        <v>15683190</v>
      </c>
      <c r="X34" s="144">
        <v>5000047007</v>
      </c>
      <c r="Y34" s="109" t="s">
        <v>601</v>
      </c>
      <c r="Z34" s="84" t="s">
        <v>347</v>
      </c>
      <c r="AA34" s="55" t="s">
        <v>367</v>
      </c>
      <c r="AB34" s="55" t="s">
        <v>349</v>
      </c>
    </row>
    <row r="35" spans="1:29" ht="13.2">
      <c r="B35" s="170">
        <v>31</v>
      </c>
      <c r="C35" s="56">
        <v>2000026944</v>
      </c>
      <c r="D35" s="56">
        <v>3000026734</v>
      </c>
      <c r="E35" s="144" t="s">
        <v>694</v>
      </c>
      <c r="F35" s="133">
        <v>45118</v>
      </c>
      <c r="G35" s="173">
        <v>110000000</v>
      </c>
      <c r="H35" s="55" t="s">
        <v>31</v>
      </c>
      <c r="I35" s="222" t="s">
        <v>695</v>
      </c>
      <c r="J35" s="55" t="s">
        <v>421</v>
      </c>
      <c r="K35" s="55" t="s">
        <v>422</v>
      </c>
      <c r="L35" s="144" t="s">
        <v>696</v>
      </c>
      <c r="M35" s="167">
        <v>45119</v>
      </c>
      <c r="N35" s="144" t="s">
        <v>424</v>
      </c>
      <c r="O35" s="55" t="s">
        <v>37</v>
      </c>
      <c r="P35" s="119">
        <v>53000010462</v>
      </c>
      <c r="Q35" s="144" t="s">
        <v>697</v>
      </c>
      <c r="R35" s="101">
        <v>45119</v>
      </c>
      <c r="S35" s="144" t="s">
        <v>698</v>
      </c>
      <c r="T35" s="144"/>
      <c r="U35" s="224"/>
      <c r="V35" s="223">
        <v>105000000</v>
      </c>
      <c r="W35" s="26">
        <f t="shared" si="0"/>
        <v>116550000</v>
      </c>
      <c r="X35" s="144">
        <v>5000046529</v>
      </c>
      <c r="Y35" s="109" t="s">
        <v>347</v>
      </c>
      <c r="Z35" s="213" t="s">
        <v>623</v>
      </c>
      <c r="AA35" s="55" t="s">
        <v>367</v>
      </c>
      <c r="AB35" s="55" t="s">
        <v>349</v>
      </c>
    </row>
    <row r="36" spans="1:29" ht="13.2">
      <c r="B36" s="170">
        <v>32</v>
      </c>
      <c r="C36" s="56">
        <v>2000027503</v>
      </c>
      <c r="D36" s="56">
        <v>3000027409</v>
      </c>
      <c r="E36" s="144" t="s">
        <v>699</v>
      </c>
      <c r="F36" s="133">
        <v>45119</v>
      </c>
      <c r="G36" s="166">
        <v>11040000</v>
      </c>
      <c r="H36" s="55" t="s">
        <v>31</v>
      </c>
      <c r="I36" s="222" t="s">
        <v>700</v>
      </c>
      <c r="J36" s="55" t="s">
        <v>421</v>
      </c>
      <c r="K36" s="55" t="s">
        <v>422</v>
      </c>
      <c r="L36" s="144" t="s">
        <v>457</v>
      </c>
      <c r="M36" s="167">
        <v>45120</v>
      </c>
      <c r="N36" s="144" t="s">
        <v>424</v>
      </c>
      <c r="O36" s="55" t="s">
        <v>37</v>
      </c>
      <c r="P36" s="119">
        <v>5300010977</v>
      </c>
      <c r="Q36" s="144" t="s">
        <v>701</v>
      </c>
      <c r="R36" s="101">
        <v>45120</v>
      </c>
      <c r="S36" s="11" t="s">
        <v>132</v>
      </c>
      <c r="T36" s="106" t="s">
        <v>133</v>
      </c>
      <c r="U36" s="16" t="s">
        <v>134</v>
      </c>
      <c r="V36" s="223">
        <v>11040000</v>
      </c>
      <c r="W36" s="26">
        <f t="shared" si="0"/>
        <v>12254400</v>
      </c>
      <c r="X36" s="144">
        <v>5000047389</v>
      </c>
      <c r="Y36" s="165" t="s">
        <v>601</v>
      </c>
      <c r="Z36" s="213" t="s">
        <v>623</v>
      </c>
      <c r="AA36" s="55" t="s">
        <v>367</v>
      </c>
      <c r="AB36" s="55" t="s">
        <v>349</v>
      </c>
    </row>
    <row r="37" spans="1:29" ht="13.2">
      <c r="B37" s="170">
        <v>33</v>
      </c>
      <c r="C37" s="56">
        <v>2000027505</v>
      </c>
      <c r="D37" s="56">
        <v>3000027412</v>
      </c>
      <c r="E37" s="144" t="s">
        <v>702</v>
      </c>
      <c r="F37" s="133">
        <v>45119</v>
      </c>
      <c r="G37" s="173">
        <v>55515000</v>
      </c>
      <c r="H37" s="55" t="s">
        <v>31</v>
      </c>
      <c r="I37" s="222" t="s">
        <v>703</v>
      </c>
      <c r="J37" s="55" t="s">
        <v>421</v>
      </c>
      <c r="K37" s="55" t="s">
        <v>422</v>
      </c>
      <c r="L37" s="144" t="s">
        <v>457</v>
      </c>
      <c r="M37" s="167">
        <v>45120</v>
      </c>
      <c r="N37" s="144" t="s">
        <v>424</v>
      </c>
      <c r="O37" s="55" t="s">
        <v>37</v>
      </c>
      <c r="P37" s="119">
        <v>5300010979</v>
      </c>
      <c r="Q37" s="144" t="s">
        <v>704</v>
      </c>
      <c r="R37" s="101">
        <v>45120</v>
      </c>
      <c r="S37" s="11" t="s">
        <v>132</v>
      </c>
      <c r="T37" s="106" t="s">
        <v>133</v>
      </c>
      <c r="U37" s="16" t="s">
        <v>134</v>
      </c>
      <c r="V37" s="223">
        <v>55515000</v>
      </c>
      <c r="W37" s="26">
        <f t="shared" si="0"/>
        <v>61621650</v>
      </c>
      <c r="X37" s="144">
        <v>5000047392</v>
      </c>
      <c r="Y37" s="165" t="s">
        <v>601</v>
      </c>
      <c r="Z37" s="213" t="s">
        <v>623</v>
      </c>
      <c r="AA37" s="55" t="s">
        <v>367</v>
      </c>
      <c r="AB37" s="55" t="s">
        <v>349</v>
      </c>
    </row>
    <row r="38" spans="1:29" ht="13.2">
      <c r="B38" s="170">
        <v>34</v>
      </c>
      <c r="C38" s="56">
        <v>2000027504</v>
      </c>
      <c r="D38" s="56">
        <v>3000027411</v>
      </c>
      <c r="E38" s="144" t="s">
        <v>705</v>
      </c>
      <c r="F38" s="133">
        <v>45119</v>
      </c>
      <c r="G38" s="173">
        <v>67270000</v>
      </c>
      <c r="H38" s="55" t="s">
        <v>31</v>
      </c>
      <c r="I38" s="222" t="s">
        <v>706</v>
      </c>
      <c r="J38" s="55" t="s">
        <v>421</v>
      </c>
      <c r="K38" s="55" t="s">
        <v>422</v>
      </c>
      <c r="L38" s="144" t="s">
        <v>457</v>
      </c>
      <c r="M38" s="167">
        <v>45120</v>
      </c>
      <c r="N38" s="144" t="s">
        <v>424</v>
      </c>
      <c r="O38" s="55" t="s">
        <v>37</v>
      </c>
      <c r="P38" s="119">
        <v>5300010978</v>
      </c>
      <c r="Q38" s="144" t="s">
        <v>707</v>
      </c>
      <c r="R38" s="101">
        <v>45120</v>
      </c>
      <c r="S38" s="11" t="s">
        <v>132</v>
      </c>
      <c r="T38" s="106" t="s">
        <v>133</v>
      </c>
      <c r="U38" s="16" t="s">
        <v>134</v>
      </c>
      <c r="V38" s="223">
        <v>67270000</v>
      </c>
      <c r="W38" s="26">
        <f t="shared" si="0"/>
        <v>74669700</v>
      </c>
      <c r="X38" s="144">
        <v>5000047395</v>
      </c>
      <c r="Y38" s="165" t="s">
        <v>601</v>
      </c>
      <c r="Z38" s="213" t="s">
        <v>623</v>
      </c>
      <c r="AA38" s="55" t="s">
        <v>367</v>
      </c>
      <c r="AB38" s="55" t="s">
        <v>349</v>
      </c>
    </row>
    <row r="39" spans="1:29" ht="13.2">
      <c r="B39" s="170">
        <v>35</v>
      </c>
      <c r="C39" s="56">
        <v>2000027182</v>
      </c>
      <c r="D39" s="56">
        <v>3000027050</v>
      </c>
      <c r="E39" s="144" t="s">
        <v>708</v>
      </c>
      <c r="F39" s="216">
        <v>45121</v>
      </c>
      <c r="G39" s="173">
        <v>50700000</v>
      </c>
      <c r="H39" s="55" t="s">
        <v>31</v>
      </c>
      <c r="I39" s="222" t="s">
        <v>709</v>
      </c>
      <c r="J39" s="55" t="s">
        <v>421</v>
      </c>
      <c r="K39" s="55" t="s">
        <v>422</v>
      </c>
      <c r="L39" s="144" t="s">
        <v>423</v>
      </c>
      <c r="M39" s="167">
        <v>45125</v>
      </c>
      <c r="N39" s="144" t="s">
        <v>424</v>
      </c>
      <c r="O39" s="55" t="s">
        <v>37</v>
      </c>
      <c r="P39" s="119">
        <v>5300010713</v>
      </c>
      <c r="Q39" s="144" t="s">
        <v>710</v>
      </c>
      <c r="R39" s="101">
        <v>45125</v>
      </c>
      <c r="S39" s="218" t="s">
        <v>143</v>
      </c>
      <c r="T39" s="106" t="s">
        <v>144</v>
      </c>
      <c r="U39" s="11" t="s">
        <v>145</v>
      </c>
      <c r="V39" s="223">
        <v>35905000</v>
      </c>
      <c r="W39" s="26">
        <f t="shared" si="0"/>
        <v>39854550</v>
      </c>
      <c r="X39" s="142">
        <v>5000047620</v>
      </c>
      <c r="Y39" s="165" t="s">
        <v>601</v>
      </c>
      <c r="Z39" s="84" t="s">
        <v>347</v>
      </c>
      <c r="AA39" s="55" t="s">
        <v>367</v>
      </c>
      <c r="AB39" s="55" t="s">
        <v>349</v>
      </c>
    </row>
    <row r="40" spans="1:29" ht="13.2">
      <c r="B40" s="209">
        <v>36</v>
      </c>
      <c r="C40" s="56">
        <v>2000027289</v>
      </c>
      <c r="D40" s="56">
        <v>3000027171</v>
      </c>
      <c r="E40" s="144" t="s">
        <v>711</v>
      </c>
      <c r="F40" s="216">
        <v>45119</v>
      </c>
      <c r="G40" s="166">
        <v>7800000</v>
      </c>
      <c r="H40" s="55" t="s">
        <v>31</v>
      </c>
      <c r="I40" s="222" t="s">
        <v>712</v>
      </c>
      <c r="J40" s="55" t="s">
        <v>421</v>
      </c>
      <c r="K40" s="55" t="s">
        <v>422</v>
      </c>
      <c r="L40" s="144" t="s">
        <v>423</v>
      </c>
      <c r="M40" s="167">
        <v>45120</v>
      </c>
      <c r="N40" s="144" t="s">
        <v>424</v>
      </c>
      <c r="O40" s="55" t="s">
        <v>37</v>
      </c>
      <c r="P40" s="119">
        <v>53000010815</v>
      </c>
      <c r="Q40" s="144" t="s">
        <v>713</v>
      </c>
      <c r="R40" s="101">
        <v>45120</v>
      </c>
      <c r="S40" s="144" t="s">
        <v>39</v>
      </c>
      <c r="T40" s="149" t="s">
        <v>40</v>
      </c>
      <c r="U40" s="143" t="s">
        <v>41</v>
      </c>
      <c r="V40" s="223">
        <v>7800000</v>
      </c>
      <c r="W40" s="26">
        <f t="shared" si="0"/>
        <v>8658000</v>
      </c>
      <c r="X40" s="144">
        <v>5000046991</v>
      </c>
      <c r="Y40" s="109" t="s">
        <v>601</v>
      </c>
      <c r="Z40" s="84" t="s">
        <v>347</v>
      </c>
      <c r="AA40" s="55" t="s">
        <v>367</v>
      </c>
      <c r="AB40" s="55" t="s">
        <v>349</v>
      </c>
    </row>
    <row r="41" spans="1:29" ht="13.2">
      <c r="B41" s="209">
        <v>37</v>
      </c>
      <c r="C41" s="56">
        <v>2000027300</v>
      </c>
      <c r="D41" s="56">
        <v>3000027179</v>
      </c>
      <c r="E41" s="144" t="s">
        <v>714</v>
      </c>
      <c r="F41" s="216">
        <v>45124</v>
      </c>
      <c r="G41" s="166">
        <v>2500000</v>
      </c>
      <c r="H41" s="55" t="s">
        <v>31</v>
      </c>
      <c r="I41" s="225" t="s">
        <v>715</v>
      </c>
      <c r="J41" s="55" t="s">
        <v>421</v>
      </c>
      <c r="K41" s="55" t="s">
        <v>505</v>
      </c>
      <c r="L41" s="144" t="s">
        <v>457</v>
      </c>
      <c r="M41" s="167">
        <v>45125</v>
      </c>
      <c r="N41" s="144" t="s">
        <v>424</v>
      </c>
      <c r="O41" s="55" t="s">
        <v>37</v>
      </c>
      <c r="P41" s="119">
        <v>53000010821</v>
      </c>
      <c r="Q41" s="144" t="s">
        <v>716</v>
      </c>
      <c r="R41" s="101">
        <v>45125</v>
      </c>
      <c r="S41" s="144" t="s">
        <v>39</v>
      </c>
      <c r="T41" s="149" t="s">
        <v>40</v>
      </c>
      <c r="U41" s="143" t="s">
        <v>41</v>
      </c>
      <c r="V41" s="226">
        <v>2500000</v>
      </c>
      <c r="W41" s="26">
        <f t="shared" si="0"/>
        <v>2775000</v>
      </c>
      <c r="X41" s="144">
        <v>5000047010</v>
      </c>
      <c r="Y41" s="109" t="s">
        <v>601</v>
      </c>
      <c r="Z41" s="84" t="s">
        <v>347</v>
      </c>
      <c r="AA41" s="55" t="s">
        <v>379</v>
      </c>
      <c r="AB41" s="55" t="s">
        <v>349</v>
      </c>
    </row>
    <row r="42" spans="1:29" ht="13.2">
      <c r="B42" s="209">
        <v>38</v>
      </c>
      <c r="C42" s="105">
        <v>2000026546</v>
      </c>
      <c r="D42" s="145">
        <v>3000026356</v>
      </c>
      <c r="E42" s="184" t="s">
        <v>717</v>
      </c>
      <c r="F42" s="194">
        <v>45104</v>
      </c>
      <c r="G42" s="139">
        <v>2500000</v>
      </c>
      <c r="H42" s="170" t="s">
        <v>31</v>
      </c>
      <c r="I42" s="184" t="s">
        <v>686</v>
      </c>
      <c r="J42" s="170" t="s">
        <v>421</v>
      </c>
      <c r="K42" s="170" t="s">
        <v>422</v>
      </c>
      <c r="L42" s="145" t="s">
        <v>457</v>
      </c>
      <c r="M42" s="163">
        <v>45110</v>
      </c>
      <c r="N42" s="145" t="s">
        <v>424</v>
      </c>
      <c r="O42" s="170" t="s">
        <v>37</v>
      </c>
      <c r="P42" s="132">
        <v>53000010203</v>
      </c>
      <c r="Q42" s="145" t="s">
        <v>718</v>
      </c>
      <c r="R42" s="164">
        <v>45110</v>
      </c>
      <c r="S42" s="144" t="s">
        <v>39</v>
      </c>
      <c r="T42" s="149" t="s">
        <v>40</v>
      </c>
      <c r="U42" s="143" t="s">
        <v>41</v>
      </c>
      <c r="V42" s="139">
        <v>2500000</v>
      </c>
      <c r="W42" s="26">
        <f t="shared" si="0"/>
        <v>2775000</v>
      </c>
      <c r="X42" s="142">
        <v>5000045970</v>
      </c>
      <c r="Y42" s="165" t="s">
        <v>347</v>
      </c>
      <c r="Z42" s="150" t="s">
        <v>347</v>
      </c>
      <c r="AA42" s="162" t="s">
        <v>396</v>
      </c>
      <c r="AB42" s="162" t="s">
        <v>357</v>
      </c>
    </row>
    <row r="43" spans="1:29" ht="13.2">
      <c r="B43" s="170">
        <v>39</v>
      </c>
      <c r="C43" s="105">
        <v>2000026520</v>
      </c>
      <c r="D43" s="145">
        <v>3000026333</v>
      </c>
      <c r="E43" s="184" t="s">
        <v>719</v>
      </c>
      <c r="F43" s="194">
        <v>45112</v>
      </c>
      <c r="G43" s="139">
        <v>7605000</v>
      </c>
      <c r="H43" s="170" t="s">
        <v>31</v>
      </c>
      <c r="I43" s="184" t="s">
        <v>720</v>
      </c>
      <c r="J43" s="170" t="s">
        <v>421</v>
      </c>
      <c r="K43" s="170" t="s">
        <v>422</v>
      </c>
      <c r="L43" s="144" t="s">
        <v>423</v>
      </c>
      <c r="M43" s="163">
        <v>45113</v>
      </c>
      <c r="N43" s="145" t="s">
        <v>424</v>
      </c>
      <c r="O43" s="170" t="s">
        <v>37</v>
      </c>
      <c r="P43" s="132">
        <v>5300010185</v>
      </c>
      <c r="Q43" s="145" t="s">
        <v>721</v>
      </c>
      <c r="R43" s="220">
        <v>45113</v>
      </c>
      <c r="S43" s="145" t="s">
        <v>177</v>
      </c>
      <c r="T43" s="136" t="s">
        <v>40</v>
      </c>
      <c r="U43" s="136" t="s">
        <v>317</v>
      </c>
      <c r="V43" s="166">
        <v>4555000</v>
      </c>
      <c r="W43" s="26">
        <f t="shared" si="0"/>
        <v>5056050</v>
      </c>
      <c r="X43" s="142">
        <v>5000047330</v>
      </c>
      <c r="Y43" s="165" t="s">
        <v>601</v>
      </c>
      <c r="Z43" s="213" t="s">
        <v>623</v>
      </c>
      <c r="AA43" s="55" t="s">
        <v>356</v>
      </c>
      <c r="AB43" s="55" t="s">
        <v>357</v>
      </c>
    </row>
    <row r="44" spans="1:29" ht="13.2">
      <c r="B44" s="170">
        <v>40</v>
      </c>
      <c r="C44" s="56">
        <v>2000027323</v>
      </c>
      <c r="D44" s="56">
        <v>3000027172</v>
      </c>
      <c r="E44" s="144" t="s">
        <v>722</v>
      </c>
      <c r="F44" s="216">
        <v>45125</v>
      </c>
      <c r="G44" s="166">
        <v>8850000</v>
      </c>
      <c r="H44" s="55" t="s">
        <v>31</v>
      </c>
      <c r="I44" s="144" t="s">
        <v>723</v>
      </c>
      <c r="J44" s="55" t="s">
        <v>421</v>
      </c>
      <c r="K44" s="55" t="s">
        <v>422</v>
      </c>
      <c r="L44" s="144" t="s">
        <v>457</v>
      </c>
      <c r="M44" s="167">
        <v>45127</v>
      </c>
      <c r="N44" s="144" t="s">
        <v>424</v>
      </c>
      <c r="O44" s="55" t="s">
        <v>37</v>
      </c>
      <c r="P44" s="119">
        <v>53000010831</v>
      </c>
      <c r="Q44" s="144" t="s">
        <v>724</v>
      </c>
      <c r="R44" s="101">
        <v>45127</v>
      </c>
      <c r="S44" s="144" t="s">
        <v>39</v>
      </c>
      <c r="T44" s="149" t="s">
        <v>40</v>
      </c>
      <c r="U44" s="143" t="s">
        <v>41</v>
      </c>
      <c r="V44" s="166">
        <v>8850000</v>
      </c>
      <c r="W44" s="26">
        <f t="shared" si="0"/>
        <v>9823500</v>
      </c>
      <c r="X44" s="144">
        <v>5000047022</v>
      </c>
      <c r="Y44" s="109" t="s">
        <v>601</v>
      </c>
      <c r="Z44" s="84" t="s">
        <v>347</v>
      </c>
      <c r="AA44" s="55" t="s">
        <v>374</v>
      </c>
      <c r="AB44" s="55" t="s">
        <v>357</v>
      </c>
    </row>
    <row r="45" spans="1:29" ht="13.2">
      <c r="B45" s="170">
        <v>44</v>
      </c>
      <c r="C45" s="56">
        <v>2000027282</v>
      </c>
      <c r="D45" s="56">
        <v>3000027225</v>
      </c>
      <c r="E45" s="144" t="s">
        <v>729</v>
      </c>
      <c r="F45" s="216">
        <v>45128</v>
      </c>
      <c r="G45" s="166">
        <v>9007650</v>
      </c>
      <c r="H45" s="55" t="s">
        <v>31</v>
      </c>
      <c r="I45" s="222" t="s">
        <v>730</v>
      </c>
      <c r="J45" s="55" t="s">
        <v>421</v>
      </c>
      <c r="K45" s="55" t="s">
        <v>422</v>
      </c>
      <c r="L45" s="144" t="s">
        <v>423</v>
      </c>
      <c r="M45" s="167">
        <v>45128</v>
      </c>
      <c r="N45" s="144" t="s">
        <v>424</v>
      </c>
      <c r="O45" s="55" t="s">
        <v>37</v>
      </c>
      <c r="P45" s="119">
        <v>5300010850</v>
      </c>
      <c r="Q45" s="144" t="s">
        <v>731</v>
      </c>
      <c r="R45" s="101">
        <v>45131</v>
      </c>
      <c r="S45" s="218" t="s">
        <v>143</v>
      </c>
      <c r="T45" s="106" t="s">
        <v>144</v>
      </c>
      <c r="U45" s="11" t="s">
        <v>145</v>
      </c>
      <c r="V45" s="223">
        <v>8115000</v>
      </c>
      <c r="W45" s="26">
        <f t="shared" si="0"/>
        <v>9007650</v>
      </c>
      <c r="X45" s="142">
        <v>5000047627</v>
      </c>
      <c r="Y45" s="109" t="s">
        <v>601</v>
      </c>
      <c r="Z45" s="84" t="s">
        <v>347</v>
      </c>
      <c r="AA45" s="55" t="s">
        <v>367</v>
      </c>
      <c r="AB45" s="55" t="s">
        <v>349</v>
      </c>
      <c r="AC45" s="110" t="s">
        <v>732</v>
      </c>
    </row>
    <row r="46" spans="1:29" ht="13.2">
      <c r="B46" s="209">
        <v>45</v>
      </c>
      <c r="C46" s="56">
        <v>2000026941</v>
      </c>
      <c r="D46" s="56">
        <v>3000026808</v>
      </c>
      <c r="E46" s="144" t="s">
        <v>733</v>
      </c>
      <c r="F46" s="216">
        <v>45121</v>
      </c>
      <c r="G46" s="166">
        <v>491069320</v>
      </c>
      <c r="H46" s="55" t="s">
        <v>31</v>
      </c>
      <c r="I46" s="222" t="s">
        <v>734</v>
      </c>
      <c r="J46" s="55" t="s">
        <v>421</v>
      </c>
      <c r="K46" s="55" t="s">
        <v>505</v>
      </c>
      <c r="L46" s="144" t="s">
        <v>533</v>
      </c>
      <c r="M46" s="167">
        <v>45121</v>
      </c>
      <c r="N46" s="144" t="s">
        <v>506</v>
      </c>
      <c r="O46" s="55" t="s">
        <v>37</v>
      </c>
      <c r="P46" s="119">
        <v>5200014376</v>
      </c>
      <c r="Q46" s="77" t="s">
        <v>735</v>
      </c>
      <c r="R46" s="101">
        <v>45124</v>
      </c>
      <c r="S46" s="144" t="s">
        <v>736</v>
      </c>
      <c r="T46" s="144"/>
      <c r="U46" s="224"/>
      <c r="V46" s="166">
        <v>456320406</v>
      </c>
      <c r="W46" s="26">
        <f t="shared" si="0"/>
        <v>506515650.66000003</v>
      </c>
      <c r="X46" s="144">
        <v>5000046701</v>
      </c>
      <c r="Y46" s="165" t="s">
        <v>347</v>
      </c>
      <c r="Z46" s="84"/>
      <c r="AA46" s="55" t="s">
        <v>367</v>
      </c>
      <c r="AB46" s="55" t="s">
        <v>349</v>
      </c>
    </row>
    <row r="47" spans="1:29" ht="13.2">
      <c r="A47" s="227"/>
      <c r="B47" s="209">
        <v>46</v>
      </c>
      <c r="C47" s="56">
        <v>2000027280</v>
      </c>
      <c r="D47" s="56">
        <v>3000027223</v>
      </c>
      <c r="E47" s="144" t="s">
        <v>737</v>
      </c>
      <c r="F47" s="133">
        <v>45128</v>
      </c>
      <c r="G47" s="166">
        <v>13460000</v>
      </c>
      <c r="H47" s="55" t="s">
        <v>31</v>
      </c>
      <c r="I47" s="222" t="s">
        <v>738</v>
      </c>
      <c r="J47" s="55" t="s">
        <v>421</v>
      </c>
      <c r="K47" s="55" t="s">
        <v>422</v>
      </c>
      <c r="L47" s="144" t="s">
        <v>423</v>
      </c>
      <c r="M47" s="167">
        <v>45131</v>
      </c>
      <c r="N47" s="144" t="s">
        <v>424</v>
      </c>
      <c r="O47" s="55" t="s">
        <v>37</v>
      </c>
      <c r="P47" s="119">
        <v>5300010851</v>
      </c>
      <c r="Q47" s="144" t="s">
        <v>739</v>
      </c>
      <c r="R47" s="101">
        <v>45131</v>
      </c>
      <c r="S47" s="218" t="s">
        <v>143</v>
      </c>
      <c r="T47" s="106" t="s">
        <v>144</v>
      </c>
      <c r="U47" s="11" t="s">
        <v>145</v>
      </c>
      <c r="V47" s="223">
        <v>10800000</v>
      </c>
      <c r="W47" s="26">
        <f t="shared" si="0"/>
        <v>11988000</v>
      </c>
      <c r="X47" s="142">
        <v>5000047630</v>
      </c>
      <c r="Y47" s="109" t="s">
        <v>601</v>
      </c>
      <c r="Z47" s="84" t="s">
        <v>347</v>
      </c>
      <c r="AA47" s="55" t="s">
        <v>367</v>
      </c>
      <c r="AB47" s="55" t="s">
        <v>349</v>
      </c>
      <c r="AC47" s="227" t="s">
        <v>740</v>
      </c>
    </row>
    <row r="48" spans="1:29" ht="13.2">
      <c r="A48" s="227"/>
      <c r="B48" s="209">
        <v>47</v>
      </c>
      <c r="C48" s="56">
        <v>2000027511</v>
      </c>
      <c r="D48" s="56">
        <v>3000027414</v>
      </c>
      <c r="E48" s="144" t="s">
        <v>741</v>
      </c>
      <c r="F48" s="133">
        <v>45132</v>
      </c>
      <c r="G48" s="172">
        <v>53000000</v>
      </c>
      <c r="H48" s="55" t="s">
        <v>31</v>
      </c>
      <c r="I48" s="222" t="s">
        <v>742</v>
      </c>
      <c r="J48" s="55" t="s">
        <v>421</v>
      </c>
      <c r="K48" s="55" t="s">
        <v>505</v>
      </c>
      <c r="L48" s="144" t="s">
        <v>457</v>
      </c>
      <c r="M48" s="167">
        <v>45133</v>
      </c>
      <c r="N48" s="144" t="s">
        <v>424</v>
      </c>
      <c r="O48" s="55" t="s">
        <v>37</v>
      </c>
      <c r="P48" s="119">
        <v>5300010981</v>
      </c>
      <c r="Q48" s="144" t="s">
        <v>743</v>
      </c>
      <c r="R48" s="101">
        <v>45133</v>
      </c>
      <c r="S48" s="11" t="s">
        <v>109</v>
      </c>
      <c r="T48" s="104" t="s">
        <v>110</v>
      </c>
      <c r="U48" s="16" t="s">
        <v>111</v>
      </c>
      <c r="V48" s="166">
        <v>37000000</v>
      </c>
      <c r="W48" s="26">
        <f t="shared" si="0"/>
        <v>41070000</v>
      </c>
      <c r="X48" s="142">
        <v>5000047356</v>
      </c>
      <c r="Y48" s="165" t="s">
        <v>601</v>
      </c>
      <c r="Z48" s="84" t="s">
        <v>347</v>
      </c>
      <c r="AA48" s="55" t="s">
        <v>367</v>
      </c>
      <c r="AB48" s="55" t="s">
        <v>349</v>
      </c>
      <c r="AC48" s="227"/>
    </row>
    <row r="49" spans="1:29" ht="13.2">
      <c r="A49" s="227"/>
      <c r="B49" s="209">
        <v>48</v>
      </c>
      <c r="C49" s="105">
        <v>2000026756</v>
      </c>
      <c r="D49" s="145">
        <v>3000026548</v>
      </c>
      <c r="E49" s="184" t="s">
        <v>744</v>
      </c>
      <c r="F49" s="194">
        <v>45104</v>
      </c>
      <c r="G49" s="139">
        <v>43078000</v>
      </c>
      <c r="H49" s="170" t="s">
        <v>31</v>
      </c>
      <c r="I49" s="184" t="s">
        <v>745</v>
      </c>
      <c r="J49" s="170" t="s">
        <v>421</v>
      </c>
      <c r="K49" s="170" t="s">
        <v>422</v>
      </c>
      <c r="L49" s="145" t="s">
        <v>457</v>
      </c>
      <c r="M49" s="163">
        <v>45110</v>
      </c>
      <c r="N49" s="145" t="s">
        <v>424</v>
      </c>
      <c r="O49" s="170" t="s">
        <v>37</v>
      </c>
      <c r="P49" s="132">
        <v>53000010339</v>
      </c>
      <c r="Q49" s="145" t="s">
        <v>746</v>
      </c>
      <c r="R49" s="164">
        <v>45110</v>
      </c>
      <c r="S49" s="56" t="s">
        <v>300</v>
      </c>
      <c r="T49" s="149" t="s">
        <v>411</v>
      </c>
      <c r="U49" s="143" t="s">
        <v>412</v>
      </c>
      <c r="V49" s="139">
        <v>39510000</v>
      </c>
      <c r="W49" s="26">
        <f t="shared" si="0"/>
        <v>43856100</v>
      </c>
      <c r="X49" s="142">
        <v>5000046279</v>
      </c>
      <c r="Y49" s="165" t="s">
        <v>347</v>
      </c>
      <c r="Z49" s="150" t="s">
        <v>347</v>
      </c>
      <c r="AA49" s="162" t="s">
        <v>382</v>
      </c>
      <c r="AB49" s="162" t="s">
        <v>357</v>
      </c>
      <c r="AC49" s="227"/>
    </row>
    <row r="50" spans="1:29" ht="13.2">
      <c r="A50" s="227"/>
      <c r="B50" s="209">
        <v>50</v>
      </c>
      <c r="C50" s="105">
        <v>2000027630</v>
      </c>
      <c r="D50" s="105">
        <v>3000027532</v>
      </c>
      <c r="E50" s="142" t="s">
        <v>748</v>
      </c>
      <c r="F50" s="161">
        <v>45132</v>
      </c>
      <c r="G50" s="172">
        <v>8500000</v>
      </c>
      <c r="H50" s="162" t="s">
        <v>31</v>
      </c>
      <c r="I50" s="225" t="s">
        <v>749</v>
      </c>
      <c r="J50" s="162" t="s">
        <v>421</v>
      </c>
      <c r="K50" s="162" t="s">
        <v>422</v>
      </c>
      <c r="L50" s="142" t="s">
        <v>457</v>
      </c>
      <c r="M50" s="228">
        <v>45132</v>
      </c>
      <c r="N50" s="142" t="s">
        <v>424</v>
      </c>
      <c r="O50" s="162" t="s">
        <v>37</v>
      </c>
      <c r="P50" s="105">
        <v>5300011060</v>
      </c>
      <c r="Q50" s="142" t="s">
        <v>750</v>
      </c>
      <c r="R50" s="164">
        <v>45133</v>
      </c>
      <c r="S50" s="137" t="s">
        <v>109</v>
      </c>
      <c r="T50" s="171" t="s">
        <v>110</v>
      </c>
      <c r="U50" s="137" t="s">
        <v>111</v>
      </c>
      <c r="V50" s="172">
        <v>6558000</v>
      </c>
      <c r="W50" s="26">
        <f t="shared" si="0"/>
        <v>7279380</v>
      </c>
      <c r="X50" s="142">
        <v>5000047458</v>
      </c>
      <c r="Y50" s="109" t="s">
        <v>601</v>
      </c>
      <c r="Z50" s="84" t="s">
        <v>347</v>
      </c>
      <c r="AA50" s="55" t="s">
        <v>379</v>
      </c>
      <c r="AB50" s="55" t="s">
        <v>349</v>
      </c>
      <c r="AC50" s="227"/>
    </row>
    <row r="51" spans="1:29" ht="13.2">
      <c r="A51" s="227"/>
      <c r="B51" s="209">
        <v>51</v>
      </c>
      <c r="C51" s="105">
        <v>2000027623</v>
      </c>
      <c r="D51" s="105">
        <v>3000027530</v>
      </c>
      <c r="E51" s="142" t="s">
        <v>751</v>
      </c>
      <c r="F51" s="161">
        <v>45132</v>
      </c>
      <c r="G51" s="172">
        <v>8500000</v>
      </c>
      <c r="H51" s="162" t="s">
        <v>31</v>
      </c>
      <c r="I51" s="222" t="s">
        <v>752</v>
      </c>
      <c r="J51" s="162" t="s">
        <v>421</v>
      </c>
      <c r="K51" s="162" t="s">
        <v>422</v>
      </c>
      <c r="L51" s="142" t="s">
        <v>457</v>
      </c>
      <c r="M51" s="228">
        <v>45132</v>
      </c>
      <c r="N51" s="142" t="s">
        <v>424</v>
      </c>
      <c r="O51" s="162" t="s">
        <v>37</v>
      </c>
      <c r="P51" s="105">
        <v>5300011058</v>
      </c>
      <c r="Q51" s="142" t="s">
        <v>753</v>
      </c>
      <c r="R51" s="164">
        <v>45133</v>
      </c>
      <c r="S51" s="137" t="s">
        <v>109</v>
      </c>
      <c r="T51" s="171" t="s">
        <v>110</v>
      </c>
      <c r="U51" s="137" t="s">
        <v>111</v>
      </c>
      <c r="V51" s="172">
        <v>6558000</v>
      </c>
      <c r="W51" s="26">
        <f t="shared" si="0"/>
        <v>7279380</v>
      </c>
      <c r="X51" s="142">
        <v>5000047456</v>
      </c>
      <c r="Y51" s="109" t="s">
        <v>601</v>
      </c>
      <c r="Z51" s="84" t="s">
        <v>347</v>
      </c>
      <c r="AA51" s="55" t="s">
        <v>367</v>
      </c>
      <c r="AB51" s="55" t="s">
        <v>349</v>
      </c>
      <c r="AC51" s="227"/>
    </row>
    <row r="52" spans="1:29" ht="13.2">
      <c r="C52" s="208"/>
      <c r="D52" s="208"/>
      <c r="O52" s="33"/>
      <c r="U52" s="31"/>
      <c r="V52" s="204">
        <f>SUM(V10:V51)</f>
        <v>1321343906</v>
      </c>
      <c r="W52" s="204">
        <f>SUM(W10:W51)</f>
        <v>1466691735.6600001</v>
      </c>
      <c r="Y52" s="61" t="s">
        <v>611</v>
      </c>
    </row>
    <row r="53" spans="1:29" ht="13.2">
      <c r="C53" s="208"/>
      <c r="D53" s="208"/>
      <c r="U53" s="31"/>
      <c r="V53" s="229"/>
      <c r="W53" s="230">
        <v>0.12092</v>
      </c>
    </row>
    <row r="54" spans="1:29" ht="13.2">
      <c r="C54" s="208"/>
      <c r="D54" s="208"/>
      <c r="W54" s="231"/>
    </row>
    <row r="55" spans="1:29" ht="13.2">
      <c r="C55" s="208"/>
      <c r="D55" s="208"/>
    </row>
    <row r="56" spans="1:29" ht="13.2">
      <c r="C56" s="208"/>
      <c r="D56" s="208"/>
      <c r="V56" s="232"/>
    </row>
    <row r="57" spans="1:29" ht="13.2">
      <c r="C57" s="208"/>
      <c r="D57" s="208"/>
    </row>
    <row r="58" spans="1:29" ht="13.2">
      <c r="C58" s="208"/>
      <c r="D58" s="208"/>
    </row>
    <row r="59" spans="1:29" ht="13.2">
      <c r="C59" s="208"/>
      <c r="D59" s="208"/>
      <c r="R59" s="61" t="s">
        <v>754</v>
      </c>
    </row>
    <row r="60" spans="1:29" ht="13.2">
      <c r="C60" s="208"/>
      <c r="D60" s="208"/>
    </row>
    <row r="61" spans="1:29" ht="13.2">
      <c r="C61" s="208"/>
      <c r="D61" s="208"/>
    </row>
    <row r="62" spans="1:29" ht="13.2">
      <c r="C62" s="208"/>
      <c r="D62" s="208"/>
    </row>
    <row r="63" spans="1:29" ht="13.2">
      <c r="C63" s="208"/>
      <c r="D63" s="208"/>
    </row>
    <row r="64" spans="1:29" ht="13.2">
      <c r="C64" s="208"/>
      <c r="D64" s="208"/>
    </row>
    <row r="65" spans="3:18" ht="13.2">
      <c r="C65" s="208"/>
      <c r="D65" s="208"/>
    </row>
    <row r="66" spans="3:18" ht="13.2">
      <c r="C66" s="208"/>
      <c r="D66" s="208"/>
      <c r="R66" s="61" t="s">
        <v>359</v>
      </c>
    </row>
    <row r="67" spans="3:18" ht="13.2">
      <c r="C67" s="208"/>
      <c r="D67" s="208"/>
    </row>
    <row r="68" spans="3:18" ht="13.2">
      <c r="C68" s="208"/>
      <c r="D68" s="208"/>
    </row>
    <row r="69" spans="3:18" ht="13.2">
      <c r="C69" s="208"/>
      <c r="D69" s="208"/>
    </row>
    <row r="70" spans="3:18" ht="13.2">
      <c r="C70" s="208"/>
      <c r="D70" s="208"/>
    </row>
    <row r="71" spans="3:18" ht="13.2">
      <c r="C71" s="208"/>
      <c r="D71" s="208"/>
    </row>
    <row r="72" spans="3:18" ht="13.2">
      <c r="C72" s="208"/>
      <c r="D72" s="208"/>
    </row>
    <row r="73" spans="3:18" ht="13.2">
      <c r="C73" s="208"/>
      <c r="D73" s="208"/>
    </row>
    <row r="74" spans="3:18" ht="13.2">
      <c r="C74" s="208"/>
      <c r="D74" s="208"/>
    </row>
    <row r="75" spans="3:18" ht="13.2">
      <c r="C75" s="208"/>
      <c r="D75" s="208"/>
    </row>
    <row r="76" spans="3:18" ht="13.2">
      <c r="C76" s="208"/>
      <c r="D76" s="208"/>
    </row>
    <row r="77" spans="3:18" ht="13.2">
      <c r="C77" s="208"/>
      <c r="D77" s="208"/>
    </row>
    <row r="78" spans="3:18" ht="13.2">
      <c r="C78" s="208"/>
      <c r="D78" s="208"/>
    </row>
    <row r="79" spans="3:18" ht="13.2">
      <c r="C79" s="208"/>
      <c r="D79" s="208"/>
    </row>
    <row r="80" spans="3:18" ht="13.2">
      <c r="C80" s="208"/>
      <c r="D80" s="208"/>
    </row>
    <row r="81" spans="3:4" ht="13.2">
      <c r="C81" s="208"/>
      <c r="D81" s="208"/>
    </row>
    <row r="82" spans="3:4" ht="13.2">
      <c r="C82" s="208"/>
      <c r="D82" s="208"/>
    </row>
    <row r="83" spans="3:4" ht="13.2">
      <c r="C83" s="208"/>
      <c r="D83" s="208"/>
    </row>
    <row r="84" spans="3:4" ht="13.2">
      <c r="C84" s="208"/>
      <c r="D84" s="208"/>
    </row>
    <row r="85" spans="3:4" ht="13.2">
      <c r="C85" s="208"/>
      <c r="D85" s="208"/>
    </row>
    <row r="86" spans="3:4" ht="13.2">
      <c r="C86" s="208"/>
      <c r="D86" s="208"/>
    </row>
    <row r="87" spans="3:4" ht="13.2">
      <c r="C87" s="208"/>
      <c r="D87" s="208"/>
    </row>
    <row r="88" spans="3:4" ht="13.2">
      <c r="C88" s="208"/>
      <c r="D88" s="208"/>
    </row>
    <row r="89" spans="3:4" ht="13.2">
      <c r="C89" s="208"/>
      <c r="D89" s="208"/>
    </row>
    <row r="90" spans="3:4" ht="13.2">
      <c r="C90" s="208"/>
      <c r="D90" s="208"/>
    </row>
    <row r="91" spans="3:4" ht="13.2">
      <c r="C91" s="208"/>
      <c r="D91" s="208"/>
    </row>
    <row r="92" spans="3:4" ht="13.2">
      <c r="C92" s="208"/>
      <c r="D92" s="208"/>
    </row>
    <row r="93" spans="3:4" ht="13.2">
      <c r="C93" s="208"/>
      <c r="D93" s="208"/>
    </row>
    <row r="94" spans="3:4" ht="13.2">
      <c r="C94" s="208"/>
      <c r="D94" s="208"/>
    </row>
    <row r="95" spans="3:4" ht="13.2">
      <c r="C95" s="208"/>
      <c r="D95" s="208"/>
    </row>
    <row r="96" spans="3:4" ht="13.2">
      <c r="C96" s="208"/>
      <c r="D96" s="208"/>
    </row>
    <row r="97" spans="3:4" ht="13.2">
      <c r="C97" s="208"/>
      <c r="D97" s="208"/>
    </row>
    <row r="98" spans="3:4" ht="13.2">
      <c r="C98" s="208"/>
      <c r="D98" s="208"/>
    </row>
    <row r="99" spans="3:4" ht="13.2">
      <c r="C99" s="208"/>
      <c r="D99" s="208"/>
    </row>
    <row r="100" spans="3:4" ht="13.2">
      <c r="C100" s="208"/>
      <c r="D100" s="208"/>
    </row>
    <row r="101" spans="3:4" ht="13.2">
      <c r="C101" s="208"/>
      <c r="D101" s="208"/>
    </row>
    <row r="102" spans="3:4" ht="13.2">
      <c r="C102" s="208"/>
      <c r="D102" s="208"/>
    </row>
    <row r="103" spans="3:4" ht="13.2">
      <c r="C103" s="208"/>
      <c r="D103" s="208"/>
    </row>
    <row r="104" spans="3:4" ht="13.2">
      <c r="C104" s="208"/>
      <c r="D104" s="208"/>
    </row>
    <row r="105" spans="3:4" ht="13.2">
      <c r="C105" s="208"/>
      <c r="D105" s="208"/>
    </row>
    <row r="106" spans="3:4" ht="13.2">
      <c r="C106" s="208"/>
      <c r="D106" s="208"/>
    </row>
    <row r="107" spans="3:4" ht="13.2">
      <c r="C107" s="208"/>
      <c r="D107" s="208"/>
    </row>
    <row r="108" spans="3:4" ht="13.2">
      <c r="C108" s="208"/>
      <c r="D108" s="208"/>
    </row>
    <row r="109" spans="3:4" ht="13.2">
      <c r="C109" s="208"/>
      <c r="D109" s="208"/>
    </row>
    <row r="110" spans="3:4" ht="13.2">
      <c r="C110" s="208"/>
      <c r="D110" s="208"/>
    </row>
    <row r="111" spans="3:4" ht="13.2">
      <c r="C111" s="208"/>
      <c r="D111" s="208"/>
    </row>
    <row r="112" spans="3:4" ht="13.2">
      <c r="C112" s="208"/>
      <c r="D112" s="208"/>
    </row>
    <row r="113" spans="3:4" ht="13.2">
      <c r="C113" s="208"/>
      <c r="D113" s="208"/>
    </row>
    <row r="114" spans="3:4" ht="13.2">
      <c r="C114" s="208"/>
      <c r="D114" s="208"/>
    </row>
    <row r="115" spans="3:4" ht="13.2">
      <c r="C115" s="208"/>
      <c r="D115" s="208"/>
    </row>
    <row r="116" spans="3:4" ht="13.2">
      <c r="C116" s="208"/>
      <c r="D116" s="208"/>
    </row>
    <row r="117" spans="3:4" ht="13.2">
      <c r="C117" s="208"/>
      <c r="D117" s="208"/>
    </row>
    <row r="118" spans="3:4" ht="13.2">
      <c r="C118" s="208"/>
      <c r="D118" s="208"/>
    </row>
    <row r="119" spans="3:4" ht="13.2">
      <c r="C119" s="208"/>
      <c r="D119" s="208"/>
    </row>
    <row r="120" spans="3:4" ht="13.2">
      <c r="C120" s="208"/>
      <c r="D120" s="208"/>
    </row>
    <row r="121" spans="3:4" ht="13.2">
      <c r="C121" s="208"/>
      <c r="D121" s="208"/>
    </row>
    <row r="122" spans="3:4" ht="13.2">
      <c r="C122" s="208"/>
      <c r="D122" s="208"/>
    </row>
    <row r="123" spans="3:4" ht="13.2">
      <c r="C123" s="208"/>
      <c r="D123" s="208"/>
    </row>
    <row r="124" spans="3:4" ht="13.2">
      <c r="C124" s="208"/>
      <c r="D124" s="208"/>
    </row>
    <row r="125" spans="3:4" ht="13.2">
      <c r="C125" s="208"/>
      <c r="D125" s="208"/>
    </row>
    <row r="126" spans="3:4" ht="13.2">
      <c r="C126" s="208"/>
      <c r="D126" s="208"/>
    </row>
    <row r="127" spans="3:4" ht="13.2">
      <c r="C127" s="208"/>
      <c r="D127" s="208"/>
    </row>
    <row r="128" spans="3:4" ht="13.2">
      <c r="C128" s="208"/>
      <c r="D128" s="208"/>
    </row>
    <row r="129" spans="3:4" ht="13.2">
      <c r="C129" s="208"/>
      <c r="D129" s="208"/>
    </row>
    <row r="130" spans="3:4" ht="13.2">
      <c r="C130" s="208"/>
      <c r="D130" s="208"/>
    </row>
    <row r="131" spans="3:4" ht="13.2">
      <c r="C131" s="208"/>
      <c r="D131" s="208"/>
    </row>
    <row r="132" spans="3:4" ht="13.2">
      <c r="C132" s="208"/>
      <c r="D132" s="208"/>
    </row>
    <row r="133" spans="3:4" ht="13.2">
      <c r="C133" s="208"/>
      <c r="D133" s="208"/>
    </row>
    <row r="134" spans="3:4" ht="13.2">
      <c r="C134" s="208"/>
      <c r="D134" s="208"/>
    </row>
    <row r="135" spans="3:4" ht="13.2">
      <c r="C135" s="208"/>
      <c r="D135" s="208"/>
    </row>
    <row r="136" spans="3:4" ht="13.2">
      <c r="C136" s="208"/>
      <c r="D136" s="208"/>
    </row>
    <row r="137" spans="3:4" ht="13.2">
      <c r="C137" s="208"/>
      <c r="D137" s="208"/>
    </row>
    <row r="138" spans="3:4" ht="13.2">
      <c r="C138" s="208"/>
      <c r="D138" s="208"/>
    </row>
    <row r="139" spans="3:4" ht="13.2">
      <c r="C139" s="208"/>
      <c r="D139" s="208"/>
    </row>
    <row r="140" spans="3:4" ht="13.2">
      <c r="C140" s="208"/>
      <c r="D140" s="208"/>
    </row>
    <row r="141" spans="3:4" ht="13.2">
      <c r="C141" s="208"/>
      <c r="D141" s="208"/>
    </row>
    <row r="142" spans="3:4" ht="13.2">
      <c r="C142" s="208"/>
      <c r="D142" s="208"/>
    </row>
    <row r="143" spans="3:4" ht="13.2">
      <c r="C143" s="208"/>
      <c r="D143" s="208"/>
    </row>
    <row r="144" spans="3:4" ht="13.2">
      <c r="C144" s="208"/>
      <c r="D144" s="208"/>
    </row>
    <row r="145" spans="3:4" ht="13.2">
      <c r="C145" s="208"/>
      <c r="D145" s="208"/>
    </row>
    <row r="146" spans="3:4" ht="13.2">
      <c r="C146" s="208"/>
      <c r="D146" s="208"/>
    </row>
    <row r="147" spans="3:4" ht="13.2">
      <c r="C147" s="208"/>
      <c r="D147" s="208"/>
    </row>
    <row r="148" spans="3:4" ht="13.2">
      <c r="C148" s="208"/>
      <c r="D148" s="208"/>
    </row>
    <row r="149" spans="3:4" ht="13.2">
      <c r="C149" s="208"/>
      <c r="D149" s="208"/>
    </row>
    <row r="150" spans="3:4" ht="13.2">
      <c r="C150" s="208"/>
      <c r="D150" s="208"/>
    </row>
    <row r="151" spans="3:4" ht="13.2">
      <c r="C151" s="208"/>
      <c r="D151" s="208"/>
    </row>
    <row r="152" spans="3:4" ht="13.2">
      <c r="C152" s="208"/>
      <c r="D152" s="208"/>
    </row>
    <row r="153" spans="3:4" ht="13.2">
      <c r="C153" s="208"/>
      <c r="D153" s="208"/>
    </row>
    <row r="154" spans="3:4" ht="13.2">
      <c r="C154" s="208"/>
      <c r="D154" s="208"/>
    </row>
    <row r="155" spans="3:4" ht="13.2">
      <c r="C155" s="208"/>
      <c r="D155" s="208"/>
    </row>
    <row r="156" spans="3:4" ht="13.2">
      <c r="C156" s="208"/>
      <c r="D156" s="208"/>
    </row>
    <row r="157" spans="3:4" ht="13.2">
      <c r="C157" s="208"/>
      <c r="D157" s="208"/>
    </row>
    <row r="158" spans="3:4" ht="13.2">
      <c r="C158" s="208"/>
      <c r="D158" s="208"/>
    </row>
    <row r="159" spans="3:4" ht="13.2">
      <c r="C159" s="208"/>
      <c r="D159" s="208"/>
    </row>
    <row r="160" spans="3:4" ht="13.2">
      <c r="C160" s="208"/>
      <c r="D160" s="208"/>
    </row>
    <row r="161" spans="3:4" ht="13.2">
      <c r="C161" s="208"/>
      <c r="D161" s="208"/>
    </row>
    <row r="162" spans="3:4" ht="13.2">
      <c r="C162" s="208"/>
      <c r="D162" s="208"/>
    </row>
    <row r="163" spans="3:4" ht="13.2">
      <c r="C163" s="208"/>
      <c r="D163" s="208"/>
    </row>
    <row r="164" spans="3:4" ht="13.2">
      <c r="C164" s="208"/>
      <c r="D164" s="208"/>
    </row>
    <row r="165" spans="3:4" ht="13.2">
      <c r="C165" s="208"/>
      <c r="D165" s="208"/>
    </row>
    <row r="166" spans="3:4" ht="13.2">
      <c r="C166" s="208"/>
      <c r="D166" s="208"/>
    </row>
    <row r="167" spans="3:4" ht="13.2">
      <c r="C167" s="208"/>
      <c r="D167" s="208"/>
    </row>
    <row r="168" spans="3:4" ht="13.2">
      <c r="C168" s="208"/>
      <c r="D168" s="208"/>
    </row>
    <row r="169" spans="3:4" ht="13.2">
      <c r="C169" s="208"/>
      <c r="D169" s="208"/>
    </row>
    <row r="170" spans="3:4" ht="13.2">
      <c r="C170" s="208"/>
      <c r="D170" s="208"/>
    </row>
    <row r="171" spans="3:4" ht="13.2">
      <c r="C171" s="208"/>
      <c r="D171" s="208"/>
    </row>
    <row r="172" spans="3:4" ht="13.2">
      <c r="C172" s="208"/>
      <c r="D172" s="208"/>
    </row>
    <row r="173" spans="3:4" ht="13.2">
      <c r="C173" s="208"/>
      <c r="D173" s="208"/>
    </row>
    <row r="174" spans="3:4" ht="13.2">
      <c r="C174" s="208"/>
      <c r="D174" s="208"/>
    </row>
    <row r="175" spans="3:4" ht="13.2">
      <c r="C175" s="208"/>
      <c r="D175" s="208"/>
    </row>
    <row r="176" spans="3:4" ht="13.2">
      <c r="C176" s="208"/>
      <c r="D176" s="208"/>
    </row>
    <row r="177" spans="3:4" ht="13.2">
      <c r="C177" s="208"/>
      <c r="D177" s="208"/>
    </row>
    <row r="178" spans="3:4" ht="13.2">
      <c r="C178" s="208"/>
      <c r="D178" s="208"/>
    </row>
    <row r="179" spans="3:4" ht="13.2">
      <c r="C179" s="208"/>
      <c r="D179" s="208"/>
    </row>
    <row r="180" spans="3:4" ht="13.2">
      <c r="C180" s="208"/>
      <c r="D180" s="208"/>
    </row>
    <row r="181" spans="3:4" ht="13.2">
      <c r="C181" s="208"/>
      <c r="D181" s="208"/>
    </row>
    <row r="182" spans="3:4" ht="13.2">
      <c r="C182" s="208"/>
      <c r="D182" s="208"/>
    </row>
    <row r="183" spans="3:4" ht="13.2">
      <c r="C183" s="208"/>
      <c r="D183" s="208"/>
    </row>
    <row r="184" spans="3:4" ht="13.2">
      <c r="C184" s="208"/>
      <c r="D184" s="208"/>
    </row>
    <row r="185" spans="3:4" ht="13.2">
      <c r="C185" s="208"/>
      <c r="D185" s="208"/>
    </row>
    <row r="186" spans="3:4" ht="13.2">
      <c r="C186" s="208"/>
      <c r="D186" s="208"/>
    </row>
    <row r="187" spans="3:4" ht="13.2">
      <c r="C187" s="208"/>
      <c r="D187" s="208"/>
    </row>
    <row r="188" spans="3:4" ht="13.2">
      <c r="C188" s="208"/>
      <c r="D188" s="208"/>
    </row>
    <row r="189" spans="3:4" ht="13.2">
      <c r="C189" s="208"/>
      <c r="D189" s="208"/>
    </row>
    <row r="190" spans="3:4" ht="13.2">
      <c r="C190" s="208"/>
      <c r="D190" s="208"/>
    </row>
    <row r="191" spans="3:4" ht="13.2">
      <c r="C191" s="208"/>
      <c r="D191" s="208"/>
    </row>
    <row r="192" spans="3:4" ht="13.2">
      <c r="C192" s="208"/>
      <c r="D192" s="208"/>
    </row>
    <row r="193" spans="3:4" ht="13.2">
      <c r="C193" s="208"/>
      <c r="D193" s="208"/>
    </row>
    <row r="194" spans="3:4" ht="13.2">
      <c r="C194" s="208"/>
      <c r="D194" s="208"/>
    </row>
    <row r="195" spans="3:4" ht="13.2">
      <c r="C195" s="208"/>
      <c r="D195" s="208"/>
    </row>
    <row r="196" spans="3:4" ht="13.2">
      <c r="C196" s="208"/>
      <c r="D196" s="208"/>
    </row>
    <row r="197" spans="3:4" ht="13.2">
      <c r="C197" s="208"/>
      <c r="D197" s="208"/>
    </row>
    <row r="198" spans="3:4" ht="13.2">
      <c r="C198" s="208"/>
      <c r="D198" s="208"/>
    </row>
    <row r="199" spans="3:4" ht="13.2">
      <c r="C199" s="208"/>
      <c r="D199" s="208"/>
    </row>
    <row r="200" spans="3:4" ht="13.2">
      <c r="C200" s="208"/>
      <c r="D200" s="208"/>
    </row>
    <row r="201" spans="3:4" ht="13.2">
      <c r="C201" s="208"/>
      <c r="D201" s="208"/>
    </row>
    <row r="202" spans="3:4" ht="13.2">
      <c r="C202" s="208"/>
      <c r="D202" s="208"/>
    </row>
    <row r="203" spans="3:4" ht="13.2">
      <c r="C203" s="208"/>
      <c r="D203" s="208"/>
    </row>
    <row r="204" spans="3:4" ht="13.2">
      <c r="C204" s="208"/>
      <c r="D204" s="208"/>
    </row>
    <row r="205" spans="3:4" ht="13.2">
      <c r="C205" s="208"/>
      <c r="D205" s="208"/>
    </row>
    <row r="206" spans="3:4" ht="13.2">
      <c r="C206" s="208"/>
      <c r="D206" s="208"/>
    </row>
    <row r="207" spans="3:4" ht="13.2">
      <c r="C207" s="208"/>
      <c r="D207" s="208"/>
    </row>
    <row r="208" spans="3:4" ht="13.2">
      <c r="C208" s="208"/>
      <c r="D208" s="208"/>
    </row>
    <row r="209" spans="3:4" ht="13.2">
      <c r="C209" s="208"/>
      <c r="D209" s="208"/>
    </row>
    <row r="210" spans="3:4" ht="13.2">
      <c r="C210" s="208"/>
      <c r="D210" s="208"/>
    </row>
    <row r="211" spans="3:4" ht="13.2">
      <c r="C211" s="208"/>
      <c r="D211" s="208"/>
    </row>
    <row r="212" spans="3:4" ht="13.2">
      <c r="C212" s="208"/>
      <c r="D212" s="208"/>
    </row>
    <row r="213" spans="3:4" ht="13.2">
      <c r="C213" s="208"/>
      <c r="D213" s="208"/>
    </row>
    <row r="214" spans="3:4" ht="13.2">
      <c r="C214" s="208"/>
      <c r="D214" s="208"/>
    </row>
    <row r="215" spans="3:4" ht="13.2">
      <c r="C215" s="208"/>
      <c r="D215" s="208"/>
    </row>
    <row r="216" spans="3:4" ht="13.2">
      <c r="C216" s="208"/>
      <c r="D216" s="208"/>
    </row>
    <row r="217" spans="3:4" ht="13.2">
      <c r="C217" s="208"/>
      <c r="D217" s="208"/>
    </row>
    <row r="218" spans="3:4" ht="13.2">
      <c r="C218" s="208"/>
      <c r="D218" s="208"/>
    </row>
    <row r="219" spans="3:4" ht="13.2">
      <c r="C219" s="208"/>
      <c r="D219" s="208"/>
    </row>
    <row r="220" spans="3:4" ht="13.2">
      <c r="C220" s="208"/>
      <c r="D220" s="208"/>
    </row>
    <row r="221" spans="3:4" ht="13.2">
      <c r="C221" s="208"/>
      <c r="D221" s="208"/>
    </row>
    <row r="222" spans="3:4" ht="13.2">
      <c r="C222" s="208"/>
      <c r="D222" s="208"/>
    </row>
    <row r="223" spans="3:4" ht="13.2">
      <c r="C223" s="208"/>
      <c r="D223" s="208"/>
    </row>
    <row r="224" spans="3:4" ht="13.2">
      <c r="C224" s="208"/>
      <c r="D224" s="208"/>
    </row>
    <row r="225" spans="3:4" ht="13.2">
      <c r="C225" s="208"/>
      <c r="D225" s="208"/>
    </row>
    <row r="226" spans="3:4" ht="13.2">
      <c r="C226" s="208"/>
      <c r="D226" s="208"/>
    </row>
    <row r="227" spans="3:4" ht="13.2">
      <c r="C227" s="208"/>
      <c r="D227" s="208"/>
    </row>
    <row r="228" spans="3:4" ht="13.2">
      <c r="C228" s="208"/>
      <c r="D228" s="208"/>
    </row>
    <row r="229" spans="3:4" ht="13.2">
      <c r="C229" s="208"/>
      <c r="D229" s="208"/>
    </row>
    <row r="230" spans="3:4" ht="13.2">
      <c r="C230" s="208"/>
      <c r="D230" s="208"/>
    </row>
    <row r="231" spans="3:4" ht="13.2">
      <c r="C231" s="208"/>
      <c r="D231" s="208"/>
    </row>
    <row r="232" spans="3:4" ht="13.2">
      <c r="C232" s="208"/>
      <c r="D232" s="208"/>
    </row>
    <row r="233" spans="3:4" ht="13.2">
      <c r="C233" s="208"/>
      <c r="D233" s="208"/>
    </row>
    <row r="234" spans="3:4" ht="13.2">
      <c r="C234" s="208"/>
      <c r="D234" s="208"/>
    </row>
    <row r="235" spans="3:4" ht="13.2">
      <c r="C235" s="208"/>
      <c r="D235" s="208"/>
    </row>
    <row r="236" spans="3:4" ht="13.2">
      <c r="C236" s="208"/>
      <c r="D236" s="208"/>
    </row>
    <row r="237" spans="3:4" ht="13.2">
      <c r="C237" s="208"/>
      <c r="D237" s="208"/>
    </row>
    <row r="238" spans="3:4" ht="13.2">
      <c r="C238" s="208"/>
      <c r="D238" s="208"/>
    </row>
    <row r="239" spans="3:4" ht="13.2">
      <c r="C239" s="208"/>
      <c r="D239" s="208"/>
    </row>
    <row r="240" spans="3:4" ht="13.2">
      <c r="C240" s="208"/>
      <c r="D240" s="208"/>
    </row>
    <row r="241" spans="3:4" ht="13.2">
      <c r="C241" s="208"/>
      <c r="D241" s="208"/>
    </row>
    <row r="242" spans="3:4" ht="13.2">
      <c r="C242" s="208"/>
      <c r="D242" s="208"/>
    </row>
    <row r="243" spans="3:4" ht="13.2">
      <c r="C243" s="208"/>
      <c r="D243" s="208"/>
    </row>
    <row r="244" spans="3:4" ht="13.2">
      <c r="C244" s="208"/>
      <c r="D244" s="208"/>
    </row>
    <row r="245" spans="3:4" ht="13.2">
      <c r="C245" s="208"/>
      <c r="D245" s="208"/>
    </row>
    <row r="246" spans="3:4" ht="13.2">
      <c r="C246" s="208"/>
      <c r="D246" s="208"/>
    </row>
    <row r="247" spans="3:4" ht="13.2">
      <c r="C247" s="208"/>
      <c r="D247" s="208"/>
    </row>
    <row r="248" spans="3:4" ht="13.2">
      <c r="C248" s="208"/>
      <c r="D248" s="208"/>
    </row>
    <row r="249" spans="3:4" ht="13.2">
      <c r="C249" s="208"/>
      <c r="D249" s="208"/>
    </row>
    <row r="250" spans="3:4" ht="13.2">
      <c r="C250" s="208"/>
      <c r="D250" s="208"/>
    </row>
    <row r="251" spans="3:4" ht="13.2">
      <c r="C251" s="208"/>
      <c r="D251" s="208"/>
    </row>
    <row r="252" spans="3:4" ht="13.2">
      <c r="C252" s="208"/>
      <c r="D252" s="208"/>
    </row>
    <row r="253" spans="3:4" ht="13.2">
      <c r="C253" s="208"/>
      <c r="D253" s="208"/>
    </row>
    <row r="254" spans="3:4" ht="13.2">
      <c r="C254" s="208"/>
      <c r="D254" s="208"/>
    </row>
    <row r="255" spans="3:4" ht="13.2">
      <c r="C255" s="208"/>
      <c r="D255" s="208"/>
    </row>
    <row r="256" spans="3:4" ht="13.2">
      <c r="C256" s="208"/>
      <c r="D256" s="208"/>
    </row>
    <row r="257" spans="3:4" ht="13.2">
      <c r="C257" s="208"/>
      <c r="D257" s="208"/>
    </row>
    <row r="258" spans="3:4" ht="13.2">
      <c r="C258" s="208"/>
      <c r="D258" s="208"/>
    </row>
    <row r="259" spans="3:4" ht="13.2">
      <c r="C259" s="208"/>
      <c r="D259" s="208"/>
    </row>
    <row r="260" spans="3:4" ht="13.2">
      <c r="C260" s="208"/>
      <c r="D260" s="208"/>
    </row>
    <row r="261" spans="3:4" ht="13.2">
      <c r="C261" s="208"/>
      <c r="D261" s="208"/>
    </row>
    <row r="262" spans="3:4" ht="13.2">
      <c r="C262" s="208"/>
      <c r="D262" s="208"/>
    </row>
    <row r="263" spans="3:4" ht="13.2">
      <c r="C263" s="208"/>
      <c r="D263" s="208"/>
    </row>
    <row r="264" spans="3:4" ht="13.2">
      <c r="C264" s="208"/>
      <c r="D264" s="208"/>
    </row>
    <row r="265" spans="3:4" ht="13.2">
      <c r="C265" s="208"/>
      <c r="D265" s="208"/>
    </row>
    <row r="266" spans="3:4" ht="13.2">
      <c r="C266" s="208"/>
      <c r="D266" s="208"/>
    </row>
    <row r="267" spans="3:4" ht="13.2">
      <c r="C267" s="208"/>
      <c r="D267" s="208"/>
    </row>
    <row r="268" spans="3:4" ht="13.2">
      <c r="C268" s="208"/>
      <c r="D268" s="208"/>
    </row>
    <row r="269" spans="3:4" ht="13.2">
      <c r="C269" s="208"/>
      <c r="D269" s="208"/>
    </row>
    <row r="270" spans="3:4" ht="13.2">
      <c r="C270" s="208"/>
      <c r="D270" s="208"/>
    </row>
    <row r="271" spans="3:4" ht="13.2">
      <c r="C271" s="208"/>
      <c r="D271" s="208"/>
    </row>
    <row r="272" spans="3:4" ht="13.2">
      <c r="C272" s="208"/>
      <c r="D272" s="208"/>
    </row>
    <row r="273" spans="3:4" ht="13.2">
      <c r="C273" s="208"/>
      <c r="D273" s="208"/>
    </row>
    <row r="274" spans="3:4" ht="13.2">
      <c r="C274" s="208"/>
      <c r="D274" s="208"/>
    </row>
    <row r="275" spans="3:4" ht="13.2">
      <c r="C275" s="208"/>
      <c r="D275" s="208"/>
    </row>
    <row r="276" spans="3:4" ht="13.2">
      <c r="C276" s="208"/>
      <c r="D276" s="208"/>
    </row>
    <row r="277" spans="3:4" ht="13.2">
      <c r="C277" s="208"/>
      <c r="D277" s="208"/>
    </row>
    <row r="278" spans="3:4" ht="13.2">
      <c r="C278" s="208"/>
      <c r="D278" s="208"/>
    </row>
    <row r="279" spans="3:4" ht="13.2">
      <c r="C279" s="208"/>
      <c r="D279" s="208"/>
    </row>
    <row r="280" spans="3:4" ht="13.2">
      <c r="C280" s="208"/>
      <c r="D280" s="208"/>
    </row>
    <row r="281" spans="3:4" ht="13.2">
      <c r="C281" s="208"/>
      <c r="D281" s="208"/>
    </row>
    <row r="282" spans="3:4" ht="13.2">
      <c r="C282" s="208"/>
      <c r="D282" s="208"/>
    </row>
    <row r="283" spans="3:4" ht="13.2">
      <c r="C283" s="208"/>
      <c r="D283" s="208"/>
    </row>
    <row r="284" spans="3:4" ht="13.2">
      <c r="C284" s="208"/>
      <c r="D284" s="208"/>
    </row>
    <row r="285" spans="3:4" ht="13.2">
      <c r="C285" s="208"/>
      <c r="D285" s="208"/>
    </row>
    <row r="286" spans="3:4" ht="13.2">
      <c r="C286" s="208"/>
      <c r="D286" s="208"/>
    </row>
    <row r="287" spans="3:4" ht="13.2">
      <c r="C287" s="208"/>
      <c r="D287" s="208"/>
    </row>
    <row r="288" spans="3:4" ht="13.2">
      <c r="C288" s="208"/>
      <c r="D288" s="208"/>
    </row>
    <row r="289" spans="3:4" ht="13.2">
      <c r="C289" s="208"/>
      <c r="D289" s="208"/>
    </row>
    <row r="290" spans="3:4" ht="13.2">
      <c r="C290" s="208"/>
      <c r="D290" s="208"/>
    </row>
    <row r="291" spans="3:4" ht="13.2">
      <c r="C291" s="208"/>
      <c r="D291" s="208"/>
    </row>
    <row r="292" spans="3:4" ht="13.2">
      <c r="C292" s="208"/>
      <c r="D292" s="208"/>
    </row>
    <row r="293" spans="3:4" ht="13.2">
      <c r="C293" s="208"/>
      <c r="D293" s="208"/>
    </row>
    <row r="294" spans="3:4" ht="13.2">
      <c r="C294" s="208"/>
      <c r="D294" s="208"/>
    </row>
    <row r="295" spans="3:4" ht="13.2">
      <c r="C295" s="208"/>
      <c r="D295" s="208"/>
    </row>
    <row r="296" spans="3:4" ht="13.2">
      <c r="C296" s="208"/>
      <c r="D296" s="208"/>
    </row>
    <row r="297" spans="3:4" ht="13.2">
      <c r="C297" s="208"/>
      <c r="D297" s="208"/>
    </row>
    <row r="298" spans="3:4" ht="13.2">
      <c r="C298" s="208"/>
      <c r="D298" s="208"/>
    </row>
    <row r="299" spans="3:4" ht="13.2">
      <c r="C299" s="208"/>
      <c r="D299" s="208"/>
    </row>
    <row r="300" spans="3:4" ht="13.2">
      <c r="C300" s="208"/>
      <c r="D300" s="208"/>
    </row>
    <row r="301" spans="3:4" ht="13.2">
      <c r="C301" s="208"/>
      <c r="D301" s="208"/>
    </row>
    <row r="302" spans="3:4" ht="13.2">
      <c r="C302" s="208"/>
      <c r="D302" s="208"/>
    </row>
    <row r="303" spans="3:4" ht="13.2">
      <c r="C303" s="208"/>
      <c r="D303" s="208"/>
    </row>
    <row r="304" spans="3:4" ht="13.2">
      <c r="C304" s="208"/>
      <c r="D304" s="208"/>
    </row>
    <row r="305" spans="3:4" ht="13.2">
      <c r="C305" s="208"/>
      <c r="D305" s="208"/>
    </row>
    <row r="306" spans="3:4" ht="13.2">
      <c r="C306" s="208"/>
      <c r="D306" s="208"/>
    </row>
    <row r="307" spans="3:4" ht="13.2">
      <c r="C307" s="208"/>
      <c r="D307" s="208"/>
    </row>
    <row r="308" spans="3:4" ht="13.2">
      <c r="C308" s="208"/>
      <c r="D308" s="208"/>
    </row>
    <row r="309" spans="3:4" ht="13.2">
      <c r="C309" s="208"/>
      <c r="D309" s="208"/>
    </row>
    <row r="310" spans="3:4" ht="13.2">
      <c r="C310" s="208"/>
      <c r="D310" s="208"/>
    </row>
    <row r="311" spans="3:4" ht="13.2">
      <c r="C311" s="208"/>
      <c r="D311" s="208"/>
    </row>
    <row r="312" spans="3:4" ht="13.2">
      <c r="C312" s="208"/>
      <c r="D312" s="208"/>
    </row>
    <row r="313" spans="3:4" ht="13.2">
      <c r="C313" s="208"/>
      <c r="D313" s="208"/>
    </row>
    <row r="314" spans="3:4" ht="13.2">
      <c r="C314" s="208"/>
      <c r="D314" s="208"/>
    </row>
    <row r="315" spans="3:4" ht="13.2">
      <c r="C315" s="208"/>
      <c r="D315" s="208"/>
    </row>
    <row r="316" spans="3:4" ht="13.2">
      <c r="C316" s="208"/>
      <c r="D316" s="208"/>
    </row>
    <row r="317" spans="3:4" ht="13.2">
      <c r="C317" s="208"/>
      <c r="D317" s="208"/>
    </row>
    <row r="318" spans="3:4" ht="13.2">
      <c r="C318" s="208"/>
      <c r="D318" s="208"/>
    </row>
    <row r="319" spans="3:4" ht="13.2">
      <c r="C319" s="208"/>
      <c r="D319" s="208"/>
    </row>
    <row r="320" spans="3:4" ht="13.2">
      <c r="C320" s="208"/>
      <c r="D320" s="208"/>
    </row>
    <row r="321" spans="3:4" ht="13.2">
      <c r="C321" s="208"/>
      <c r="D321" s="208"/>
    </row>
    <row r="322" spans="3:4" ht="13.2">
      <c r="C322" s="208"/>
      <c r="D322" s="208"/>
    </row>
    <row r="323" spans="3:4" ht="13.2">
      <c r="C323" s="208"/>
      <c r="D323" s="208"/>
    </row>
    <row r="324" spans="3:4" ht="13.2">
      <c r="C324" s="208"/>
      <c r="D324" s="208"/>
    </row>
    <row r="325" spans="3:4" ht="13.2">
      <c r="C325" s="208"/>
      <c r="D325" s="208"/>
    </row>
    <row r="326" spans="3:4" ht="13.2">
      <c r="C326" s="208"/>
      <c r="D326" s="208"/>
    </row>
    <row r="327" spans="3:4" ht="13.2">
      <c r="C327" s="208"/>
      <c r="D327" s="208"/>
    </row>
    <row r="328" spans="3:4" ht="13.2">
      <c r="C328" s="208"/>
      <c r="D328" s="208"/>
    </row>
    <row r="329" spans="3:4" ht="13.2">
      <c r="C329" s="208"/>
      <c r="D329" s="208"/>
    </row>
    <row r="330" spans="3:4" ht="13.2">
      <c r="C330" s="208"/>
      <c r="D330" s="208"/>
    </row>
    <row r="331" spans="3:4" ht="13.2">
      <c r="C331" s="208"/>
      <c r="D331" s="208"/>
    </row>
    <row r="332" spans="3:4" ht="13.2">
      <c r="C332" s="208"/>
      <c r="D332" s="208"/>
    </row>
    <row r="333" spans="3:4" ht="13.2">
      <c r="C333" s="208"/>
      <c r="D333" s="208"/>
    </row>
    <row r="334" spans="3:4" ht="13.2">
      <c r="C334" s="208"/>
      <c r="D334" s="208"/>
    </row>
    <row r="335" spans="3:4" ht="13.2">
      <c r="C335" s="208"/>
      <c r="D335" s="208"/>
    </row>
    <row r="336" spans="3:4" ht="13.2">
      <c r="C336" s="208"/>
      <c r="D336" s="208"/>
    </row>
    <row r="337" spans="3:4" ht="13.2">
      <c r="C337" s="208"/>
      <c r="D337" s="208"/>
    </row>
    <row r="338" spans="3:4" ht="13.2">
      <c r="C338" s="208"/>
      <c r="D338" s="208"/>
    </row>
    <row r="339" spans="3:4" ht="13.2">
      <c r="C339" s="208"/>
      <c r="D339" s="208"/>
    </row>
    <row r="340" spans="3:4" ht="13.2">
      <c r="C340" s="208"/>
      <c r="D340" s="208"/>
    </row>
    <row r="341" spans="3:4" ht="13.2">
      <c r="C341" s="208"/>
      <c r="D341" s="208"/>
    </row>
    <row r="342" spans="3:4" ht="13.2">
      <c r="C342" s="208"/>
      <c r="D342" s="208"/>
    </row>
    <row r="343" spans="3:4" ht="13.2">
      <c r="C343" s="208"/>
      <c r="D343" s="208"/>
    </row>
    <row r="344" spans="3:4" ht="13.2">
      <c r="C344" s="208"/>
      <c r="D344" s="208"/>
    </row>
    <row r="345" spans="3:4" ht="13.2">
      <c r="C345" s="208"/>
      <c r="D345" s="208"/>
    </row>
    <row r="346" spans="3:4" ht="13.2">
      <c r="C346" s="208"/>
      <c r="D346" s="208"/>
    </row>
    <row r="347" spans="3:4" ht="13.2">
      <c r="C347" s="208"/>
      <c r="D347" s="208"/>
    </row>
    <row r="348" spans="3:4" ht="13.2">
      <c r="C348" s="208"/>
      <c r="D348" s="208"/>
    </row>
    <row r="349" spans="3:4" ht="13.2">
      <c r="C349" s="208"/>
      <c r="D349" s="208"/>
    </row>
    <row r="350" spans="3:4" ht="13.2">
      <c r="C350" s="208"/>
      <c r="D350" s="208"/>
    </row>
    <row r="351" spans="3:4" ht="13.2">
      <c r="C351" s="208"/>
      <c r="D351" s="208"/>
    </row>
    <row r="352" spans="3:4" ht="13.2">
      <c r="C352" s="208"/>
      <c r="D352" s="208"/>
    </row>
    <row r="353" spans="3:4" ht="13.2">
      <c r="C353" s="208"/>
      <c r="D353" s="208"/>
    </row>
    <row r="354" spans="3:4" ht="13.2">
      <c r="C354" s="208"/>
      <c r="D354" s="208"/>
    </row>
    <row r="355" spans="3:4" ht="13.2">
      <c r="C355" s="208"/>
      <c r="D355" s="208"/>
    </row>
    <row r="356" spans="3:4" ht="13.2">
      <c r="C356" s="208"/>
      <c r="D356" s="208"/>
    </row>
    <row r="357" spans="3:4" ht="13.2">
      <c r="C357" s="208"/>
      <c r="D357" s="208"/>
    </row>
    <row r="358" spans="3:4" ht="13.2">
      <c r="C358" s="208"/>
      <c r="D358" s="208"/>
    </row>
    <row r="359" spans="3:4" ht="13.2">
      <c r="C359" s="208"/>
      <c r="D359" s="208"/>
    </row>
    <row r="360" spans="3:4" ht="13.2">
      <c r="C360" s="208"/>
      <c r="D360" s="208"/>
    </row>
    <row r="361" spans="3:4" ht="13.2">
      <c r="C361" s="208"/>
      <c r="D361" s="208"/>
    </row>
    <row r="362" spans="3:4" ht="13.2">
      <c r="C362" s="208"/>
      <c r="D362" s="208"/>
    </row>
    <row r="363" spans="3:4" ht="13.2">
      <c r="C363" s="208"/>
      <c r="D363" s="208"/>
    </row>
    <row r="364" spans="3:4" ht="13.2">
      <c r="C364" s="208"/>
      <c r="D364" s="208"/>
    </row>
    <row r="365" spans="3:4" ht="13.2">
      <c r="C365" s="208"/>
      <c r="D365" s="208"/>
    </row>
    <row r="366" spans="3:4" ht="13.2">
      <c r="C366" s="208"/>
      <c r="D366" s="208"/>
    </row>
    <row r="367" spans="3:4" ht="13.2">
      <c r="C367" s="208"/>
      <c r="D367" s="208"/>
    </row>
    <row r="368" spans="3:4" ht="13.2">
      <c r="C368" s="208"/>
      <c r="D368" s="208"/>
    </row>
    <row r="369" spans="3:4" ht="13.2">
      <c r="C369" s="208"/>
      <c r="D369" s="208"/>
    </row>
    <row r="370" spans="3:4" ht="13.2">
      <c r="C370" s="208"/>
      <c r="D370" s="208"/>
    </row>
    <row r="371" spans="3:4" ht="13.2">
      <c r="C371" s="208"/>
      <c r="D371" s="208"/>
    </row>
    <row r="372" spans="3:4" ht="13.2">
      <c r="C372" s="208"/>
      <c r="D372" s="208"/>
    </row>
    <row r="373" spans="3:4" ht="13.2">
      <c r="C373" s="208"/>
      <c r="D373" s="208"/>
    </row>
    <row r="374" spans="3:4" ht="13.2">
      <c r="C374" s="208"/>
      <c r="D374" s="208"/>
    </row>
    <row r="375" spans="3:4" ht="13.2">
      <c r="C375" s="208"/>
      <c r="D375" s="208"/>
    </row>
    <row r="376" spans="3:4" ht="13.2">
      <c r="C376" s="208"/>
      <c r="D376" s="208"/>
    </row>
    <row r="377" spans="3:4" ht="13.2">
      <c r="C377" s="208"/>
      <c r="D377" s="208"/>
    </row>
    <row r="378" spans="3:4" ht="13.2">
      <c r="C378" s="208"/>
      <c r="D378" s="208"/>
    </row>
    <row r="379" spans="3:4" ht="13.2">
      <c r="C379" s="208"/>
      <c r="D379" s="208"/>
    </row>
    <row r="380" spans="3:4" ht="13.2">
      <c r="C380" s="208"/>
      <c r="D380" s="208"/>
    </row>
    <row r="381" spans="3:4" ht="13.2">
      <c r="C381" s="208"/>
      <c r="D381" s="208"/>
    </row>
    <row r="382" spans="3:4" ht="13.2">
      <c r="C382" s="208"/>
      <c r="D382" s="208"/>
    </row>
    <row r="383" spans="3:4" ht="13.2">
      <c r="C383" s="208"/>
      <c r="D383" s="208"/>
    </row>
    <row r="384" spans="3:4" ht="13.2">
      <c r="C384" s="208"/>
      <c r="D384" s="208"/>
    </row>
    <row r="385" spans="3:4" ht="13.2">
      <c r="C385" s="208"/>
      <c r="D385" s="208"/>
    </row>
    <row r="386" spans="3:4" ht="13.2">
      <c r="C386" s="208"/>
      <c r="D386" s="208"/>
    </row>
    <row r="387" spans="3:4" ht="13.2">
      <c r="C387" s="208"/>
      <c r="D387" s="208"/>
    </row>
    <row r="388" spans="3:4" ht="13.2">
      <c r="C388" s="208"/>
      <c r="D388" s="208"/>
    </row>
    <row r="389" spans="3:4" ht="13.2">
      <c r="C389" s="208"/>
      <c r="D389" s="208"/>
    </row>
    <row r="390" spans="3:4" ht="13.2">
      <c r="C390" s="208"/>
      <c r="D390" s="208"/>
    </row>
    <row r="391" spans="3:4" ht="13.2">
      <c r="C391" s="208"/>
      <c r="D391" s="208"/>
    </row>
    <row r="392" spans="3:4" ht="13.2">
      <c r="C392" s="208"/>
      <c r="D392" s="208"/>
    </row>
    <row r="393" spans="3:4" ht="13.2">
      <c r="C393" s="208"/>
      <c r="D393" s="208"/>
    </row>
    <row r="394" spans="3:4" ht="13.2">
      <c r="C394" s="208"/>
      <c r="D394" s="208"/>
    </row>
    <row r="395" spans="3:4" ht="13.2">
      <c r="C395" s="208"/>
      <c r="D395" s="208"/>
    </row>
    <row r="396" spans="3:4" ht="13.2">
      <c r="C396" s="208"/>
      <c r="D396" s="208"/>
    </row>
    <row r="397" spans="3:4" ht="13.2">
      <c r="C397" s="208"/>
      <c r="D397" s="208"/>
    </row>
    <row r="398" spans="3:4" ht="13.2">
      <c r="C398" s="208"/>
      <c r="D398" s="208"/>
    </row>
    <row r="399" spans="3:4" ht="13.2">
      <c r="C399" s="208"/>
      <c r="D399" s="208"/>
    </row>
    <row r="400" spans="3:4" ht="13.2">
      <c r="C400" s="208"/>
      <c r="D400" s="208"/>
    </row>
    <row r="401" spans="3:4" ht="13.2">
      <c r="C401" s="208"/>
      <c r="D401" s="208"/>
    </row>
    <row r="402" spans="3:4" ht="13.2">
      <c r="C402" s="208"/>
      <c r="D402" s="208"/>
    </row>
    <row r="403" spans="3:4" ht="13.2">
      <c r="C403" s="208"/>
      <c r="D403" s="208"/>
    </row>
    <row r="404" spans="3:4" ht="13.2">
      <c r="C404" s="208"/>
      <c r="D404" s="208"/>
    </row>
    <row r="405" spans="3:4" ht="13.2">
      <c r="C405" s="208"/>
      <c r="D405" s="208"/>
    </row>
    <row r="406" spans="3:4" ht="13.2">
      <c r="C406" s="208"/>
      <c r="D406" s="208"/>
    </row>
    <row r="407" spans="3:4" ht="13.2">
      <c r="C407" s="208"/>
      <c r="D407" s="208"/>
    </row>
    <row r="408" spans="3:4" ht="13.2">
      <c r="C408" s="208"/>
      <c r="D408" s="208"/>
    </row>
    <row r="409" spans="3:4" ht="13.2">
      <c r="C409" s="208"/>
      <c r="D409" s="208"/>
    </row>
    <row r="410" spans="3:4" ht="13.2">
      <c r="C410" s="208"/>
      <c r="D410" s="208"/>
    </row>
    <row r="411" spans="3:4" ht="13.2">
      <c r="C411" s="208"/>
      <c r="D411" s="208"/>
    </row>
    <row r="412" spans="3:4" ht="13.2">
      <c r="C412" s="208"/>
      <c r="D412" s="208"/>
    </row>
    <row r="413" spans="3:4" ht="13.2">
      <c r="C413" s="208"/>
      <c r="D413" s="208"/>
    </row>
    <row r="414" spans="3:4" ht="13.2">
      <c r="C414" s="208"/>
      <c r="D414" s="208"/>
    </row>
    <row r="415" spans="3:4" ht="13.2">
      <c r="C415" s="208"/>
      <c r="D415" s="208"/>
    </row>
    <row r="416" spans="3:4" ht="13.2">
      <c r="C416" s="208"/>
      <c r="D416" s="208"/>
    </row>
    <row r="417" spans="3:4" ht="13.2">
      <c r="C417" s="208"/>
      <c r="D417" s="208"/>
    </row>
    <row r="418" spans="3:4" ht="13.2">
      <c r="C418" s="208"/>
      <c r="D418" s="208"/>
    </row>
    <row r="419" spans="3:4" ht="13.2">
      <c r="C419" s="208"/>
      <c r="D419" s="208"/>
    </row>
    <row r="420" spans="3:4" ht="13.2">
      <c r="C420" s="208"/>
      <c r="D420" s="208"/>
    </row>
    <row r="421" spans="3:4" ht="13.2">
      <c r="C421" s="208"/>
      <c r="D421" s="208"/>
    </row>
    <row r="422" spans="3:4" ht="13.2">
      <c r="C422" s="208"/>
      <c r="D422" s="208"/>
    </row>
    <row r="423" spans="3:4" ht="13.2">
      <c r="C423" s="208"/>
      <c r="D423" s="208"/>
    </row>
    <row r="424" spans="3:4" ht="13.2">
      <c r="C424" s="208"/>
      <c r="D424" s="208"/>
    </row>
    <row r="425" spans="3:4" ht="13.2">
      <c r="C425" s="208"/>
      <c r="D425" s="208"/>
    </row>
    <row r="426" spans="3:4" ht="13.2">
      <c r="C426" s="208"/>
      <c r="D426" s="208"/>
    </row>
    <row r="427" spans="3:4" ht="13.2">
      <c r="C427" s="208"/>
      <c r="D427" s="208"/>
    </row>
    <row r="428" spans="3:4" ht="13.2">
      <c r="C428" s="208"/>
      <c r="D428" s="208"/>
    </row>
    <row r="429" spans="3:4" ht="13.2">
      <c r="C429" s="208"/>
      <c r="D429" s="208"/>
    </row>
    <row r="430" spans="3:4" ht="13.2">
      <c r="C430" s="208"/>
      <c r="D430" s="208"/>
    </row>
    <row r="431" spans="3:4" ht="13.2">
      <c r="C431" s="208"/>
      <c r="D431" s="208"/>
    </row>
    <row r="432" spans="3:4" ht="13.2">
      <c r="C432" s="208"/>
      <c r="D432" s="208"/>
    </row>
    <row r="433" spans="3:4" ht="13.2">
      <c r="C433" s="208"/>
      <c r="D433" s="208"/>
    </row>
    <row r="434" spans="3:4" ht="13.2">
      <c r="C434" s="208"/>
      <c r="D434" s="208"/>
    </row>
    <row r="435" spans="3:4" ht="13.2">
      <c r="C435" s="208"/>
      <c r="D435" s="208"/>
    </row>
    <row r="436" spans="3:4" ht="13.2">
      <c r="C436" s="208"/>
      <c r="D436" s="208"/>
    </row>
    <row r="437" spans="3:4" ht="13.2">
      <c r="C437" s="208"/>
      <c r="D437" s="208"/>
    </row>
    <row r="438" spans="3:4" ht="13.2">
      <c r="C438" s="208"/>
      <c r="D438" s="208"/>
    </row>
    <row r="439" spans="3:4" ht="13.2">
      <c r="C439" s="208"/>
      <c r="D439" s="208"/>
    </row>
    <row r="440" spans="3:4" ht="13.2">
      <c r="C440" s="208"/>
      <c r="D440" s="208"/>
    </row>
    <row r="441" spans="3:4" ht="13.2">
      <c r="C441" s="208"/>
      <c r="D441" s="208"/>
    </row>
    <row r="442" spans="3:4" ht="13.2">
      <c r="C442" s="208"/>
      <c r="D442" s="208"/>
    </row>
    <row r="443" spans="3:4" ht="13.2">
      <c r="C443" s="208"/>
      <c r="D443" s="208"/>
    </row>
    <row r="444" spans="3:4" ht="13.2">
      <c r="C444" s="208"/>
      <c r="D444" s="208"/>
    </row>
    <row r="445" spans="3:4" ht="13.2">
      <c r="C445" s="208"/>
      <c r="D445" s="208"/>
    </row>
    <row r="446" spans="3:4" ht="13.2">
      <c r="C446" s="208"/>
      <c r="D446" s="208"/>
    </row>
    <row r="447" spans="3:4" ht="13.2">
      <c r="C447" s="208"/>
      <c r="D447" s="208"/>
    </row>
    <row r="448" spans="3:4" ht="13.2">
      <c r="C448" s="208"/>
      <c r="D448" s="208"/>
    </row>
    <row r="449" spans="3:4" ht="13.2">
      <c r="C449" s="208"/>
      <c r="D449" s="208"/>
    </row>
    <row r="450" spans="3:4" ht="13.2">
      <c r="C450" s="208"/>
      <c r="D450" s="208"/>
    </row>
    <row r="451" spans="3:4" ht="13.2">
      <c r="C451" s="208"/>
      <c r="D451" s="208"/>
    </row>
    <row r="452" spans="3:4" ht="13.2">
      <c r="C452" s="208"/>
      <c r="D452" s="208"/>
    </row>
    <row r="453" spans="3:4" ht="13.2">
      <c r="C453" s="208"/>
      <c r="D453" s="208"/>
    </row>
    <row r="454" spans="3:4" ht="13.2">
      <c r="C454" s="208"/>
      <c r="D454" s="208"/>
    </row>
    <row r="455" spans="3:4" ht="13.2">
      <c r="C455" s="208"/>
      <c r="D455" s="208"/>
    </row>
    <row r="456" spans="3:4" ht="13.2">
      <c r="C456" s="208"/>
      <c r="D456" s="208"/>
    </row>
    <row r="457" spans="3:4" ht="13.2">
      <c r="C457" s="208"/>
      <c r="D457" s="208"/>
    </row>
    <row r="458" spans="3:4" ht="13.2">
      <c r="C458" s="208"/>
      <c r="D458" s="208"/>
    </row>
    <row r="459" spans="3:4" ht="13.2">
      <c r="C459" s="208"/>
      <c r="D459" s="208"/>
    </row>
    <row r="460" spans="3:4" ht="13.2">
      <c r="C460" s="208"/>
      <c r="D460" s="208"/>
    </row>
    <row r="461" spans="3:4" ht="13.2">
      <c r="C461" s="208"/>
      <c r="D461" s="208"/>
    </row>
    <row r="462" spans="3:4" ht="13.2">
      <c r="C462" s="208"/>
      <c r="D462" s="208"/>
    </row>
    <row r="463" spans="3:4" ht="13.2">
      <c r="C463" s="208"/>
      <c r="D463" s="208"/>
    </row>
    <row r="464" spans="3:4" ht="13.2">
      <c r="C464" s="208"/>
      <c r="D464" s="208"/>
    </row>
    <row r="465" spans="3:4" ht="13.2">
      <c r="C465" s="208"/>
      <c r="D465" s="208"/>
    </row>
    <row r="466" spans="3:4" ht="13.2">
      <c r="C466" s="208"/>
      <c r="D466" s="208"/>
    </row>
    <row r="467" spans="3:4" ht="13.2">
      <c r="C467" s="208"/>
      <c r="D467" s="208"/>
    </row>
    <row r="468" spans="3:4" ht="13.2">
      <c r="C468" s="208"/>
      <c r="D468" s="208"/>
    </row>
    <row r="469" spans="3:4" ht="13.2">
      <c r="C469" s="208"/>
      <c r="D469" s="208"/>
    </row>
    <row r="470" spans="3:4" ht="13.2">
      <c r="C470" s="208"/>
      <c r="D470" s="208"/>
    </row>
    <row r="471" spans="3:4" ht="13.2">
      <c r="C471" s="208"/>
      <c r="D471" s="208"/>
    </row>
    <row r="472" spans="3:4" ht="13.2">
      <c r="C472" s="208"/>
      <c r="D472" s="208"/>
    </row>
    <row r="473" spans="3:4" ht="13.2">
      <c r="C473" s="208"/>
      <c r="D473" s="208"/>
    </row>
    <row r="474" spans="3:4" ht="13.2">
      <c r="C474" s="208"/>
      <c r="D474" s="208"/>
    </row>
    <row r="475" spans="3:4" ht="13.2">
      <c r="C475" s="208"/>
      <c r="D475" s="208"/>
    </row>
    <row r="476" spans="3:4" ht="13.2">
      <c r="C476" s="208"/>
      <c r="D476" s="208"/>
    </row>
    <row r="477" spans="3:4" ht="13.2">
      <c r="C477" s="208"/>
      <c r="D477" s="208"/>
    </row>
    <row r="478" spans="3:4" ht="13.2">
      <c r="C478" s="208"/>
      <c r="D478" s="208"/>
    </row>
    <row r="479" spans="3:4" ht="13.2">
      <c r="C479" s="208"/>
      <c r="D479" s="208"/>
    </row>
    <row r="480" spans="3:4" ht="13.2">
      <c r="C480" s="208"/>
      <c r="D480" s="208"/>
    </row>
    <row r="481" spans="3:4" ht="13.2">
      <c r="C481" s="208"/>
      <c r="D481" s="208"/>
    </row>
    <row r="482" spans="3:4" ht="13.2">
      <c r="C482" s="208"/>
      <c r="D482" s="208"/>
    </row>
    <row r="483" spans="3:4" ht="13.2">
      <c r="C483" s="208"/>
      <c r="D483" s="208"/>
    </row>
    <row r="484" spans="3:4" ht="13.2">
      <c r="C484" s="208"/>
      <c r="D484" s="208"/>
    </row>
    <row r="485" spans="3:4" ht="13.2">
      <c r="C485" s="208"/>
      <c r="D485" s="208"/>
    </row>
    <row r="486" spans="3:4" ht="13.2">
      <c r="C486" s="208"/>
      <c r="D486" s="208"/>
    </row>
    <row r="487" spans="3:4" ht="13.2">
      <c r="C487" s="208"/>
      <c r="D487" s="208"/>
    </row>
    <row r="488" spans="3:4" ht="13.2">
      <c r="C488" s="208"/>
      <c r="D488" s="208"/>
    </row>
    <row r="489" spans="3:4" ht="13.2">
      <c r="C489" s="208"/>
      <c r="D489" s="208"/>
    </row>
    <row r="490" spans="3:4" ht="13.2">
      <c r="C490" s="208"/>
      <c r="D490" s="208"/>
    </row>
    <row r="491" spans="3:4" ht="13.2">
      <c r="C491" s="208"/>
      <c r="D491" s="208"/>
    </row>
    <row r="492" spans="3:4" ht="13.2">
      <c r="C492" s="208"/>
      <c r="D492" s="208"/>
    </row>
    <row r="493" spans="3:4" ht="13.2">
      <c r="C493" s="208"/>
      <c r="D493" s="208"/>
    </row>
    <row r="494" spans="3:4" ht="13.2">
      <c r="C494" s="208"/>
      <c r="D494" s="208"/>
    </row>
    <row r="495" spans="3:4" ht="13.2">
      <c r="C495" s="208"/>
      <c r="D495" s="208"/>
    </row>
    <row r="496" spans="3:4" ht="13.2">
      <c r="C496" s="208"/>
      <c r="D496" s="208"/>
    </row>
    <row r="497" spans="3:4" ht="13.2">
      <c r="C497" s="208"/>
      <c r="D497" s="208"/>
    </row>
    <row r="498" spans="3:4" ht="13.2">
      <c r="C498" s="208"/>
      <c r="D498" s="208"/>
    </row>
    <row r="499" spans="3:4" ht="13.2">
      <c r="C499" s="208"/>
      <c r="D499" s="208"/>
    </row>
    <row r="500" spans="3:4" ht="13.2">
      <c r="C500" s="208"/>
      <c r="D500" s="208"/>
    </row>
    <row r="501" spans="3:4" ht="13.2">
      <c r="C501" s="208"/>
      <c r="D501" s="208"/>
    </row>
    <row r="502" spans="3:4" ht="13.2">
      <c r="C502" s="208"/>
      <c r="D502" s="208"/>
    </row>
    <row r="503" spans="3:4" ht="13.2">
      <c r="C503" s="208"/>
      <c r="D503" s="208"/>
    </row>
    <row r="504" spans="3:4" ht="13.2">
      <c r="C504" s="208"/>
      <c r="D504" s="208"/>
    </row>
    <row r="505" spans="3:4" ht="13.2">
      <c r="C505" s="208"/>
      <c r="D505" s="208"/>
    </row>
    <row r="506" spans="3:4" ht="13.2">
      <c r="C506" s="208"/>
      <c r="D506" s="208"/>
    </row>
    <row r="507" spans="3:4" ht="13.2">
      <c r="C507" s="208"/>
      <c r="D507" s="208"/>
    </row>
    <row r="508" spans="3:4" ht="13.2">
      <c r="C508" s="208"/>
      <c r="D508" s="208"/>
    </row>
    <row r="509" spans="3:4" ht="13.2">
      <c r="C509" s="208"/>
      <c r="D509" s="208"/>
    </row>
    <row r="510" spans="3:4" ht="13.2">
      <c r="C510" s="208"/>
      <c r="D510" s="208"/>
    </row>
    <row r="511" spans="3:4" ht="13.2">
      <c r="C511" s="208"/>
      <c r="D511" s="208"/>
    </row>
    <row r="512" spans="3:4" ht="13.2">
      <c r="C512" s="208"/>
      <c r="D512" s="208"/>
    </row>
    <row r="513" spans="3:4" ht="13.2">
      <c r="C513" s="208"/>
      <c r="D513" s="208"/>
    </row>
    <row r="514" spans="3:4" ht="13.2">
      <c r="C514" s="208"/>
      <c r="D514" s="208"/>
    </row>
    <row r="515" spans="3:4" ht="13.2">
      <c r="C515" s="208"/>
      <c r="D515" s="208"/>
    </row>
    <row r="516" spans="3:4" ht="13.2">
      <c r="C516" s="208"/>
      <c r="D516" s="208"/>
    </row>
    <row r="517" spans="3:4" ht="13.2">
      <c r="C517" s="208"/>
      <c r="D517" s="208"/>
    </row>
    <row r="518" spans="3:4" ht="13.2">
      <c r="C518" s="208"/>
      <c r="D518" s="208"/>
    </row>
    <row r="519" spans="3:4" ht="13.2">
      <c r="C519" s="208"/>
      <c r="D519" s="208"/>
    </row>
    <row r="520" spans="3:4" ht="13.2">
      <c r="C520" s="208"/>
      <c r="D520" s="208"/>
    </row>
    <row r="521" spans="3:4" ht="13.2">
      <c r="C521" s="208"/>
      <c r="D521" s="208"/>
    </row>
    <row r="522" spans="3:4" ht="13.2">
      <c r="C522" s="208"/>
      <c r="D522" s="208"/>
    </row>
    <row r="523" spans="3:4" ht="13.2">
      <c r="C523" s="208"/>
      <c r="D523" s="208"/>
    </row>
    <row r="524" spans="3:4" ht="13.2">
      <c r="C524" s="208"/>
      <c r="D524" s="208"/>
    </row>
    <row r="525" spans="3:4" ht="13.2">
      <c r="C525" s="208"/>
      <c r="D525" s="208"/>
    </row>
    <row r="526" spans="3:4" ht="13.2">
      <c r="C526" s="208"/>
      <c r="D526" s="208"/>
    </row>
    <row r="527" spans="3:4" ht="13.2">
      <c r="C527" s="208"/>
      <c r="D527" s="208"/>
    </row>
    <row r="528" spans="3:4" ht="13.2">
      <c r="C528" s="208"/>
      <c r="D528" s="208"/>
    </row>
    <row r="529" spans="3:4" ht="13.2">
      <c r="C529" s="208"/>
      <c r="D529" s="208"/>
    </row>
    <row r="530" spans="3:4" ht="13.2">
      <c r="C530" s="208"/>
      <c r="D530" s="208"/>
    </row>
    <row r="531" spans="3:4" ht="13.2">
      <c r="C531" s="208"/>
      <c r="D531" s="208"/>
    </row>
    <row r="532" spans="3:4" ht="13.2">
      <c r="C532" s="208"/>
      <c r="D532" s="208"/>
    </row>
    <row r="533" spans="3:4" ht="13.2">
      <c r="C533" s="208"/>
      <c r="D533" s="208"/>
    </row>
    <row r="534" spans="3:4" ht="13.2">
      <c r="C534" s="208"/>
      <c r="D534" s="208"/>
    </row>
    <row r="535" spans="3:4" ht="13.2">
      <c r="C535" s="208"/>
      <c r="D535" s="208"/>
    </row>
    <row r="536" spans="3:4" ht="13.2">
      <c r="C536" s="208"/>
      <c r="D536" s="208"/>
    </row>
    <row r="537" spans="3:4" ht="13.2">
      <c r="C537" s="208"/>
      <c r="D537" s="208"/>
    </row>
    <row r="538" spans="3:4" ht="13.2">
      <c r="C538" s="208"/>
      <c r="D538" s="208"/>
    </row>
    <row r="539" spans="3:4" ht="13.2">
      <c r="C539" s="208"/>
      <c r="D539" s="208"/>
    </row>
    <row r="540" spans="3:4" ht="13.2">
      <c r="C540" s="208"/>
      <c r="D540" s="208"/>
    </row>
    <row r="541" spans="3:4" ht="13.2">
      <c r="C541" s="208"/>
      <c r="D541" s="208"/>
    </row>
    <row r="542" spans="3:4" ht="13.2">
      <c r="C542" s="208"/>
      <c r="D542" s="208"/>
    </row>
    <row r="543" spans="3:4" ht="13.2">
      <c r="C543" s="208"/>
      <c r="D543" s="208"/>
    </row>
    <row r="544" spans="3:4" ht="13.2">
      <c r="C544" s="208"/>
      <c r="D544" s="208"/>
    </row>
    <row r="545" spans="3:4" ht="13.2">
      <c r="C545" s="208"/>
      <c r="D545" s="208"/>
    </row>
    <row r="546" spans="3:4" ht="13.2">
      <c r="C546" s="208"/>
      <c r="D546" s="208"/>
    </row>
    <row r="547" spans="3:4" ht="13.2">
      <c r="C547" s="208"/>
      <c r="D547" s="208"/>
    </row>
    <row r="548" spans="3:4" ht="13.2">
      <c r="C548" s="208"/>
      <c r="D548" s="208"/>
    </row>
    <row r="549" spans="3:4" ht="13.2">
      <c r="C549" s="208"/>
      <c r="D549" s="208"/>
    </row>
    <row r="550" spans="3:4" ht="13.2">
      <c r="C550" s="208"/>
      <c r="D550" s="208"/>
    </row>
    <row r="551" spans="3:4" ht="13.2">
      <c r="C551" s="208"/>
      <c r="D551" s="208"/>
    </row>
    <row r="552" spans="3:4" ht="13.2">
      <c r="C552" s="208"/>
      <c r="D552" s="208"/>
    </row>
    <row r="553" spans="3:4" ht="13.2">
      <c r="C553" s="208"/>
      <c r="D553" s="208"/>
    </row>
    <row r="554" spans="3:4" ht="13.2">
      <c r="C554" s="208"/>
      <c r="D554" s="208"/>
    </row>
    <row r="555" spans="3:4" ht="13.2">
      <c r="C555" s="208"/>
      <c r="D555" s="208"/>
    </row>
    <row r="556" spans="3:4" ht="13.2">
      <c r="C556" s="208"/>
      <c r="D556" s="208"/>
    </row>
    <row r="557" spans="3:4" ht="13.2">
      <c r="C557" s="208"/>
      <c r="D557" s="208"/>
    </row>
    <row r="558" spans="3:4" ht="13.2">
      <c r="C558" s="208"/>
      <c r="D558" s="208"/>
    </row>
    <row r="559" spans="3:4" ht="13.2">
      <c r="C559" s="208"/>
      <c r="D559" s="208"/>
    </row>
    <row r="560" spans="3:4" ht="13.2">
      <c r="C560" s="208"/>
      <c r="D560" s="208"/>
    </row>
    <row r="561" spans="3:4" ht="13.2">
      <c r="C561" s="208"/>
      <c r="D561" s="208"/>
    </row>
    <row r="562" spans="3:4" ht="13.2">
      <c r="C562" s="208"/>
      <c r="D562" s="208"/>
    </row>
    <row r="563" spans="3:4" ht="13.2">
      <c r="C563" s="208"/>
      <c r="D563" s="208"/>
    </row>
    <row r="564" spans="3:4" ht="13.2">
      <c r="C564" s="208"/>
      <c r="D564" s="208"/>
    </row>
    <row r="565" spans="3:4" ht="13.2">
      <c r="C565" s="208"/>
      <c r="D565" s="208"/>
    </row>
    <row r="566" spans="3:4" ht="13.2">
      <c r="C566" s="208"/>
      <c r="D566" s="208"/>
    </row>
    <row r="567" spans="3:4" ht="13.2">
      <c r="C567" s="208"/>
      <c r="D567" s="208"/>
    </row>
    <row r="568" spans="3:4" ht="13.2">
      <c r="C568" s="208"/>
      <c r="D568" s="208"/>
    </row>
    <row r="569" spans="3:4" ht="13.2">
      <c r="C569" s="208"/>
      <c r="D569" s="208"/>
    </row>
    <row r="570" spans="3:4" ht="13.2">
      <c r="C570" s="208"/>
      <c r="D570" s="208"/>
    </row>
    <row r="571" spans="3:4" ht="13.2">
      <c r="C571" s="208"/>
      <c r="D571" s="208"/>
    </row>
    <row r="572" spans="3:4" ht="13.2">
      <c r="C572" s="208"/>
      <c r="D572" s="208"/>
    </row>
    <row r="573" spans="3:4" ht="13.2">
      <c r="C573" s="208"/>
      <c r="D573" s="208"/>
    </row>
    <row r="574" spans="3:4" ht="13.2">
      <c r="C574" s="208"/>
      <c r="D574" s="208"/>
    </row>
    <row r="575" spans="3:4" ht="13.2">
      <c r="C575" s="208"/>
      <c r="D575" s="208"/>
    </row>
    <row r="576" spans="3:4" ht="13.2">
      <c r="C576" s="208"/>
      <c r="D576" s="208"/>
    </row>
    <row r="577" spans="3:4" ht="13.2">
      <c r="C577" s="208"/>
      <c r="D577" s="208"/>
    </row>
    <row r="578" spans="3:4" ht="13.2">
      <c r="C578" s="208"/>
      <c r="D578" s="208"/>
    </row>
    <row r="579" spans="3:4" ht="13.2">
      <c r="C579" s="208"/>
      <c r="D579" s="208"/>
    </row>
    <row r="580" spans="3:4" ht="13.2">
      <c r="C580" s="208"/>
      <c r="D580" s="208"/>
    </row>
    <row r="581" spans="3:4" ht="13.2">
      <c r="C581" s="208"/>
      <c r="D581" s="208"/>
    </row>
    <row r="582" spans="3:4" ht="13.2">
      <c r="C582" s="208"/>
      <c r="D582" s="208"/>
    </row>
    <row r="583" spans="3:4" ht="13.2">
      <c r="C583" s="208"/>
      <c r="D583" s="208"/>
    </row>
    <row r="584" spans="3:4" ht="13.2">
      <c r="C584" s="208"/>
      <c r="D584" s="208"/>
    </row>
    <row r="585" spans="3:4" ht="13.2">
      <c r="C585" s="208"/>
      <c r="D585" s="208"/>
    </row>
    <row r="586" spans="3:4" ht="13.2">
      <c r="C586" s="208"/>
      <c r="D586" s="208"/>
    </row>
    <row r="587" spans="3:4" ht="13.2">
      <c r="C587" s="208"/>
      <c r="D587" s="208"/>
    </row>
    <row r="588" spans="3:4" ht="13.2">
      <c r="C588" s="208"/>
      <c r="D588" s="208"/>
    </row>
    <row r="589" spans="3:4" ht="13.2">
      <c r="C589" s="208"/>
      <c r="D589" s="208"/>
    </row>
    <row r="590" spans="3:4" ht="13.2">
      <c r="C590" s="208"/>
      <c r="D590" s="208"/>
    </row>
    <row r="591" spans="3:4" ht="13.2">
      <c r="C591" s="208"/>
      <c r="D591" s="208"/>
    </row>
    <row r="592" spans="3:4" ht="13.2">
      <c r="C592" s="208"/>
      <c r="D592" s="208"/>
    </row>
    <row r="593" spans="3:4" ht="13.2">
      <c r="C593" s="208"/>
      <c r="D593" s="208"/>
    </row>
    <row r="594" spans="3:4" ht="13.2">
      <c r="C594" s="208"/>
      <c r="D594" s="208"/>
    </row>
    <row r="595" spans="3:4" ht="13.2">
      <c r="C595" s="208"/>
      <c r="D595" s="208"/>
    </row>
    <row r="596" spans="3:4" ht="13.2">
      <c r="C596" s="208"/>
      <c r="D596" s="208"/>
    </row>
    <row r="597" spans="3:4" ht="13.2">
      <c r="C597" s="208"/>
      <c r="D597" s="208"/>
    </row>
    <row r="598" spans="3:4" ht="13.2">
      <c r="C598" s="208"/>
      <c r="D598" s="208"/>
    </row>
    <row r="599" spans="3:4" ht="13.2">
      <c r="C599" s="208"/>
      <c r="D599" s="208"/>
    </row>
    <row r="600" spans="3:4" ht="13.2">
      <c r="C600" s="208"/>
      <c r="D600" s="208"/>
    </row>
    <row r="601" spans="3:4" ht="13.2">
      <c r="C601" s="208"/>
      <c r="D601" s="208"/>
    </row>
    <row r="602" spans="3:4" ht="13.2">
      <c r="C602" s="208"/>
      <c r="D602" s="208"/>
    </row>
    <row r="603" spans="3:4" ht="13.2">
      <c r="C603" s="208"/>
      <c r="D603" s="208"/>
    </row>
    <row r="604" spans="3:4" ht="13.2">
      <c r="C604" s="208"/>
      <c r="D604" s="208"/>
    </row>
    <row r="605" spans="3:4" ht="13.2">
      <c r="C605" s="208"/>
      <c r="D605" s="208"/>
    </row>
    <row r="606" spans="3:4" ht="13.2">
      <c r="C606" s="208"/>
      <c r="D606" s="208"/>
    </row>
    <row r="607" spans="3:4" ht="13.2">
      <c r="C607" s="208"/>
      <c r="D607" s="208"/>
    </row>
    <row r="608" spans="3:4" ht="13.2">
      <c r="C608" s="208"/>
      <c r="D608" s="208"/>
    </row>
    <row r="609" spans="3:4" ht="13.2">
      <c r="C609" s="208"/>
      <c r="D609" s="208"/>
    </row>
    <row r="610" spans="3:4" ht="13.2">
      <c r="C610" s="208"/>
      <c r="D610" s="208"/>
    </row>
    <row r="611" spans="3:4" ht="13.2">
      <c r="C611" s="208"/>
      <c r="D611" s="208"/>
    </row>
    <row r="612" spans="3:4" ht="13.2">
      <c r="C612" s="208"/>
      <c r="D612" s="208"/>
    </row>
    <row r="613" spans="3:4" ht="13.2">
      <c r="C613" s="208"/>
      <c r="D613" s="208"/>
    </row>
    <row r="614" spans="3:4" ht="13.2">
      <c r="C614" s="208"/>
      <c r="D614" s="208"/>
    </row>
    <row r="615" spans="3:4" ht="13.2">
      <c r="C615" s="208"/>
      <c r="D615" s="208"/>
    </row>
    <row r="616" spans="3:4" ht="13.2">
      <c r="C616" s="208"/>
      <c r="D616" s="208"/>
    </row>
    <row r="617" spans="3:4" ht="13.2">
      <c r="C617" s="208"/>
      <c r="D617" s="208"/>
    </row>
    <row r="618" spans="3:4" ht="13.2">
      <c r="C618" s="208"/>
      <c r="D618" s="208"/>
    </row>
    <row r="619" spans="3:4" ht="13.2">
      <c r="C619" s="208"/>
      <c r="D619" s="208"/>
    </row>
    <row r="620" spans="3:4" ht="13.2">
      <c r="C620" s="208"/>
      <c r="D620" s="208"/>
    </row>
    <row r="621" spans="3:4" ht="13.2">
      <c r="C621" s="208"/>
      <c r="D621" s="208"/>
    </row>
    <row r="622" spans="3:4" ht="13.2">
      <c r="C622" s="208"/>
      <c r="D622" s="208"/>
    </row>
    <row r="623" spans="3:4" ht="13.2">
      <c r="C623" s="208"/>
      <c r="D623" s="208"/>
    </row>
    <row r="624" spans="3:4" ht="13.2">
      <c r="C624" s="208"/>
      <c r="D624" s="208"/>
    </row>
    <row r="625" spans="3:4" ht="13.2">
      <c r="C625" s="208"/>
      <c r="D625" s="208"/>
    </row>
    <row r="626" spans="3:4" ht="13.2">
      <c r="C626" s="208"/>
      <c r="D626" s="208"/>
    </row>
    <row r="627" spans="3:4" ht="13.2">
      <c r="C627" s="208"/>
      <c r="D627" s="208"/>
    </row>
    <row r="628" spans="3:4" ht="13.2">
      <c r="C628" s="208"/>
      <c r="D628" s="208"/>
    </row>
    <row r="629" spans="3:4" ht="13.2">
      <c r="C629" s="208"/>
      <c r="D629" s="208"/>
    </row>
    <row r="630" spans="3:4" ht="13.2">
      <c r="C630" s="208"/>
      <c r="D630" s="208"/>
    </row>
    <row r="631" spans="3:4" ht="13.2">
      <c r="C631" s="208"/>
      <c r="D631" s="208"/>
    </row>
    <row r="632" spans="3:4" ht="13.2">
      <c r="C632" s="208"/>
      <c r="D632" s="208"/>
    </row>
    <row r="633" spans="3:4" ht="13.2">
      <c r="C633" s="208"/>
      <c r="D633" s="208"/>
    </row>
    <row r="634" spans="3:4" ht="13.2">
      <c r="C634" s="208"/>
      <c r="D634" s="208"/>
    </row>
    <row r="635" spans="3:4" ht="13.2">
      <c r="C635" s="208"/>
      <c r="D635" s="208"/>
    </row>
    <row r="636" spans="3:4" ht="13.2">
      <c r="C636" s="208"/>
      <c r="D636" s="208"/>
    </row>
    <row r="637" spans="3:4" ht="13.2">
      <c r="C637" s="208"/>
      <c r="D637" s="208"/>
    </row>
    <row r="638" spans="3:4" ht="13.2">
      <c r="C638" s="208"/>
      <c r="D638" s="208"/>
    </row>
    <row r="639" spans="3:4" ht="13.2">
      <c r="C639" s="208"/>
      <c r="D639" s="208"/>
    </row>
    <row r="640" spans="3:4" ht="13.2">
      <c r="C640" s="208"/>
      <c r="D640" s="208"/>
    </row>
    <row r="641" spans="3:4" ht="13.2">
      <c r="C641" s="208"/>
      <c r="D641" s="208"/>
    </row>
    <row r="642" spans="3:4" ht="13.2">
      <c r="C642" s="208"/>
      <c r="D642" s="208"/>
    </row>
    <row r="643" spans="3:4" ht="13.2">
      <c r="C643" s="208"/>
      <c r="D643" s="208"/>
    </row>
    <row r="644" spans="3:4" ht="13.2">
      <c r="C644" s="208"/>
      <c r="D644" s="208"/>
    </row>
    <row r="645" spans="3:4" ht="13.2">
      <c r="C645" s="208"/>
      <c r="D645" s="208"/>
    </row>
    <row r="646" spans="3:4" ht="13.2">
      <c r="C646" s="208"/>
      <c r="D646" s="208"/>
    </row>
    <row r="647" spans="3:4" ht="13.2">
      <c r="C647" s="208"/>
      <c r="D647" s="208"/>
    </row>
    <row r="648" spans="3:4" ht="13.2">
      <c r="C648" s="208"/>
      <c r="D648" s="208"/>
    </row>
    <row r="649" spans="3:4" ht="13.2">
      <c r="C649" s="208"/>
      <c r="D649" s="208"/>
    </row>
    <row r="650" spans="3:4" ht="13.2">
      <c r="C650" s="208"/>
      <c r="D650" s="208"/>
    </row>
    <row r="651" spans="3:4" ht="13.2">
      <c r="C651" s="208"/>
      <c r="D651" s="208"/>
    </row>
    <row r="652" spans="3:4" ht="13.2">
      <c r="C652" s="208"/>
      <c r="D652" s="208"/>
    </row>
    <row r="653" spans="3:4" ht="13.2">
      <c r="C653" s="208"/>
      <c r="D653" s="208"/>
    </row>
    <row r="654" spans="3:4" ht="13.2">
      <c r="C654" s="208"/>
      <c r="D654" s="208"/>
    </row>
    <row r="655" spans="3:4" ht="13.2">
      <c r="C655" s="208"/>
      <c r="D655" s="208"/>
    </row>
    <row r="656" spans="3:4" ht="13.2">
      <c r="C656" s="208"/>
      <c r="D656" s="208"/>
    </row>
    <row r="657" spans="3:4" ht="13.2">
      <c r="C657" s="208"/>
      <c r="D657" s="208"/>
    </row>
    <row r="658" spans="3:4" ht="13.2">
      <c r="C658" s="208"/>
      <c r="D658" s="208"/>
    </row>
    <row r="659" spans="3:4" ht="13.2">
      <c r="C659" s="208"/>
      <c r="D659" s="208"/>
    </row>
    <row r="660" spans="3:4" ht="13.2">
      <c r="C660" s="208"/>
      <c r="D660" s="208"/>
    </row>
    <row r="661" spans="3:4" ht="13.2">
      <c r="C661" s="208"/>
      <c r="D661" s="208"/>
    </row>
    <row r="662" spans="3:4" ht="13.2">
      <c r="C662" s="208"/>
      <c r="D662" s="208"/>
    </row>
    <row r="663" spans="3:4" ht="13.2">
      <c r="C663" s="208"/>
      <c r="D663" s="208"/>
    </row>
    <row r="664" spans="3:4" ht="13.2">
      <c r="C664" s="208"/>
      <c r="D664" s="208"/>
    </row>
    <row r="665" spans="3:4" ht="13.2">
      <c r="C665" s="208"/>
      <c r="D665" s="208"/>
    </row>
    <row r="666" spans="3:4" ht="13.2">
      <c r="C666" s="208"/>
      <c r="D666" s="208"/>
    </row>
    <row r="667" spans="3:4" ht="13.2">
      <c r="C667" s="208"/>
      <c r="D667" s="208"/>
    </row>
    <row r="668" spans="3:4" ht="13.2">
      <c r="C668" s="208"/>
      <c r="D668" s="208"/>
    </row>
    <row r="669" spans="3:4" ht="13.2">
      <c r="C669" s="208"/>
      <c r="D669" s="208"/>
    </row>
    <row r="670" spans="3:4" ht="13.2">
      <c r="C670" s="208"/>
      <c r="D670" s="208"/>
    </row>
    <row r="671" spans="3:4" ht="13.2">
      <c r="C671" s="208"/>
      <c r="D671" s="208"/>
    </row>
    <row r="672" spans="3:4" ht="13.2">
      <c r="C672" s="208"/>
      <c r="D672" s="208"/>
    </row>
    <row r="673" spans="3:4" ht="13.2">
      <c r="C673" s="208"/>
      <c r="D673" s="208"/>
    </row>
    <row r="674" spans="3:4" ht="13.2">
      <c r="C674" s="208"/>
      <c r="D674" s="208"/>
    </row>
    <row r="675" spans="3:4" ht="13.2">
      <c r="C675" s="208"/>
      <c r="D675" s="208"/>
    </row>
    <row r="676" spans="3:4" ht="13.2">
      <c r="C676" s="208"/>
      <c r="D676" s="208"/>
    </row>
    <row r="677" spans="3:4" ht="13.2">
      <c r="C677" s="208"/>
      <c r="D677" s="208"/>
    </row>
    <row r="678" spans="3:4" ht="13.2">
      <c r="C678" s="208"/>
      <c r="D678" s="208"/>
    </row>
    <row r="679" spans="3:4" ht="13.2">
      <c r="C679" s="208"/>
      <c r="D679" s="208"/>
    </row>
    <row r="680" spans="3:4" ht="13.2">
      <c r="C680" s="208"/>
      <c r="D680" s="208"/>
    </row>
    <row r="681" spans="3:4" ht="13.2">
      <c r="C681" s="208"/>
      <c r="D681" s="208"/>
    </row>
    <row r="682" spans="3:4" ht="13.2">
      <c r="C682" s="208"/>
      <c r="D682" s="208"/>
    </row>
    <row r="683" spans="3:4" ht="13.2">
      <c r="C683" s="208"/>
      <c r="D683" s="208"/>
    </row>
    <row r="684" spans="3:4" ht="13.2">
      <c r="C684" s="208"/>
      <c r="D684" s="208"/>
    </row>
    <row r="685" spans="3:4" ht="13.2">
      <c r="C685" s="208"/>
      <c r="D685" s="208"/>
    </row>
    <row r="686" spans="3:4" ht="13.2">
      <c r="C686" s="208"/>
      <c r="D686" s="208"/>
    </row>
    <row r="687" spans="3:4" ht="13.2">
      <c r="C687" s="208"/>
      <c r="D687" s="208"/>
    </row>
    <row r="688" spans="3:4" ht="13.2">
      <c r="C688" s="208"/>
      <c r="D688" s="208"/>
    </row>
    <row r="689" spans="3:4" ht="13.2">
      <c r="C689" s="208"/>
      <c r="D689" s="208"/>
    </row>
    <row r="690" spans="3:4" ht="13.2">
      <c r="C690" s="208"/>
      <c r="D690" s="208"/>
    </row>
    <row r="691" spans="3:4" ht="13.2">
      <c r="C691" s="208"/>
      <c r="D691" s="208"/>
    </row>
    <row r="692" spans="3:4" ht="13.2">
      <c r="C692" s="208"/>
      <c r="D692" s="208"/>
    </row>
    <row r="693" spans="3:4" ht="13.2">
      <c r="C693" s="208"/>
      <c r="D693" s="208"/>
    </row>
    <row r="694" spans="3:4" ht="13.2">
      <c r="C694" s="208"/>
      <c r="D694" s="208"/>
    </row>
    <row r="695" spans="3:4" ht="13.2">
      <c r="C695" s="208"/>
      <c r="D695" s="208"/>
    </row>
    <row r="696" spans="3:4" ht="13.2">
      <c r="C696" s="208"/>
      <c r="D696" s="208"/>
    </row>
    <row r="697" spans="3:4" ht="13.2">
      <c r="C697" s="208"/>
      <c r="D697" s="208"/>
    </row>
    <row r="698" spans="3:4" ht="13.2">
      <c r="C698" s="208"/>
      <c r="D698" s="208"/>
    </row>
    <row r="699" spans="3:4" ht="13.2">
      <c r="C699" s="208"/>
      <c r="D699" s="208"/>
    </row>
    <row r="700" spans="3:4" ht="13.2">
      <c r="C700" s="208"/>
      <c r="D700" s="208"/>
    </row>
    <row r="701" spans="3:4" ht="13.2">
      <c r="C701" s="208"/>
      <c r="D701" s="208"/>
    </row>
    <row r="702" spans="3:4" ht="13.2">
      <c r="C702" s="208"/>
      <c r="D702" s="208"/>
    </row>
    <row r="703" spans="3:4" ht="13.2">
      <c r="C703" s="208"/>
      <c r="D703" s="208"/>
    </row>
    <row r="704" spans="3:4" ht="13.2">
      <c r="C704" s="208"/>
      <c r="D704" s="208"/>
    </row>
    <row r="705" spans="3:4" ht="13.2">
      <c r="C705" s="208"/>
      <c r="D705" s="208"/>
    </row>
    <row r="706" spans="3:4" ht="13.2">
      <c r="C706" s="208"/>
      <c r="D706" s="208"/>
    </row>
    <row r="707" spans="3:4" ht="13.2">
      <c r="C707" s="208"/>
      <c r="D707" s="208"/>
    </row>
    <row r="708" spans="3:4" ht="13.2">
      <c r="C708" s="208"/>
      <c r="D708" s="208"/>
    </row>
    <row r="709" spans="3:4" ht="13.2">
      <c r="C709" s="208"/>
      <c r="D709" s="208"/>
    </row>
    <row r="710" spans="3:4" ht="13.2">
      <c r="C710" s="208"/>
      <c r="D710" s="208"/>
    </row>
    <row r="711" spans="3:4" ht="13.2">
      <c r="C711" s="208"/>
      <c r="D711" s="208"/>
    </row>
    <row r="712" spans="3:4" ht="13.2">
      <c r="C712" s="208"/>
      <c r="D712" s="208"/>
    </row>
    <row r="713" spans="3:4" ht="13.2">
      <c r="C713" s="208"/>
      <c r="D713" s="208"/>
    </row>
    <row r="714" spans="3:4" ht="13.2">
      <c r="C714" s="208"/>
      <c r="D714" s="208"/>
    </row>
    <row r="715" spans="3:4" ht="13.2">
      <c r="C715" s="208"/>
      <c r="D715" s="208"/>
    </row>
    <row r="716" spans="3:4" ht="13.2">
      <c r="C716" s="208"/>
      <c r="D716" s="208"/>
    </row>
    <row r="717" spans="3:4" ht="13.2">
      <c r="C717" s="208"/>
      <c r="D717" s="208"/>
    </row>
    <row r="718" spans="3:4" ht="13.2">
      <c r="C718" s="208"/>
      <c r="D718" s="208"/>
    </row>
    <row r="719" spans="3:4" ht="13.2">
      <c r="C719" s="208"/>
      <c r="D719" s="208"/>
    </row>
    <row r="720" spans="3:4" ht="13.2">
      <c r="C720" s="208"/>
      <c r="D720" s="208"/>
    </row>
    <row r="721" spans="3:4" ht="13.2">
      <c r="C721" s="208"/>
      <c r="D721" s="208"/>
    </row>
    <row r="722" spans="3:4" ht="13.2">
      <c r="C722" s="208"/>
      <c r="D722" s="208"/>
    </row>
    <row r="723" spans="3:4" ht="13.2">
      <c r="C723" s="208"/>
      <c r="D723" s="208"/>
    </row>
    <row r="724" spans="3:4" ht="13.2">
      <c r="C724" s="208"/>
      <c r="D724" s="208"/>
    </row>
    <row r="725" spans="3:4" ht="13.2">
      <c r="C725" s="208"/>
      <c r="D725" s="208"/>
    </row>
    <row r="726" spans="3:4" ht="13.2">
      <c r="C726" s="208"/>
      <c r="D726" s="208"/>
    </row>
    <row r="727" spans="3:4" ht="13.2">
      <c r="C727" s="208"/>
      <c r="D727" s="208"/>
    </row>
    <row r="728" spans="3:4" ht="13.2">
      <c r="C728" s="208"/>
      <c r="D728" s="208"/>
    </row>
    <row r="729" spans="3:4" ht="13.2">
      <c r="C729" s="208"/>
      <c r="D729" s="208"/>
    </row>
    <row r="730" spans="3:4" ht="13.2">
      <c r="C730" s="208"/>
      <c r="D730" s="208"/>
    </row>
    <row r="731" spans="3:4" ht="13.2">
      <c r="C731" s="208"/>
      <c r="D731" s="208"/>
    </row>
    <row r="732" spans="3:4" ht="13.2">
      <c r="C732" s="208"/>
      <c r="D732" s="208"/>
    </row>
    <row r="733" spans="3:4" ht="13.2">
      <c r="C733" s="208"/>
      <c r="D733" s="208"/>
    </row>
    <row r="734" spans="3:4" ht="13.2">
      <c r="C734" s="208"/>
      <c r="D734" s="208"/>
    </row>
    <row r="735" spans="3:4" ht="13.2">
      <c r="C735" s="208"/>
      <c r="D735" s="208"/>
    </row>
    <row r="736" spans="3:4" ht="13.2">
      <c r="C736" s="208"/>
      <c r="D736" s="208"/>
    </row>
    <row r="737" spans="3:4" ht="13.2">
      <c r="C737" s="208"/>
      <c r="D737" s="208"/>
    </row>
    <row r="738" spans="3:4" ht="13.2">
      <c r="C738" s="208"/>
      <c r="D738" s="208"/>
    </row>
    <row r="739" spans="3:4" ht="13.2">
      <c r="C739" s="208"/>
      <c r="D739" s="208"/>
    </row>
    <row r="740" spans="3:4" ht="13.2">
      <c r="C740" s="208"/>
      <c r="D740" s="208"/>
    </row>
    <row r="741" spans="3:4" ht="13.2">
      <c r="C741" s="208"/>
      <c r="D741" s="208"/>
    </row>
    <row r="742" spans="3:4" ht="13.2">
      <c r="C742" s="208"/>
      <c r="D742" s="208"/>
    </row>
    <row r="743" spans="3:4" ht="13.2">
      <c r="C743" s="208"/>
      <c r="D743" s="208"/>
    </row>
    <row r="744" spans="3:4" ht="13.2">
      <c r="C744" s="208"/>
      <c r="D744" s="208"/>
    </row>
    <row r="745" spans="3:4" ht="13.2">
      <c r="C745" s="208"/>
      <c r="D745" s="208"/>
    </row>
    <row r="746" spans="3:4" ht="13.2">
      <c r="C746" s="208"/>
      <c r="D746" s="208"/>
    </row>
    <row r="747" spans="3:4" ht="13.2">
      <c r="C747" s="208"/>
      <c r="D747" s="208"/>
    </row>
    <row r="748" spans="3:4" ht="13.2">
      <c r="C748" s="208"/>
      <c r="D748" s="208"/>
    </row>
    <row r="749" spans="3:4" ht="13.2">
      <c r="C749" s="208"/>
      <c r="D749" s="208"/>
    </row>
    <row r="750" spans="3:4" ht="13.2">
      <c r="C750" s="208"/>
      <c r="D750" s="208"/>
    </row>
    <row r="751" spans="3:4" ht="13.2">
      <c r="C751" s="208"/>
      <c r="D751" s="208"/>
    </row>
    <row r="752" spans="3:4" ht="13.2">
      <c r="C752" s="208"/>
      <c r="D752" s="208"/>
    </row>
    <row r="753" spans="3:4" ht="13.2">
      <c r="C753" s="208"/>
      <c r="D753" s="208"/>
    </row>
    <row r="754" spans="3:4" ht="13.2">
      <c r="C754" s="208"/>
      <c r="D754" s="208"/>
    </row>
    <row r="755" spans="3:4" ht="13.2">
      <c r="C755" s="208"/>
      <c r="D755" s="208"/>
    </row>
    <row r="756" spans="3:4" ht="13.2">
      <c r="C756" s="208"/>
      <c r="D756" s="208"/>
    </row>
    <row r="757" spans="3:4" ht="13.2">
      <c r="C757" s="208"/>
      <c r="D757" s="208"/>
    </row>
    <row r="758" spans="3:4" ht="13.2">
      <c r="C758" s="208"/>
      <c r="D758" s="208"/>
    </row>
    <row r="759" spans="3:4" ht="13.2">
      <c r="C759" s="208"/>
      <c r="D759" s="208"/>
    </row>
    <row r="760" spans="3:4" ht="13.2">
      <c r="C760" s="208"/>
      <c r="D760" s="208"/>
    </row>
    <row r="761" spans="3:4" ht="13.2">
      <c r="C761" s="208"/>
      <c r="D761" s="208"/>
    </row>
    <row r="762" spans="3:4" ht="13.2">
      <c r="C762" s="208"/>
      <c r="D762" s="208"/>
    </row>
    <row r="763" spans="3:4" ht="13.2">
      <c r="C763" s="208"/>
      <c r="D763" s="208"/>
    </row>
    <row r="764" spans="3:4" ht="13.2">
      <c r="C764" s="208"/>
      <c r="D764" s="208"/>
    </row>
    <row r="765" spans="3:4" ht="13.2">
      <c r="C765" s="208"/>
      <c r="D765" s="208"/>
    </row>
    <row r="766" spans="3:4" ht="13.2">
      <c r="C766" s="208"/>
      <c r="D766" s="208"/>
    </row>
    <row r="767" spans="3:4" ht="13.2">
      <c r="C767" s="208"/>
      <c r="D767" s="208"/>
    </row>
    <row r="768" spans="3:4" ht="13.2">
      <c r="C768" s="208"/>
      <c r="D768" s="208"/>
    </row>
    <row r="769" spans="3:4" ht="13.2">
      <c r="C769" s="208"/>
      <c r="D769" s="208"/>
    </row>
    <row r="770" spans="3:4" ht="13.2">
      <c r="C770" s="208"/>
      <c r="D770" s="208"/>
    </row>
    <row r="771" spans="3:4" ht="13.2">
      <c r="C771" s="208"/>
      <c r="D771" s="208"/>
    </row>
    <row r="772" spans="3:4" ht="13.2">
      <c r="C772" s="208"/>
      <c r="D772" s="208"/>
    </row>
    <row r="773" spans="3:4" ht="13.2">
      <c r="C773" s="208"/>
      <c r="D773" s="208"/>
    </row>
    <row r="774" spans="3:4" ht="13.2">
      <c r="C774" s="208"/>
      <c r="D774" s="208"/>
    </row>
    <row r="775" spans="3:4" ht="13.2">
      <c r="C775" s="208"/>
      <c r="D775" s="208"/>
    </row>
    <row r="776" spans="3:4" ht="13.2">
      <c r="C776" s="208"/>
      <c r="D776" s="208"/>
    </row>
    <row r="777" spans="3:4" ht="13.2">
      <c r="C777" s="208"/>
      <c r="D777" s="208"/>
    </row>
    <row r="778" spans="3:4" ht="13.2">
      <c r="C778" s="208"/>
      <c r="D778" s="208"/>
    </row>
    <row r="779" spans="3:4" ht="13.2">
      <c r="C779" s="208"/>
      <c r="D779" s="208"/>
    </row>
    <row r="780" spans="3:4" ht="13.2">
      <c r="C780" s="208"/>
      <c r="D780" s="208"/>
    </row>
    <row r="781" spans="3:4" ht="13.2">
      <c r="C781" s="208"/>
      <c r="D781" s="208"/>
    </row>
    <row r="782" spans="3:4" ht="13.2">
      <c r="C782" s="208"/>
      <c r="D782" s="208"/>
    </row>
    <row r="783" spans="3:4" ht="13.2">
      <c r="C783" s="208"/>
      <c r="D783" s="208"/>
    </row>
    <row r="784" spans="3:4" ht="13.2">
      <c r="C784" s="208"/>
      <c r="D784" s="208"/>
    </row>
    <row r="785" spans="3:4" ht="13.2">
      <c r="C785" s="208"/>
      <c r="D785" s="208"/>
    </row>
    <row r="786" spans="3:4" ht="13.2">
      <c r="C786" s="208"/>
      <c r="D786" s="208"/>
    </row>
    <row r="787" spans="3:4" ht="13.2">
      <c r="C787" s="208"/>
      <c r="D787" s="208"/>
    </row>
    <row r="788" spans="3:4" ht="13.2">
      <c r="C788" s="208"/>
      <c r="D788" s="208"/>
    </row>
    <row r="789" spans="3:4" ht="13.2">
      <c r="C789" s="208"/>
      <c r="D789" s="208"/>
    </row>
    <row r="790" spans="3:4" ht="13.2">
      <c r="C790" s="208"/>
      <c r="D790" s="208"/>
    </row>
    <row r="791" spans="3:4" ht="13.2">
      <c r="C791" s="208"/>
      <c r="D791" s="208"/>
    </row>
    <row r="792" spans="3:4" ht="13.2">
      <c r="C792" s="208"/>
      <c r="D792" s="208"/>
    </row>
    <row r="793" spans="3:4" ht="13.2">
      <c r="C793" s="208"/>
      <c r="D793" s="208"/>
    </row>
    <row r="794" spans="3:4" ht="13.2">
      <c r="C794" s="208"/>
      <c r="D794" s="208"/>
    </row>
    <row r="795" spans="3:4" ht="13.2">
      <c r="C795" s="208"/>
      <c r="D795" s="208"/>
    </row>
    <row r="796" spans="3:4" ht="13.2">
      <c r="C796" s="208"/>
      <c r="D796" s="208"/>
    </row>
    <row r="797" spans="3:4" ht="13.2">
      <c r="C797" s="208"/>
      <c r="D797" s="208"/>
    </row>
    <row r="798" spans="3:4" ht="13.2">
      <c r="C798" s="208"/>
      <c r="D798" s="208"/>
    </row>
    <row r="799" spans="3:4" ht="13.2">
      <c r="C799" s="208"/>
      <c r="D799" s="208"/>
    </row>
    <row r="800" spans="3:4" ht="13.2">
      <c r="C800" s="208"/>
      <c r="D800" s="208"/>
    </row>
    <row r="801" spans="3:4" ht="13.2">
      <c r="C801" s="208"/>
      <c r="D801" s="208"/>
    </row>
    <row r="802" spans="3:4" ht="13.2">
      <c r="C802" s="208"/>
      <c r="D802" s="208"/>
    </row>
    <row r="803" spans="3:4" ht="13.2">
      <c r="C803" s="208"/>
      <c r="D803" s="208"/>
    </row>
    <row r="804" spans="3:4" ht="13.2">
      <c r="C804" s="208"/>
      <c r="D804" s="208"/>
    </row>
    <row r="805" spans="3:4" ht="13.2">
      <c r="C805" s="208"/>
      <c r="D805" s="208"/>
    </row>
    <row r="806" spans="3:4" ht="13.2">
      <c r="C806" s="208"/>
      <c r="D806" s="208"/>
    </row>
    <row r="807" spans="3:4" ht="13.2">
      <c r="C807" s="208"/>
      <c r="D807" s="208"/>
    </row>
    <row r="808" spans="3:4" ht="13.2">
      <c r="C808" s="208"/>
      <c r="D808" s="208"/>
    </row>
    <row r="809" spans="3:4" ht="13.2">
      <c r="C809" s="208"/>
      <c r="D809" s="208"/>
    </row>
    <row r="810" spans="3:4" ht="13.2">
      <c r="C810" s="208"/>
      <c r="D810" s="208"/>
    </row>
    <row r="811" spans="3:4" ht="13.2">
      <c r="C811" s="208"/>
      <c r="D811" s="208"/>
    </row>
    <row r="812" spans="3:4" ht="13.2">
      <c r="C812" s="208"/>
      <c r="D812" s="208"/>
    </row>
    <row r="813" spans="3:4" ht="13.2">
      <c r="C813" s="208"/>
      <c r="D813" s="208"/>
    </row>
    <row r="814" spans="3:4" ht="13.2">
      <c r="C814" s="208"/>
      <c r="D814" s="208"/>
    </row>
    <row r="815" spans="3:4" ht="13.2">
      <c r="C815" s="208"/>
      <c r="D815" s="208"/>
    </row>
    <row r="816" spans="3:4" ht="13.2">
      <c r="C816" s="208"/>
      <c r="D816" s="208"/>
    </row>
    <row r="817" spans="3:4" ht="13.2">
      <c r="C817" s="208"/>
      <c r="D817" s="208"/>
    </row>
    <row r="818" spans="3:4" ht="13.2">
      <c r="C818" s="208"/>
      <c r="D818" s="208"/>
    </row>
    <row r="819" spans="3:4" ht="13.2">
      <c r="C819" s="208"/>
      <c r="D819" s="208"/>
    </row>
    <row r="820" spans="3:4" ht="13.2">
      <c r="C820" s="208"/>
      <c r="D820" s="208"/>
    </row>
    <row r="821" spans="3:4" ht="13.2">
      <c r="C821" s="208"/>
      <c r="D821" s="208"/>
    </row>
    <row r="822" spans="3:4" ht="13.2">
      <c r="C822" s="208"/>
      <c r="D822" s="208"/>
    </row>
    <row r="823" spans="3:4" ht="13.2">
      <c r="C823" s="208"/>
      <c r="D823" s="208"/>
    </row>
    <row r="824" spans="3:4" ht="13.2">
      <c r="C824" s="208"/>
      <c r="D824" s="208"/>
    </row>
    <row r="825" spans="3:4" ht="13.2">
      <c r="C825" s="208"/>
      <c r="D825" s="208"/>
    </row>
    <row r="826" spans="3:4" ht="13.2">
      <c r="C826" s="208"/>
      <c r="D826" s="208"/>
    </row>
    <row r="827" spans="3:4" ht="13.2">
      <c r="C827" s="208"/>
      <c r="D827" s="208"/>
    </row>
    <row r="828" spans="3:4" ht="13.2">
      <c r="C828" s="208"/>
      <c r="D828" s="208"/>
    </row>
    <row r="829" spans="3:4" ht="13.2">
      <c r="C829" s="208"/>
      <c r="D829" s="208"/>
    </row>
    <row r="830" spans="3:4" ht="13.2">
      <c r="C830" s="208"/>
      <c r="D830" s="208"/>
    </row>
    <row r="831" spans="3:4" ht="13.2">
      <c r="C831" s="208"/>
      <c r="D831" s="208"/>
    </row>
    <row r="832" spans="3:4" ht="13.2">
      <c r="C832" s="208"/>
      <c r="D832" s="208"/>
    </row>
    <row r="833" spans="3:4" ht="13.2">
      <c r="C833" s="208"/>
      <c r="D833" s="208"/>
    </row>
    <row r="834" spans="3:4" ht="13.2">
      <c r="C834" s="208"/>
      <c r="D834" s="208"/>
    </row>
    <row r="835" spans="3:4" ht="13.2">
      <c r="C835" s="208"/>
      <c r="D835" s="208"/>
    </row>
    <row r="836" spans="3:4" ht="13.2">
      <c r="C836" s="208"/>
      <c r="D836" s="208"/>
    </row>
    <row r="837" spans="3:4" ht="13.2">
      <c r="C837" s="208"/>
      <c r="D837" s="208"/>
    </row>
    <row r="838" spans="3:4" ht="13.2">
      <c r="C838" s="208"/>
      <c r="D838" s="208"/>
    </row>
    <row r="839" spans="3:4" ht="13.2">
      <c r="C839" s="208"/>
      <c r="D839" s="208"/>
    </row>
    <row r="840" spans="3:4" ht="13.2">
      <c r="C840" s="208"/>
      <c r="D840" s="208"/>
    </row>
    <row r="841" spans="3:4" ht="13.2">
      <c r="C841" s="208"/>
      <c r="D841" s="208"/>
    </row>
    <row r="842" spans="3:4" ht="13.2">
      <c r="C842" s="208"/>
      <c r="D842" s="208"/>
    </row>
    <row r="843" spans="3:4" ht="13.2">
      <c r="C843" s="208"/>
      <c r="D843" s="208"/>
    </row>
    <row r="844" spans="3:4" ht="13.2">
      <c r="C844" s="208"/>
      <c r="D844" s="208"/>
    </row>
    <row r="845" spans="3:4" ht="13.2">
      <c r="C845" s="208"/>
      <c r="D845" s="208"/>
    </row>
    <row r="846" spans="3:4" ht="13.2">
      <c r="C846" s="208"/>
      <c r="D846" s="208"/>
    </row>
    <row r="847" spans="3:4" ht="13.2">
      <c r="C847" s="208"/>
      <c r="D847" s="208"/>
    </row>
    <row r="848" spans="3:4" ht="13.2">
      <c r="C848" s="208"/>
      <c r="D848" s="208"/>
    </row>
    <row r="849" spans="3:4" ht="13.2">
      <c r="C849" s="208"/>
      <c r="D849" s="208"/>
    </row>
    <row r="850" spans="3:4" ht="13.2">
      <c r="C850" s="208"/>
      <c r="D850" s="208"/>
    </row>
    <row r="851" spans="3:4" ht="13.2">
      <c r="C851" s="208"/>
      <c r="D851" s="208"/>
    </row>
    <row r="852" spans="3:4" ht="13.2">
      <c r="C852" s="208"/>
      <c r="D852" s="208"/>
    </row>
    <row r="853" spans="3:4" ht="13.2">
      <c r="C853" s="208"/>
      <c r="D853" s="208"/>
    </row>
    <row r="854" spans="3:4" ht="13.2">
      <c r="C854" s="208"/>
      <c r="D854" s="208"/>
    </row>
    <row r="855" spans="3:4" ht="13.2">
      <c r="C855" s="208"/>
      <c r="D855" s="208"/>
    </row>
    <row r="856" spans="3:4" ht="13.2">
      <c r="C856" s="208"/>
      <c r="D856" s="208"/>
    </row>
    <row r="857" spans="3:4" ht="13.2">
      <c r="C857" s="208"/>
      <c r="D857" s="208"/>
    </row>
    <row r="858" spans="3:4" ht="13.2">
      <c r="C858" s="208"/>
      <c r="D858" s="208"/>
    </row>
    <row r="859" spans="3:4" ht="13.2">
      <c r="C859" s="208"/>
      <c r="D859" s="208"/>
    </row>
    <row r="860" spans="3:4" ht="13.2">
      <c r="C860" s="208"/>
      <c r="D860" s="208"/>
    </row>
    <row r="861" spans="3:4" ht="13.2">
      <c r="C861" s="208"/>
      <c r="D861" s="208"/>
    </row>
    <row r="862" spans="3:4" ht="13.2">
      <c r="C862" s="208"/>
      <c r="D862" s="208"/>
    </row>
    <row r="863" spans="3:4" ht="13.2">
      <c r="C863" s="208"/>
      <c r="D863" s="208"/>
    </row>
    <row r="864" spans="3:4" ht="13.2">
      <c r="C864" s="208"/>
      <c r="D864" s="208"/>
    </row>
    <row r="865" spans="3:4" ht="13.2">
      <c r="C865" s="208"/>
      <c r="D865" s="208"/>
    </row>
    <row r="866" spans="3:4" ht="13.2">
      <c r="C866" s="208"/>
      <c r="D866" s="208"/>
    </row>
    <row r="867" spans="3:4" ht="13.2">
      <c r="C867" s="208"/>
      <c r="D867" s="208"/>
    </row>
    <row r="868" spans="3:4" ht="13.2">
      <c r="C868" s="208"/>
      <c r="D868" s="208"/>
    </row>
    <row r="869" spans="3:4" ht="13.2">
      <c r="C869" s="208"/>
      <c r="D869" s="208"/>
    </row>
    <row r="870" spans="3:4" ht="13.2">
      <c r="C870" s="208"/>
      <c r="D870" s="208"/>
    </row>
    <row r="871" spans="3:4" ht="13.2">
      <c r="C871" s="208"/>
      <c r="D871" s="208"/>
    </row>
    <row r="872" spans="3:4" ht="13.2">
      <c r="C872" s="208"/>
      <c r="D872" s="208"/>
    </row>
    <row r="873" spans="3:4" ht="13.2">
      <c r="C873" s="208"/>
      <c r="D873" s="208"/>
    </row>
    <row r="874" spans="3:4" ht="13.2">
      <c r="C874" s="208"/>
      <c r="D874" s="208"/>
    </row>
    <row r="875" spans="3:4" ht="13.2">
      <c r="C875" s="208"/>
      <c r="D875" s="208"/>
    </row>
    <row r="876" spans="3:4" ht="13.2">
      <c r="C876" s="208"/>
      <c r="D876" s="208"/>
    </row>
    <row r="877" spans="3:4" ht="13.2">
      <c r="C877" s="208"/>
      <c r="D877" s="208"/>
    </row>
    <row r="878" spans="3:4" ht="13.2">
      <c r="C878" s="208"/>
      <c r="D878" s="208"/>
    </row>
    <row r="879" spans="3:4" ht="13.2">
      <c r="C879" s="208"/>
      <c r="D879" s="208"/>
    </row>
    <row r="880" spans="3:4" ht="13.2">
      <c r="C880" s="208"/>
      <c r="D880" s="208"/>
    </row>
    <row r="881" spans="3:4" ht="13.2">
      <c r="C881" s="208"/>
      <c r="D881" s="208"/>
    </row>
    <row r="882" spans="3:4" ht="13.2">
      <c r="C882" s="208"/>
      <c r="D882" s="208"/>
    </row>
    <row r="883" spans="3:4" ht="13.2">
      <c r="C883" s="208"/>
      <c r="D883" s="208"/>
    </row>
    <row r="884" spans="3:4" ht="13.2">
      <c r="C884" s="208"/>
      <c r="D884" s="208"/>
    </row>
    <row r="885" spans="3:4" ht="13.2">
      <c r="C885" s="208"/>
      <c r="D885" s="208"/>
    </row>
    <row r="886" spans="3:4" ht="13.2">
      <c r="C886" s="208"/>
      <c r="D886" s="208"/>
    </row>
    <row r="887" spans="3:4" ht="13.2">
      <c r="C887" s="208"/>
      <c r="D887" s="208"/>
    </row>
    <row r="888" spans="3:4" ht="13.2">
      <c r="C888" s="208"/>
      <c r="D888" s="208"/>
    </row>
    <row r="889" spans="3:4" ht="13.2">
      <c r="C889" s="208"/>
      <c r="D889" s="208"/>
    </row>
    <row r="890" spans="3:4" ht="13.2">
      <c r="C890" s="208"/>
      <c r="D890" s="208"/>
    </row>
    <row r="891" spans="3:4" ht="13.2">
      <c r="C891" s="208"/>
      <c r="D891" s="208"/>
    </row>
    <row r="892" spans="3:4" ht="13.2">
      <c r="C892" s="208"/>
      <c r="D892" s="208"/>
    </row>
    <row r="893" spans="3:4" ht="13.2">
      <c r="C893" s="208"/>
      <c r="D893" s="208"/>
    </row>
    <row r="894" spans="3:4" ht="13.2">
      <c r="C894" s="208"/>
      <c r="D894" s="208"/>
    </row>
    <row r="895" spans="3:4" ht="13.2">
      <c r="C895" s="208"/>
      <c r="D895" s="208"/>
    </row>
    <row r="896" spans="3:4" ht="13.2">
      <c r="C896" s="208"/>
      <c r="D896" s="208"/>
    </row>
    <row r="897" spans="3:4" ht="13.2">
      <c r="C897" s="208"/>
      <c r="D897" s="208"/>
    </row>
    <row r="898" spans="3:4" ht="13.2">
      <c r="C898" s="208"/>
      <c r="D898" s="208"/>
    </row>
    <row r="899" spans="3:4" ht="13.2">
      <c r="C899" s="208"/>
      <c r="D899" s="208"/>
    </row>
    <row r="900" spans="3:4" ht="13.2">
      <c r="C900" s="208"/>
      <c r="D900" s="208"/>
    </row>
    <row r="901" spans="3:4" ht="13.2">
      <c r="C901" s="208"/>
      <c r="D901" s="208"/>
    </row>
    <row r="902" spans="3:4" ht="13.2">
      <c r="C902" s="208"/>
      <c r="D902" s="208"/>
    </row>
    <row r="903" spans="3:4" ht="13.2">
      <c r="C903" s="208"/>
      <c r="D903" s="208"/>
    </row>
    <row r="904" spans="3:4" ht="13.2">
      <c r="C904" s="208"/>
      <c r="D904" s="208"/>
    </row>
    <row r="905" spans="3:4" ht="13.2">
      <c r="C905" s="208"/>
      <c r="D905" s="208"/>
    </row>
    <row r="906" spans="3:4" ht="13.2">
      <c r="C906" s="208"/>
      <c r="D906" s="208"/>
    </row>
    <row r="907" spans="3:4" ht="13.2">
      <c r="C907" s="208"/>
      <c r="D907" s="208"/>
    </row>
    <row r="908" spans="3:4" ht="13.2">
      <c r="C908" s="208"/>
      <c r="D908" s="208"/>
    </row>
    <row r="909" spans="3:4" ht="13.2">
      <c r="C909" s="208"/>
      <c r="D909" s="208"/>
    </row>
    <row r="910" spans="3:4" ht="13.2">
      <c r="C910" s="208"/>
      <c r="D910" s="208"/>
    </row>
    <row r="911" spans="3:4" ht="13.2">
      <c r="C911" s="208"/>
      <c r="D911" s="208"/>
    </row>
    <row r="912" spans="3:4" ht="13.2">
      <c r="C912" s="208"/>
      <c r="D912" s="208"/>
    </row>
    <row r="913" spans="3:4" ht="13.2">
      <c r="C913" s="208"/>
      <c r="D913" s="208"/>
    </row>
    <row r="914" spans="3:4" ht="13.2">
      <c r="C914" s="208"/>
      <c r="D914" s="208"/>
    </row>
    <row r="915" spans="3:4" ht="13.2">
      <c r="C915" s="208"/>
      <c r="D915" s="208"/>
    </row>
    <row r="916" spans="3:4" ht="13.2">
      <c r="C916" s="208"/>
      <c r="D916" s="208"/>
    </row>
    <row r="917" spans="3:4" ht="13.2">
      <c r="C917" s="208"/>
      <c r="D917" s="208"/>
    </row>
    <row r="918" spans="3:4" ht="13.2">
      <c r="C918" s="208"/>
      <c r="D918" s="208"/>
    </row>
    <row r="919" spans="3:4" ht="13.2">
      <c r="C919" s="208"/>
      <c r="D919" s="208"/>
    </row>
    <row r="920" spans="3:4" ht="13.2">
      <c r="C920" s="208"/>
      <c r="D920" s="208"/>
    </row>
    <row r="921" spans="3:4" ht="13.2">
      <c r="C921" s="208"/>
      <c r="D921" s="208"/>
    </row>
    <row r="922" spans="3:4" ht="13.2">
      <c r="C922" s="208"/>
      <c r="D922" s="208"/>
    </row>
    <row r="923" spans="3:4" ht="13.2">
      <c r="C923" s="208"/>
      <c r="D923" s="208"/>
    </row>
    <row r="924" spans="3:4" ht="13.2">
      <c r="C924" s="208"/>
      <c r="D924" s="208"/>
    </row>
    <row r="925" spans="3:4" ht="13.2">
      <c r="C925" s="208"/>
      <c r="D925" s="208"/>
    </row>
    <row r="926" spans="3:4" ht="13.2">
      <c r="C926" s="208"/>
      <c r="D926" s="208"/>
    </row>
    <row r="927" spans="3:4" ht="13.2">
      <c r="C927" s="208"/>
      <c r="D927" s="208"/>
    </row>
    <row r="928" spans="3:4" ht="13.2">
      <c r="C928" s="208"/>
      <c r="D928" s="208"/>
    </row>
    <row r="929" spans="3:4" ht="13.2">
      <c r="C929" s="208"/>
      <c r="D929" s="208"/>
    </row>
    <row r="930" spans="3:4" ht="13.2">
      <c r="C930" s="208"/>
      <c r="D930" s="208"/>
    </row>
    <row r="931" spans="3:4" ht="13.2">
      <c r="C931" s="208"/>
      <c r="D931" s="208"/>
    </row>
    <row r="932" spans="3:4" ht="13.2">
      <c r="C932" s="208"/>
      <c r="D932" s="208"/>
    </row>
    <row r="933" spans="3:4" ht="13.2">
      <c r="C933" s="208"/>
      <c r="D933" s="208"/>
    </row>
    <row r="934" spans="3:4" ht="13.2">
      <c r="C934" s="208"/>
      <c r="D934" s="208"/>
    </row>
    <row r="935" spans="3:4" ht="13.2">
      <c r="C935" s="208"/>
      <c r="D935" s="208"/>
    </row>
    <row r="936" spans="3:4" ht="13.2">
      <c r="C936" s="208"/>
      <c r="D936" s="208"/>
    </row>
    <row r="937" spans="3:4" ht="13.2">
      <c r="C937" s="208"/>
      <c r="D937" s="208"/>
    </row>
    <row r="938" spans="3:4" ht="13.2">
      <c r="C938" s="208"/>
      <c r="D938" s="208"/>
    </row>
    <row r="939" spans="3:4" ht="13.2">
      <c r="C939" s="208"/>
      <c r="D939" s="208"/>
    </row>
    <row r="940" spans="3:4" ht="13.2">
      <c r="C940" s="208"/>
      <c r="D940" s="208"/>
    </row>
    <row r="941" spans="3:4" ht="13.2">
      <c r="C941" s="208"/>
      <c r="D941" s="208"/>
    </row>
    <row r="942" spans="3:4" ht="13.2">
      <c r="C942" s="208"/>
      <c r="D942" s="208"/>
    </row>
    <row r="943" spans="3:4" ht="13.2">
      <c r="C943" s="208"/>
      <c r="D943" s="208"/>
    </row>
    <row r="944" spans="3:4" ht="13.2">
      <c r="C944" s="208"/>
      <c r="D944" s="208"/>
    </row>
    <row r="945" spans="3:4" ht="13.2">
      <c r="C945" s="208"/>
      <c r="D945" s="208"/>
    </row>
    <row r="946" spans="3:4" ht="13.2">
      <c r="C946" s="208"/>
      <c r="D946" s="208"/>
    </row>
    <row r="947" spans="3:4" ht="13.2">
      <c r="C947" s="208"/>
      <c r="D947" s="208"/>
    </row>
    <row r="948" spans="3:4" ht="13.2">
      <c r="C948" s="208"/>
      <c r="D948" s="208"/>
    </row>
    <row r="949" spans="3:4" ht="13.2">
      <c r="C949" s="208"/>
      <c r="D949" s="208"/>
    </row>
    <row r="950" spans="3:4" ht="13.2">
      <c r="C950" s="208"/>
      <c r="D950" s="208"/>
    </row>
    <row r="951" spans="3:4" ht="13.2">
      <c r="C951" s="208"/>
      <c r="D951" s="208"/>
    </row>
    <row r="952" spans="3:4" ht="13.2">
      <c r="C952" s="208"/>
      <c r="D952" s="208"/>
    </row>
    <row r="953" spans="3:4" ht="13.2">
      <c r="C953" s="208"/>
      <c r="D953" s="208"/>
    </row>
    <row r="954" spans="3:4" ht="13.2">
      <c r="C954" s="208"/>
      <c r="D954" s="208"/>
    </row>
    <row r="955" spans="3:4" ht="13.2">
      <c r="C955" s="208"/>
      <c r="D955" s="208"/>
    </row>
    <row r="956" spans="3:4" ht="13.2">
      <c r="C956" s="208"/>
      <c r="D956" s="208"/>
    </row>
    <row r="957" spans="3:4" ht="13.2">
      <c r="C957" s="208"/>
      <c r="D957" s="208"/>
    </row>
    <row r="958" spans="3:4" ht="13.2">
      <c r="C958" s="208"/>
      <c r="D958" s="208"/>
    </row>
    <row r="959" spans="3:4" ht="13.2">
      <c r="C959" s="208"/>
      <c r="D959" s="208"/>
    </row>
    <row r="960" spans="3:4" ht="13.2">
      <c r="C960" s="208"/>
      <c r="D960" s="208"/>
    </row>
    <row r="961" spans="3:4" ht="13.2">
      <c r="C961" s="208"/>
      <c r="D961" s="208"/>
    </row>
    <row r="962" spans="3:4" ht="13.2">
      <c r="C962" s="208"/>
      <c r="D962" s="208"/>
    </row>
    <row r="963" spans="3:4" ht="13.2">
      <c r="C963" s="208"/>
      <c r="D963" s="208"/>
    </row>
    <row r="964" spans="3:4" ht="13.2">
      <c r="C964" s="208"/>
      <c r="D964" s="208"/>
    </row>
    <row r="965" spans="3:4" ht="13.2">
      <c r="C965" s="208"/>
      <c r="D965" s="208"/>
    </row>
    <row r="966" spans="3:4" ht="13.2">
      <c r="C966" s="208"/>
      <c r="D966" s="208"/>
    </row>
    <row r="967" spans="3:4" ht="13.2">
      <c r="C967" s="208"/>
      <c r="D967" s="208"/>
    </row>
    <row r="968" spans="3:4" ht="13.2">
      <c r="C968" s="208"/>
      <c r="D968" s="208"/>
    </row>
    <row r="969" spans="3:4" ht="13.2">
      <c r="C969" s="208"/>
      <c r="D969" s="208"/>
    </row>
    <row r="970" spans="3:4" ht="13.2">
      <c r="C970" s="208"/>
      <c r="D970" s="208"/>
    </row>
    <row r="971" spans="3:4" ht="13.2">
      <c r="C971" s="208"/>
      <c r="D971" s="208"/>
    </row>
    <row r="972" spans="3:4" ht="13.2">
      <c r="C972" s="208"/>
      <c r="D972" s="208"/>
    </row>
    <row r="973" spans="3:4" ht="13.2">
      <c r="C973" s="208"/>
      <c r="D973" s="208"/>
    </row>
    <row r="974" spans="3:4" ht="13.2">
      <c r="C974" s="208"/>
      <c r="D974" s="208"/>
    </row>
    <row r="975" spans="3:4" ht="13.2">
      <c r="C975" s="208"/>
      <c r="D975" s="208"/>
    </row>
    <row r="976" spans="3:4" ht="13.2">
      <c r="C976" s="208"/>
      <c r="D976" s="208"/>
    </row>
    <row r="977" spans="3:4" ht="13.2">
      <c r="C977" s="208"/>
      <c r="D977" s="208"/>
    </row>
    <row r="978" spans="3:4" ht="13.2">
      <c r="C978" s="208"/>
      <c r="D978" s="208"/>
    </row>
    <row r="979" spans="3:4" ht="13.2">
      <c r="C979" s="208"/>
      <c r="D979" s="208"/>
    </row>
    <row r="980" spans="3:4" ht="13.2">
      <c r="C980" s="208"/>
      <c r="D980" s="208"/>
    </row>
    <row r="981" spans="3:4" ht="13.2">
      <c r="C981" s="208"/>
      <c r="D981" s="208"/>
    </row>
    <row r="982" spans="3:4" ht="13.2">
      <c r="C982" s="208"/>
      <c r="D982" s="208"/>
    </row>
    <row r="983" spans="3:4" ht="13.2">
      <c r="C983" s="208"/>
      <c r="D983" s="208"/>
    </row>
    <row r="984" spans="3:4" ht="13.2">
      <c r="C984" s="208"/>
      <c r="D984" s="208"/>
    </row>
    <row r="985" spans="3:4" ht="13.2">
      <c r="C985" s="208"/>
      <c r="D985" s="208"/>
    </row>
    <row r="986" spans="3:4" ht="13.2">
      <c r="C986" s="208"/>
      <c r="D986" s="208"/>
    </row>
    <row r="987" spans="3:4" ht="13.2">
      <c r="C987" s="208"/>
      <c r="D987" s="208"/>
    </row>
    <row r="988" spans="3:4" ht="13.2">
      <c r="C988" s="208"/>
      <c r="D988" s="208"/>
    </row>
    <row r="989" spans="3:4" ht="13.2">
      <c r="C989" s="208"/>
      <c r="D989" s="208"/>
    </row>
    <row r="990" spans="3:4" ht="13.2">
      <c r="C990" s="208"/>
      <c r="D990" s="208"/>
    </row>
    <row r="991" spans="3:4" ht="13.2">
      <c r="C991" s="208"/>
      <c r="D991" s="208"/>
    </row>
    <row r="992" spans="3:4" ht="13.2">
      <c r="C992" s="208"/>
      <c r="D992" s="208"/>
    </row>
    <row r="993" spans="3:4" ht="13.2">
      <c r="C993" s="208"/>
      <c r="D993" s="208"/>
    </row>
    <row r="994" spans="3:4" ht="13.2">
      <c r="C994" s="208"/>
      <c r="D994" s="208"/>
    </row>
    <row r="995" spans="3:4" ht="13.2">
      <c r="C995" s="208"/>
      <c r="D995" s="208"/>
    </row>
    <row r="996" spans="3:4" ht="13.2">
      <c r="C996" s="208"/>
      <c r="D996" s="208"/>
    </row>
    <row r="997" spans="3:4" ht="13.2">
      <c r="C997" s="208"/>
      <c r="D997" s="208"/>
    </row>
    <row r="998" spans="3:4" ht="13.2">
      <c r="C998" s="208"/>
      <c r="D998" s="208"/>
    </row>
    <row r="999" spans="3:4" ht="13.2">
      <c r="C999" s="208"/>
      <c r="D999" s="208"/>
    </row>
    <row r="1000" spans="3:4" ht="13.2">
      <c r="C1000" s="208"/>
      <c r="D1000" s="208"/>
    </row>
    <row r="1001" spans="3:4" ht="13.2">
      <c r="C1001" s="208"/>
      <c r="D1001" s="208"/>
    </row>
    <row r="1002" spans="3:4" ht="13.2">
      <c r="C1002" s="208"/>
      <c r="D1002" s="208"/>
    </row>
    <row r="1003" spans="3:4" ht="13.2">
      <c r="C1003" s="208"/>
      <c r="D1003" s="208"/>
    </row>
    <row r="1004" spans="3:4" ht="13.2">
      <c r="C1004" s="208"/>
      <c r="D1004" s="208"/>
    </row>
    <row r="1005" spans="3:4" ht="13.2">
      <c r="C1005" s="208"/>
      <c r="D1005" s="208"/>
    </row>
    <row r="1006" spans="3:4" ht="13.2">
      <c r="C1006" s="208"/>
      <c r="D1006" s="208"/>
    </row>
    <row r="1007" spans="3:4" ht="13.2">
      <c r="C1007" s="208"/>
      <c r="D1007" s="208"/>
    </row>
    <row r="1008" spans="3:4" ht="13.2">
      <c r="C1008" s="208"/>
      <c r="D1008" s="208"/>
    </row>
    <row r="1009" spans="3:4" ht="13.2">
      <c r="C1009" s="208"/>
      <c r="D1009" s="208"/>
    </row>
    <row r="1010" spans="3:4" ht="13.2">
      <c r="C1010" s="208"/>
      <c r="D1010" s="208"/>
    </row>
    <row r="1011" spans="3:4" ht="13.2">
      <c r="C1011" s="208"/>
      <c r="D1011" s="208"/>
    </row>
    <row r="1012" spans="3:4" ht="13.2">
      <c r="C1012" s="208"/>
      <c r="D1012" s="208"/>
    </row>
    <row r="1013" spans="3:4" ht="13.2">
      <c r="C1013" s="208"/>
      <c r="D1013" s="208"/>
    </row>
    <row r="1014" spans="3:4" ht="13.2">
      <c r="C1014" s="208"/>
      <c r="D1014" s="208"/>
    </row>
    <row r="1015" spans="3:4" ht="13.2">
      <c r="C1015" s="208"/>
      <c r="D1015" s="208"/>
    </row>
    <row r="1016" spans="3:4" ht="13.2">
      <c r="C1016" s="208"/>
      <c r="D1016" s="208"/>
    </row>
    <row r="1017" spans="3:4" ht="13.2">
      <c r="C1017" s="208"/>
      <c r="D1017" s="208"/>
    </row>
    <row r="1018" spans="3:4" ht="13.2">
      <c r="C1018" s="208"/>
      <c r="D1018" s="208"/>
    </row>
    <row r="1019" spans="3:4" ht="13.2">
      <c r="C1019" s="208"/>
      <c r="D1019" s="208"/>
    </row>
    <row r="1020" spans="3:4" ht="13.2">
      <c r="C1020" s="208"/>
      <c r="D1020" s="208"/>
    </row>
    <row r="1021" spans="3:4" ht="13.2">
      <c r="C1021" s="208"/>
      <c r="D1021" s="208"/>
    </row>
    <row r="1022" spans="3:4" ht="13.2">
      <c r="C1022" s="208"/>
      <c r="D1022" s="208"/>
    </row>
    <row r="1023" spans="3:4" ht="13.2">
      <c r="C1023" s="208"/>
      <c r="D1023" s="208"/>
    </row>
    <row r="1024" spans="3:4" ht="13.2">
      <c r="C1024" s="208"/>
      <c r="D1024" s="208"/>
    </row>
    <row r="1025" spans="3:17" ht="13.2">
      <c r="C1025" s="208"/>
      <c r="D1025" s="208"/>
    </row>
    <row r="1026" spans="3:17" ht="13.2">
      <c r="C1026" s="208"/>
      <c r="D1026" s="208"/>
    </row>
    <row r="1027" spans="3:17" ht="13.2">
      <c r="C1027" s="208"/>
      <c r="D1027" s="208"/>
    </row>
    <row r="1028" spans="3:17" ht="13.2">
      <c r="C1028" s="208"/>
      <c r="D1028" s="208"/>
    </row>
    <row r="1029" spans="3:17" ht="13.2">
      <c r="C1029" s="208"/>
      <c r="D1029" s="208"/>
    </row>
    <row r="1030" spans="3:17" ht="13.2">
      <c r="C1030" s="208"/>
      <c r="D1030" s="208"/>
    </row>
    <row r="1031" spans="3:17" ht="13.2">
      <c r="C1031" s="208"/>
      <c r="D1031" s="208"/>
    </row>
    <row r="1032" spans="3:17" ht="13.2">
      <c r="C1032" s="208"/>
      <c r="D1032" s="208"/>
      <c r="E1032" s="184"/>
      <c r="F1032" s="194"/>
      <c r="M1032" s="163"/>
      <c r="N1032" s="145"/>
      <c r="Q1032" s="145"/>
    </row>
  </sheetData>
  <autoFilter ref="B7:AB51" xr:uid="{00000000-0009-0000-0000-000006000000}">
    <sortState xmlns:xlrd2="http://schemas.microsoft.com/office/spreadsheetml/2017/richdata2" ref="B10:AB51">
      <sortCondition ref="I7:I51"/>
    </sortState>
  </autoFilter>
  <mergeCells count="6">
    <mergeCell ref="S7:U7"/>
    <mergeCell ref="B3:J6"/>
    <mergeCell ref="K3:V4"/>
    <mergeCell ref="W3:W4"/>
    <mergeCell ref="K5:V6"/>
    <mergeCell ref="W5:W6"/>
  </mergeCells>
  <hyperlinks>
    <hyperlink ref="Z8" r:id="rId1" xr:uid="{00000000-0004-0000-06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3:AC1009"/>
  <sheetViews>
    <sheetView topLeftCell="A10" workbookViewId="0">
      <selection activeCell="X35" sqref="X35"/>
    </sheetView>
  </sheetViews>
  <sheetFormatPr defaultColWidth="12.6640625" defaultRowHeight="15.75" customHeight="1"/>
  <cols>
    <col min="4" max="4" width="14.77734375" customWidth="1"/>
    <col min="5" max="5" width="20.6640625" customWidth="1"/>
    <col min="9" max="9" width="35.21875" customWidth="1"/>
    <col min="11" max="12" width="13.44140625" customWidth="1"/>
    <col min="14" max="14" width="13.77734375" customWidth="1"/>
    <col min="22" max="22" width="13.88671875" customWidth="1"/>
    <col min="23" max="23" width="14.109375" customWidth="1"/>
    <col min="26" max="26" width="11.44140625" customWidth="1"/>
    <col min="27" max="27" width="15" customWidth="1"/>
    <col min="28" max="29" width="14.33203125" customWidth="1"/>
  </cols>
  <sheetData>
    <row r="3" spans="2:29" ht="15.75" customHeight="1">
      <c r="C3" s="208"/>
      <c r="D3" s="208"/>
      <c r="X3" s="114"/>
      <c r="Y3" s="61" t="s">
        <v>327</v>
      </c>
    </row>
    <row r="4" spans="2:29" ht="15.75" customHeight="1">
      <c r="C4" s="208"/>
      <c r="D4" s="208"/>
      <c r="X4" s="115"/>
      <c r="Y4" s="61" t="s">
        <v>328</v>
      </c>
    </row>
    <row r="5" spans="2:29" ht="15.75" customHeight="1">
      <c r="B5" s="618"/>
      <c r="C5" s="618"/>
      <c r="D5" s="618"/>
      <c r="E5" s="618"/>
      <c r="F5" s="618"/>
      <c r="G5" s="618"/>
      <c r="H5" s="618"/>
      <c r="I5" s="618"/>
      <c r="J5" s="618"/>
      <c r="K5" s="637" t="s">
        <v>329</v>
      </c>
      <c r="L5" s="627"/>
      <c r="M5" s="627"/>
      <c r="N5" s="627"/>
      <c r="O5" s="627"/>
      <c r="P5" s="627"/>
      <c r="Q5" s="627"/>
      <c r="R5" s="627"/>
      <c r="S5" s="627"/>
      <c r="T5" s="627"/>
      <c r="U5" s="627"/>
      <c r="V5" s="628"/>
      <c r="W5" s="639"/>
      <c r="X5" s="116"/>
      <c r="Y5" s="61" t="s">
        <v>330</v>
      </c>
    </row>
    <row r="6" spans="2:29" ht="15.75" customHeight="1">
      <c r="B6" s="618"/>
      <c r="C6" s="618"/>
      <c r="D6" s="618"/>
      <c r="E6" s="618"/>
      <c r="F6" s="618"/>
      <c r="G6" s="618"/>
      <c r="H6" s="618"/>
      <c r="I6" s="618"/>
      <c r="J6" s="618"/>
      <c r="K6" s="638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0"/>
      <c r="W6" s="634"/>
      <c r="X6" s="117"/>
      <c r="Y6" s="61" t="s">
        <v>417</v>
      </c>
    </row>
    <row r="7" spans="2:29" ht="15.75" customHeight="1">
      <c r="B7" s="618"/>
      <c r="C7" s="618"/>
      <c r="D7" s="618"/>
      <c r="E7" s="618"/>
      <c r="F7" s="618"/>
      <c r="G7" s="618"/>
      <c r="H7" s="618"/>
      <c r="I7" s="618"/>
      <c r="J7" s="618"/>
      <c r="K7" s="646" t="s">
        <v>755</v>
      </c>
      <c r="L7" s="627"/>
      <c r="M7" s="627"/>
      <c r="N7" s="627"/>
      <c r="O7" s="627"/>
      <c r="P7" s="627"/>
      <c r="Q7" s="627"/>
      <c r="R7" s="627"/>
      <c r="S7" s="627"/>
      <c r="T7" s="627"/>
      <c r="U7" s="627"/>
      <c r="V7" s="628"/>
      <c r="W7" s="640"/>
      <c r="X7" s="118"/>
    </row>
    <row r="8" spans="2:29" ht="15.75" customHeight="1">
      <c r="B8" s="618"/>
      <c r="C8" s="618"/>
      <c r="D8" s="618"/>
      <c r="E8" s="618"/>
      <c r="F8" s="618"/>
      <c r="G8" s="618"/>
      <c r="H8" s="618"/>
      <c r="I8" s="618"/>
      <c r="J8" s="618"/>
      <c r="K8" s="638"/>
      <c r="L8" s="625"/>
      <c r="M8" s="625"/>
      <c r="N8" s="625"/>
      <c r="O8" s="625"/>
      <c r="P8" s="625"/>
      <c r="Q8" s="625"/>
      <c r="R8" s="625"/>
      <c r="S8" s="625"/>
      <c r="T8" s="625"/>
      <c r="U8" s="625"/>
      <c r="V8" s="620"/>
      <c r="W8" s="634"/>
      <c r="X8" s="118"/>
    </row>
    <row r="9" spans="2:29" ht="15.75" customHeight="1">
      <c r="B9" s="65" t="s">
        <v>2</v>
      </c>
      <c r="C9" s="66" t="s">
        <v>3</v>
      </c>
      <c r="D9" s="66" t="s">
        <v>4</v>
      </c>
      <c r="E9" s="66" t="s">
        <v>5</v>
      </c>
      <c r="F9" s="65" t="s">
        <v>6</v>
      </c>
      <c r="G9" s="65" t="s">
        <v>333</v>
      </c>
      <c r="H9" s="65" t="s">
        <v>8</v>
      </c>
      <c r="I9" s="65" t="s">
        <v>9</v>
      </c>
      <c r="J9" s="65" t="s">
        <v>10</v>
      </c>
      <c r="K9" s="65" t="s">
        <v>11</v>
      </c>
      <c r="L9" s="65" t="s">
        <v>12</v>
      </c>
      <c r="M9" s="65" t="s">
        <v>13</v>
      </c>
      <c r="N9" s="65" t="s">
        <v>14</v>
      </c>
      <c r="O9" s="65" t="s">
        <v>15</v>
      </c>
      <c r="P9" s="66" t="s">
        <v>16</v>
      </c>
      <c r="Q9" s="66" t="s">
        <v>17</v>
      </c>
      <c r="R9" s="65" t="s">
        <v>18</v>
      </c>
      <c r="S9" s="641" t="s">
        <v>19</v>
      </c>
      <c r="T9" s="642"/>
      <c r="U9" s="643"/>
      <c r="V9" s="65" t="s">
        <v>20</v>
      </c>
      <c r="W9" s="67" t="s">
        <v>334</v>
      </c>
      <c r="X9" s="66" t="s">
        <v>335</v>
      </c>
      <c r="Y9" s="66" t="s">
        <v>336</v>
      </c>
      <c r="Z9" s="66" t="s">
        <v>337</v>
      </c>
      <c r="AA9" s="66" t="s">
        <v>338</v>
      </c>
      <c r="AB9" s="66" t="s">
        <v>339</v>
      </c>
      <c r="AC9" s="233"/>
    </row>
    <row r="10" spans="2:29" ht="15.75" customHeight="1">
      <c r="B10" s="68"/>
      <c r="C10" s="69"/>
      <c r="D10" s="69"/>
      <c r="E10" s="69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/>
      <c r="Q10" s="69"/>
      <c r="R10" s="68"/>
      <c r="S10" s="70" t="s">
        <v>22</v>
      </c>
      <c r="T10" s="70" t="s">
        <v>23</v>
      </c>
      <c r="U10" s="70" t="s">
        <v>24</v>
      </c>
      <c r="V10" s="68"/>
      <c r="W10" s="71" t="s">
        <v>25</v>
      </c>
      <c r="X10" s="69"/>
      <c r="Y10" s="69"/>
      <c r="Z10" s="72" t="s">
        <v>340</v>
      </c>
      <c r="AA10" s="69"/>
      <c r="AB10" s="69"/>
      <c r="AC10" s="233"/>
    </row>
    <row r="11" spans="2:29" ht="15.75" customHeight="1">
      <c r="B11" s="73">
        <v>1</v>
      </c>
      <c r="C11" s="75">
        <v>2</v>
      </c>
      <c r="D11" s="75">
        <v>3</v>
      </c>
      <c r="E11" s="75">
        <v>4</v>
      </c>
      <c r="F11" s="75">
        <v>5</v>
      </c>
      <c r="G11" s="75">
        <v>6</v>
      </c>
      <c r="H11" s="75">
        <v>7</v>
      </c>
      <c r="I11" s="75">
        <v>8</v>
      </c>
      <c r="J11" s="75">
        <v>9</v>
      </c>
      <c r="K11" s="75">
        <v>10</v>
      </c>
      <c r="L11" s="75">
        <v>11</v>
      </c>
      <c r="M11" s="75">
        <v>12</v>
      </c>
      <c r="N11" s="75">
        <v>13</v>
      </c>
      <c r="O11" s="75">
        <v>14</v>
      </c>
      <c r="P11" s="75">
        <v>15</v>
      </c>
      <c r="Q11" s="75">
        <v>16</v>
      </c>
      <c r="R11" s="75">
        <v>17</v>
      </c>
      <c r="S11" s="75">
        <v>18</v>
      </c>
      <c r="T11" s="75">
        <v>19</v>
      </c>
      <c r="U11" s="75">
        <v>20</v>
      </c>
      <c r="V11" s="75">
        <v>21</v>
      </c>
      <c r="W11" s="75">
        <v>22</v>
      </c>
      <c r="X11" s="75">
        <v>23</v>
      </c>
      <c r="Y11" s="75">
        <v>24</v>
      </c>
      <c r="Z11" s="75">
        <v>24</v>
      </c>
      <c r="AA11" s="75">
        <v>24</v>
      </c>
      <c r="AB11" s="75">
        <v>24</v>
      </c>
      <c r="AC11" s="234"/>
    </row>
    <row r="12" spans="2:29" ht="13.2">
      <c r="B12" s="209">
        <v>1</v>
      </c>
      <c r="C12" s="77">
        <v>2000028172</v>
      </c>
      <c r="D12" s="77">
        <v>3000028041</v>
      </c>
      <c r="E12" s="121" t="s">
        <v>756</v>
      </c>
      <c r="F12" s="235">
        <v>45138</v>
      </c>
      <c r="G12" s="236">
        <v>26697000</v>
      </c>
      <c r="H12" s="126" t="s">
        <v>31</v>
      </c>
      <c r="I12" s="125" t="s">
        <v>757</v>
      </c>
      <c r="J12" s="126" t="s">
        <v>421</v>
      </c>
      <c r="K12" s="126" t="s">
        <v>422</v>
      </c>
      <c r="L12" s="78" t="s">
        <v>758</v>
      </c>
      <c r="M12" s="237">
        <v>45139</v>
      </c>
      <c r="N12" s="78" t="s">
        <v>424</v>
      </c>
      <c r="O12" s="126" t="s">
        <v>37</v>
      </c>
      <c r="P12" s="78">
        <v>5300011469</v>
      </c>
      <c r="Q12" s="77" t="s">
        <v>759</v>
      </c>
      <c r="R12" s="101">
        <v>45139</v>
      </c>
      <c r="S12" s="56" t="s">
        <v>300</v>
      </c>
      <c r="T12" s="104" t="s">
        <v>411</v>
      </c>
      <c r="U12" s="16" t="s">
        <v>412</v>
      </c>
      <c r="V12" s="138">
        <v>24450000</v>
      </c>
      <c r="W12" s="238">
        <f t="shared" ref="W12:W28" si="0">G12-V12</f>
        <v>2247000</v>
      </c>
      <c r="X12" s="144">
        <v>5000048080</v>
      </c>
      <c r="Y12" s="109" t="s">
        <v>347</v>
      </c>
      <c r="Z12" s="84"/>
      <c r="AA12" s="55" t="s">
        <v>348</v>
      </c>
      <c r="AB12" s="55" t="s">
        <v>357</v>
      </c>
      <c r="AC12" s="239"/>
    </row>
    <row r="13" spans="2:29" ht="13.2">
      <c r="B13" s="209">
        <v>2</v>
      </c>
      <c r="C13" s="87">
        <v>2000027640</v>
      </c>
      <c r="D13" s="87">
        <v>3000027541</v>
      </c>
      <c r="E13" s="121" t="s">
        <v>760</v>
      </c>
      <c r="F13" s="133">
        <v>45138</v>
      </c>
      <c r="G13" s="236">
        <v>14090000</v>
      </c>
      <c r="H13" s="126" t="s">
        <v>31</v>
      </c>
      <c r="I13" s="240" t="s">
        <v>761</v>
      </c>
      <c r="J13" s="126" t="s">
        <v>421</v>
      </c>
      <c r="K13" s="126" t="s">
        <v>422</v>
      </c>
      <c r="L13" s="78" t="s">
        <v>423</v>
      </c>
      <c r="M13" s="241">
        <v>45139</v>
      </c>
      <c r="N13" s="78" t="s">
        <v>424</v>
      </c>
      <c r="O13" s="126" t="s">
        <v>37</v>
      </c>
      <c r="P13" s="78">
        <v>5300011068</v>
      </c>
      <c r="Q13" s="77" t="s">
        <v>762</v>
      </c>
      <c r="R13" s="101">
        <v>45139</v>
      </c>
      <c r="S13" s="218" t="s">
        <v>143</v>
      </c>
      <c r="T13" s="106" t="s">
        <v>144</v>
      </c>
      <c r="U13" s="11" t="s">
        <v>145</v>
      </c>
      <c r="V13" s="123">
        <v>13000000</v>
      </c>
      <c r="W13" s="238">
        <f t="shared" si="0"/>
        <v>1090000</v>
      </c>
      <c r="X13" s="142">
        <v>5000048041</v>
      </c>
      <c r="Y13" s="200" t="s">
        <v>763</v>
      </c>
      <c r="Z13" s="84"/>
      <c r="AA13" s="55" t="s">
        <v>367</v>
      </c>
      <c r="AB13" s="55" t="s">
        <v>349</v>
      </c>
      <c r="AC13" s="239"/>
    </row>
    <row r="14" spans="2:29" ht="13.2">
      <c r="B14" s="170">
        <v>3</v>
      </c>
      <c r="C14" s="77">
        <v>2000027641</v>
      </c>
      <c r="D14" s="77">
        <v>3000027543</v>
      </c>
      <c r="E14" s="121" t="s">
        <v>764</v>
      </c>
      <c r="F14" s="133">
        <v>45138</v>
      </c>
      <c r="G14" s="242">
        <v>8400000</v>
      </c>
      <c r="H14" s="135" t="s">
        <v>31</v>
      </c>
      <c r="I14" s="121" t="s">
        <v>765</v>
      </c>
      <c r="J14" s="135" t="s">
        <v>421</v>
      </c>
      <c r="K14" s="135" t="s">
        <v>422</v>
      </c>
      <c r="L14" s="78" t="s">
        <v>457</v>
      </c>
      <c r="M14" s="241">
        <v>45139</v>
      </c>
      <c r="N14" s="78" t="s">
        <v>424</v>
      </c>
      <c r="O14" s="135" t="s">
        <v>37</v>
      </c>
      <c r="P14" s="77">
        <v>5300011070</v>
      </c>
      <c r="Q14" s="77" t="s">
        <v>766</v>
      </c>
      <c r="R14" s="101">
        <v>45139</v>
      </c>
      <c r="S14" s="11" t="s">
        <v>109</v>
      </c>
      <c r="T14" s="104" t="s">
        <v>110</v>
      </c>
      <c r="U14" s="16" t="s">
        <v>111</v>
      </c>
      <c r="V14" s="138">
        <v>7800000</v>
      </c>
      <c r="W14" s="238">
        <f t="shared" si="0"/>
        <v>600000</v>
      </c>
      <c r="X14" s="142">
        <v>5000047583</v>
      </c>
      <c r="Y14" s="165" t="s">
        <v>347</v>
      </c>
      <c r="Z14" s="84" t="s">
        <v>347</v>
      </c>
      <c r="AA14" s="55" t="s">
        <v>379</v>
      </c>
      <c r="AB14" s="55" t="s">
        <v>357</v>
      </c>
      <c r="AC14" s="239"/>
    </row>
    <row r="15" spans="2:29" ht="13.2">
      <c r="B15" s="170">
        <v>4</v>
      </c>
      <c r="C15" s="77">
        <v>2000027637</v>
      </c>
      <c r="D15" s="77">
        <v>3000027538</v>
      </c>
      <c r="E15" s="121" t="s">
        <v>767</v>
      </c>
      <c r="F15" s="133">
        <v>45138</v>
      </c>
      <c r="G15" s="242">
        <v>14400000</v>
      </c>
      <c r="H15" s="135" t="s">
        <v>31</v>
      </c>
      <c r="I15" s="243" t="s">
        <v>768</v>
      </c>
      <c r="J15" s="135" t="s">
        <v>421</v>
      </c>
      <c r="K15" s="135" t="s">
        <v>422</v>
      </c>
      <c r="L15" s="78" t="s">
        <v>457</v>
      </c>
      <c r="M15" s="241">
        <v>45139</v>
      </c>
      <c r="N15" s="78" t="s">
        <v>424</v>
      </c>
      <c r="O15" s="135" t="s">
        <v>37</v>
      </c>
      <c r="P15" s="77">
        <v>5300011066</v>
      </c>
      <c r="Q15" s="77" t="s">
        <v>769</v>
      </c>
      <c r="R15" s="101">
        <v>45139</v>
      </c>
      <c r="S15" s="11" t="s">
        <v>109</v>
      </c>
      <c r="T15" s="104" t="s">
        <v>110</v>
      </c>
      <c r="U15" s="16" t="s">
        <v>111</v>
      </c>
      <c r="V15" s="138">
        <v>13000000</v>
      </c>
      <c r="W15" s="238">
        <f t="shared" si="0"/>
        <v>1400000</v>
      </c>
      <c r="X15" s="142">
        <v>5000047586</v>
      </c>
      <c r="Y15" s="165" t="s">
        <v>347</v>
      </c>
      <c r="Z15" s="84" t="s">
        <v>347</v>
      </c>
      <c r="AA15" s="55" t="s">
        <v>367</v>
      </c>
      <c r="AB15" s="55" t="s">
        <v>349</v>
      </c>
      <c r="AC15" s="239"/>
    </row>
    <row r="16" spans="2:29" ht="13.2">
      <c r="B16" s="170">
        <v>5</v>
      </c>
      <c r="C16" s="105">
        <v>2000327841</v>
      </c>
      <c r="D16" s="145">
        <v>3000027709</v>
      </c>
      <c r="E16" s="121" t="s">
        <v>770</v>
      </c>
      <c r="F16" s="122">
        <v>45140</v>
      </c>
      <c r="G16" s="242">
        <v>36357699</v>
      </c>
      <c r="H16" s="135" t="s">
        <v>31</v>
      </c>
      <c r="I16" s="121" t="s">
        <v>771</v>
      </c>
      <c r="J16" s="135" t="s">
        <v>726</v>
      </c>
      <c r="K16" s="135" t="s">
        <v>422</v>
      </c>
      <c r="L16" s="77" t="s">
        <v>727</v>
      </c>
      <c r="M16" s="241">
        <v>45140</v>
      </c>
      <c r="N16" s="78" t="s">
        <v>424</v>
      </c>
      <c r="O16" s="135" t="s">
        <v>37</v>
      </c>
      <c r="P16" s="77">
        <v>5300011181</v>
      </c>
      <c r="Q16" s="77" t="s">
        <v>772</v>
      </c>
      <c r="R16" s="101">
        <v>45141</v>
      </c>
      <c r="S16" s="11" t="s">
        <v>109</v>
      </c>
      <c r="T16" s="104" t="s">
        <v>110</v>
      </c>
      <c r="U16" s="16" t="s">
        <v>111</v>
      </c>
      <c r="V16" s="138">
        <v>35024699</v>
      </c>
      <c r="W16" s="238">
        <f t="shared" si="0"/>
        <v>1333000</v>
      </c>
      <c r="X16" s="144">
        <v>5000047660</v>
      </c>
      <c r="Y16" s="109" t="s">
        <v>347</v>
      </c>
      <c r="Z16" s="84" t="s">
        <v>347</v>
      </c>
      <c r="AA16" s="55" t="s">
        <v>453</v>
      </c>
      <c r="AB16" s="55" t="s">
        <v>357</v>
      </c>
      <c r="AC16" s="239"/>
    </row>
    <row r="17" spans="2:29" ht="13.2">
      <c r="B17" s="170">
        <v>6</v>
      </c>
      <c r="C17" s="56">
        <v>2000027688</v>
      </c>
      <c r="D17" s="77">
        <v>3000027576</v>
      </c>
      <c r="E17" s="121" t="s">
        <v>773</v>
      </c>
      <c r="F17" s="122">
        <v>45139</v>
      </c>
      <c r="G17" s="242">
        <v>33000000</v>
      </c>
      <c r="H17" s="135" t="s">
        <v>31</v>
      </c>
      <c r="I17" s="243" t="s">
        <v>774</v>
      </c>
      <c r="J17" s="135" t="s">
        <v>421</v>
      </c>
      <c r="K17" s="135" t="s">
        <v>505</v>
      </c>
      <c r="L17" s="77" t="s">
        <v>457</v>
      </c>
      <c r="M17" s="241">
        <v>45140</v>
      </c>
      <c r="N17" s="78" t="s">
        <v>424</v>
      </c>
      <c r="O17" s="135" t="s">
        <v>37</v>
      </c>
      <c r="P17" s="77">
        <v>5300011090</v>
      </c>
      <c r="Q17" s="77" t="s">
        <v>775</v>
      </c>
      <c r="R17" s="101">
        <v>45140</v>
      </c>
      <c r="S17" s="11" t="s">
        <v>39</v>
      </c>
      <c r="T17" s="104" t="s">
        <v>40</v>
      </c>
      <c r="U17" s="16" t="s">
        <v>41</v>
      </c>
      <c r="V17" s="138">
        <v>33000000</v>
      </c>
      <c r="W17" s="238">
        <f t="shared" si="0"/>
        <v>0</v>
      </c>
      <c r="X17" s="142">
        <v>5000047617</v>
      </c>
      <c r="Y17" s="165" t="s">
        <v>347</v>
      </c>
      <c r="Z17" s="84" t="s">
        <v>347</v>
      </c>
      <c r="AA17" s="55" t="s">
        <v>367</v>
      </c>
      <c r="AB17" s="55" t="s">
        <v>349</v>
      </c>
      <c r="AC17" s="239"/>
    </row>
    <row r="18" spans="2:29" ht="13.2">
      <c r="B18" s="170">
        <v>7</v>
      </c>
      <c r="C18" s="56">
        <v>2000027843</v>
      </c>
      <c r="D18" s="77">
        <v>3000027713</v>
      </c>
      <c r="E18" s="121" t="s">
        <v>776</v>
      </c>
      <c r="F18" s="122">
        <v>45145</v>
      </c>
      <c r="G18" s="242">
        <v>600000</v>
      </c>
      <c r="H18" s="135" t="s">
        <v>31</v>
      </c>
      <c r="I18" s="121" t="s">
        <v>777</v>
      </c>
      <c r="J18" s="135" t="s">
        <v>421</v>
      </c>
      <c r="K18" s="135" t="s">
        <v>422</v>
      </c>
      <c r="L18" s="77" t="s">
        <v>423</v>
      </c>
      <c r="M18" s="241">
        <v>45146</v>
      </c>
      <c r="N18" s="78" t="s">
        <v>424</v>
      </c>
      <c r="O18" s="135" t="s">
        <v>37</v>
      </c>
      <c r="P18" s="77">
        <v>5300011185</v>
      </c>
      <c r="Q18" s="77" t="s">
        <v>778</v>
      </c>
      <c r="R18" s="101">
        <v>45140</v>
      </c>
      <c r="S18" s="145" t="s">
        <v>177</v>
      </c>
      <c r="T18" s="136" t="s">
        <v>40</v>
      </c>
      <c r="U18" s="136" t="s">
        <v>317</v>
      </c>
      <c r="V18" s="138">
        <v>540000</v>
      </c>
      <c r="W18" s="238">
        <f t="shared" si="0"/>
        <v>60000</v>
      </c>
      <c r="X18" s="244"/>
      <c r="Y18" s="200"/>
      <c r="Z18" s="84"/>
      <c r="AA18" s="55" t="s">
        <v>374</v>
      </c>
      <c r="AB18" s="55" t="s">
        <v>357</v>
      </c>
      <c r="AC18" s="239"/>
    </row>
    <row r="19" spans="2:29" ht="13.2">
      <c r="B19" s="170">
        <v>8</v>
      </c>
      <c r="C19" s="56"/>
      <c r="D19" s="77"/>
      <c r="E19" s="121" t="s">
        <v>779</v>
      </c>
      <c r="F19" s="122">
        <v>45142</v>
      </c>
      <c r="G19" s="242">
        <v>76444000</v>
      </c>
      <c r="H19" s="135" t="s">
        <v>31</v>
      </c>
      <c r="I19" s="121" t="s">
        <v>780</v>
      </c>
      <c r="J19" s="135" t="s">
        <v>421</v>
      </c>
      <c r="K19" s="135" t="s">
        <v>422</v>
      </c>
      <c r="L19" s="77" t="s">
        <v>758</v>
      </c>
      <c r="M19" s="241">
        <v>45142</v>
      </c>
      <c r="N19" s="78" t="s">
        <v>424</v>
      </c>
      <c r="O19" s="135" t="s">
        <v>37</v>
      </c>
      <c r="P19" s="77"/>
      <c r="Q19" s="77" t="s">
        <v>781</v>
      </c>
      <c r="R19" s="101">
        <v>45145</v>
      </c>
      <c r="S19" s="56" t="s">
        <v>300</v>
      </c>
      <c r="T19" s="104" t="s">
        <v>411</v>
      </c>
      <c r="U19" s="16" t="s">
        <v>412</v>
      </c>
      <c r="V19" s="141">
        <v>69850054</v>
      </c>
      <c r="W19" s="238">
        <f t="shared" si="0"/>
        <v>6593946</v>
      </c>
      <c r="X19" s="144"/>
      <c r="Y19" s="109"/>
      <c r="Z19" s="84"/>
      <c r="AA19" s="55" t="s">
        <v>382</v>
      </c>
      <c r="AB19" s="55" t="s">
        <v>357</v>
      </c>
      <c r="AC19" s="239"/>
    </row>
    <row r="20" spans="2:29" ht="13.2">
      <c r="B20" s="170">
        <v>9</v>
      </c>
      <c r="C20" s="56">
        <v>2000027993</v>
      </c>
      <c r="D20" s="77">
        <v>3000027881</v>
      </c>
      <c r="E20" s="121" t="s">
        <v>782</v>
      </c>
      <c r="F20" s="122">
        <v>45142</v>
      </c>
      <c r="G20" s="242">
        <v>16458500</v>
      </c>
      <c r="H20" s="135" t="s">
        <v>31</v>
      </c>
      <c r="I20" s="121" t="s">
        <v>43</v>
      </c>
      <c r="J20" s="135" t="s">
        <v>421</v>
      </c>
      <c r="K20" s="135" t="s">
        <v>422</v>
      </c>
      <c r="L20" s="77" t="s">
        <v>457</v>
      </c>
      <c r="M20" s="241">
        <v>45145</v>
      </c>
      <c r="N20" s="78" t="s">
        <v>424</v>
      </c>
      <c r="O20" s="135" t="s">
        <v>37</v>
      </c>
      <c r="P20" s="77">
        <v>5300011321</v>
      </c>
      <c r="Q20" s="77" t="s">
        <v>783</v>
      </c>
      <c r="R20" s="101">
        <v>45145</v>
      </c>
      <c r="S20" s="11" t="s">
        <v>39</v>
      </c>
      <c r="T20" s="104" t="s">
        <v>40</v>
      </c>
      <c r="U20" s="16" t="s">
        <v>41</v>
      </c>
      <c r="V20" s="138">
        <v>16458500</v>
      </c>
      <c r="W20" s="238">
        <f t="shared" si="0"/>
        <v>0</v>
      </c>
      <c r="X20" s="144">
        <v>5000047837</v>
      </c>
      <c r="Y20" s="109" t="s">
        <v>347</v>
      </c>
      <c r="Z20" s="84" t="s">
        <v>347</v>
      </c>
      <c r="AA20" s="55" t="s">
        <v>382</v>
      </c>
      <c r="AB20" s="55" t="s">
        <v>404</v>
      </c>
      <c r="AC20" s="239"/>
    </row>
    <row r="21" spans="2:29" ht="13.2">
      <c r="B21" s="170">
        <v>10</v>
      </c>
      <c r="C21" s="56">
        <v>2000027989</v>
      </c>
      <c r="D21" s="77">
        <v>3000027874</v>
      </c>
      <c r="E21" s="121" t="s">
        <v>784</v>
      </c>
      <c r="F21" s="122">
        <v>45142</v>
      </c>
      <c r="G21" s="242">
        <v>16325000</v>
      </c>
      <c r="H21" s="135" t="s">
        <v>31</v>
      </c>
      <c r="I21" s="121" t="s">
        <v>32</v>
      </c>
      <c r="J21" s="135" t="s">
        <v>421</v>
      </c>
      <c r="K21" s="135" t="s">
        <v>422</v>
      </c>
      <c r="L21" s="77" t="s">
        <v>457</v>
      </c>
      <c r="M21" s="241">
        <v>45145</v>
      </c>
      <c r="N21" s="78" t="s">
        <v>424</v>
      </c>
      <c r="O21" s="135" t="s">
        <v>37</v>
      </c>
      <c r="P21" s="77">
        <v>5300011319</v>
      </c>
      <c r="Q21" s="77" t="s">
        <v>785</v>
      </c>
      <c r="R21" s="101">
        <v>45145</v>
      </c>
      <c r="S21" s="11" t="s">
        <v>39</v>
      </c>
      <c r="T21" s="104" t="s">
        <v>40</v>
      </c>
      <c r="U21" s="16" t="s">
        <v>41</v>
      </c>
      <c r="V21" s="138">
        <v>16325000</v>
      </c>
      <c r="W21" s="238">
        <f t="shared" si="0"/>
        <v>0</v>
      </c>
      <c r="X21" s="144">
        <v>5000047834</v>
      </c>
      <c r="Y21" s="109" t="s">
        <v>347</v>
      </c>
      <c r="Z21" s="84" t="s">
        <v>347</v>
      </c>
      <c r="AA21" s="55" t="s">
        <v>382</v>
      </c>
      <c r="AB21" s="55" t="s">
        <v>404</v>
      </c>
      <c r="AC21" s="239"/>
    </row>
    <row r="22" spans="2:29" ht="13.2">
      <c r="B22" s="170">
        <v>11</v>
      </c>
      <c r="C22" s="56"/>
      <c r="D22" s="77"/>
      <c r="E22" s="121" t="s">
        <v>786</v>
      </c>
      <c r="F22" s="122">
        <v>45147</v>
      </c>
      <c r="G22" s="242">
        <v>114700000</v>
      </c>
      <c r="H22" s="135" t="s">
        <v>31</v>
      </c>
      <c r="I22" s="121" t="s">
        <v>787</v>
      </c>
      <c r="J22" s="135" t="s">
        <v>421</v>
      </c>
      <c r="K22" s="135" t="s">
        <v>505</v>
      </c>
      <c r="L22" s="77" t="s">
        <v>457</v>
      </c>
      <c r="M22" s="241">
        <v>45149</v>
      </c>
      <c r="N22" s="78" t="s">
        <v>424</v>
      </c>
      <c r="O22" s="135" t="s">
        <v>37</v>
      </c>
      <c r="P22" s="77"/>
      <c r="Q22" s="77" t="s">
        <v>788</v>
      </c>
      <c r="R22" s="101">
        <v>45149</v>
      </c>
      <c r="S22" s="11" t="s">
        <v>789</v>
      </c>
      <c r="T22" s="106"/>
      <c r="U22" s="11"/>
      <c r="V22" s="138">
        <v>108700000</v>
      </c>
      <c r="W22" s="238">
        <f t="shared" si="0"/>
        <v>6000000</v>
      </c>
      <c r="X22" s="144"/>
      <c r="Y22" s="109"/>
      <c r="Z22" s="84"/>
      <c r="AA22" s="55"/>
      <c r="AB22" s="55"/>
      <c r="AC22" s="239"/>
    </row>
    <row r="23" spans="2:29" ht="13.2">
      <c r="B23" s="170">
        <v>12</v>
      </c>
      <c r="C23" s="56"/>
      <c r="D23" s="77"/>
      <c r="E23" s="121" t="s">
        <v>790</v>
      </c>
      <c r="F23" s="122">
        <v>45148</v>
      </c>
      <c r="G23" s="242">
        <v>7850000</v>
      </c>
      <c r="H23" s="135" t="s">
        <v>31</v>
      </c>
      <c r="I23" s="121" t="s">
        <v>791</v>
      </c>
      <c r="J23" s="135" t="s">
        <v>421</v>
      </c>
      <c r="K23" s="135" t="s">
        <v>422</v>
      </c>
      <c r="L23" s="77" t="s">
        <v>457</v>
      </c>
      <c r="M23" s="241">
        <v>45149</v>
      </c>
      <c r="N23" s="78" t="s">
        <v>424</v>
      </c>
      <c r="O23" s="135" t="s">
        <v>37</v>
      </c>
      <c r="P23" s="77"/>
      <c r="Q23" s="77" t="s">
        <v>792</v>
      </c>
      <c r="R23" s="101">
        <v>45149</v>
      </c>
      <c r="S23" s="11" t="s">
        <v>39</v>
      </c>
      <c r="T23" s="104" t="s">
        <v>40</v>
      </c>
      <c r="U23" s="16" t="s">
        <v>41</v>
      </c>
      <c r="V23" s="138">
        <v>7850000</v>
      </c>
      <c r="W23" s="238">
        <f t="shared" si="0"/>
        <v>0</v>
      </c>
      <c r="X23" s="144"/>
      <c r="Y23" s="109"/>
      <c r="Z23" s="84"/>
      <c r="AA23" s="55"/>
      <c r="AB23" s="55"/>
      <c r="AC23" s="239"/>
    </row>
    <row r="24" spans="2:29" ht="13.2">
      <c r="B24" s="170">
        <v>13</v>
      </c>
      <c r="C24" s="56"/>
      <c r="D24" s="77"/>
      <c r="E24" s="121" t="s">
        <v>793</v>
      </c>
      <c r="F24" s="122">
        <v>45140</v>
      </c>
      <c r="G24" s="242">
        <v>62706000</v>
      </c>
      <c r="H24" s="151" t="s">
        <v>106</v>
      </c>
      <c r="I24" s="121" t="s">
        <v>794</v>
      </c>
      <c r="J24" s="135" t="s">
        <v>421</v>
      </c>
      <c r="K24" s="135" t="s">
        <v>422</v>
      </c>
      <c r="L24" s="77" t="s">
        <v>457</v>
      </c>
      <c r="M24" s="241">
        <v>45149</v>
      </c>
      <c r="N24" s="78" t="s">
        <v>424</v>
      </c>
      <c r="O24" s="135" t="s">
        <v>37</v>
      </c>
      <c r="P24" s="77"/>
      <c r="Q24" s="77" t="s">
        <v>795</v>
      </c>
      <c r="R24" s="101">
        <v>45149</v>
      </c>
      <c r="S24" s="145" t="s">
        <v>494</v>
      </c>
      <c r="T24" s="106"/>
      <c r="U24" s="11"/>
      <c r="V24" s="138">
        <v>60858000</v>
      </c>
      <c r="W24" s="238">
        <f t="shared" si="0"/>
        <v>1848000</v>
      </c>
      <c r="X24" s="144"/>
      <c r="Y24" s="109"/>
      <c r="Z24" s="84"/>
      <c r="AA24" s="55"/>
      <c r="AB24" s="55"/>
      <c r="AC24" s="239"/>
    </row>
    <row r="25" spans="2:29" ht="13.2">
      <c r="B25" s="170">
        <v>14</v>
      </c>
      <c r="C25" s="56"/>
      <c r="D25" s="77"/>
      <c r="E25" s="121" t="s">
        <v>796</v>
      </c>
      <c r="F25" s="122">
        <v>45146</v>
      </c>
      <c r="G25" s="242">
        <v>8215000</v>
      </c>
      <c r="H25" s="135" t="s">
        <v>31</v>
      </c>
      <c r="I25" s="121" t="s">
        <v>797</v>
      </c>
      <c r="J25" s="135" t="s">
        <v>421</v>
      </c>
      <c r="K25" s="135" t="s">
        <v>422</v>
      </c>
      <c r="L25" s="77" t="s">
        <v>457</v>
      </c>
      <c r="M25" s="241">
        <v>45147</v>
      </c>
      <c r="N25" s="78" t="s">
        <v>424</v>
      </c>
      <c r="O25" s="135" t="s">
        <v>37</v>
      </c>
      <c r="P25" s="77"/>
      <c r="Q25" s="77" t="s">
        <v>785</v>
      </c>
      <c r="R25" s="101">
        <v>45147</v>
      </c>
      <c r="S25" s="11" t="s">
        <v>39</v>
      </c>
      <c r="T25" s="104" t="s">
        <v>40</v>
      </c>
      <c r="U25" s="16" t="s">
        <v>41</v>
      </c>
      <c r="V25" s="138">
        <v>8215000</v>
      </c>
      <c r="W25" s="238">
        <f t="shared" si="0"/>
        <v>0</v>
      </c>
      <c r="X25" s="144"/>
      <c r="Y25" s="109"/>
      <c r="Z25" s="84"/>
      <c r="AA25" s="55"/>
      <c r="AB25" s="55"/>
      <c r="AC25" s="239"/>
    </row>
    <row r="26" spans="2:29" ht="13.2">
      <c r="B26" s="170">
        <v>15</v>
      </c>
      <c r="C26" s="56"/>
      <c r="D26" s="77"/>
      <c r="E26" s="121" t="s">
        <v>798</v>
      </c>
      <c r="F26" s="122">
        <v>45148</v>
      </c>
      <c r="G26" s="242">
        <v>23352000</v>
      </c>
      <c r="H26" s="135" t="s">
        <v>31</v>
      </c>
      <c r="I26" s="121" t="s">
        <v>799</v>
      </c>
      <c r="J26" s="135" t="s">
        <v>421</v>
      </c>
      <c r="K26" s="135" t="s">
        <v>422</v>
      </c>
      <c r="L26" s="77" t="s">
        <v>423</v>
      </c>
      <c r="M26" s="241">
        <v>45149</v>
      </c>
      <c r="N26" s="77" t="s">
        <v>424</v>
      </c>
      <c r="O26" s="135" t="s">
        <v>37</v>
      </c>
      <c r="P26" s="77"/>
      <c r="Q26" s="77" t="s">
        <v>800</v>
      </c>
      <c r="R26" s="101">
        <v>45149</v>
      </c>
      <c r="S26" s="130" t="s">
        <v>322</v>
      </c>
      <c r="T26" s="78" t="s">
        <v>323</v>
      </c>
      <c r="U26" s="78" t="s">
        <v>324</v>
      </c>
      <c r="V26" s="138">
        <v>23352000</v>
      </c>
      <c r="W26" s="238">
        <f t="shared" si="0"/>
        <v>0</v>
      </c>
      <c r="X26" s="144"/>
      <c r="Y26" s="109"/>
      <c r="Z26" s="84"/>
      <c r="AA26" s="55"/>
      <c r="AB26" s="55"/>
      <c r="AC26" s="239"/>
    </row>
    <row r="27" spans="2:29" ht="13.2">
      <c r="B27" s="170">
        <v>16</v>
      </c>
      <c r="C27" s="56"/>
      <c r="D27" s="77"/>
      <c r="E27" s="121" t="s">
        <v>801</v>
      </c>
      <c r="F27" s="122">
        <v>45148</v>
      </c>
      <c r="G27" s="242">
        <v>2950000</v>
      </c>
      <c r="H27" s="135" t="s">
        <v>31</v>
      </c>
      <c r="I27" s="121" t="s">
        <v>802</v>
      </c>
      <c r="J27" s="135" t="s">
        <v>421</v>
      </c>
      <c r="K27" s="135" t="s">
        <v>505</v>
      </c>
      <c r="L27" s="77" t="s">
        <v>457</v>
      </c>
      <c r="M27" s="241">
        <v>45149</v>
      </c>
      <c r="N27" s="77" t="s">
        <v>424</v>
      </c>
      <c r="O27" s="135" t="s">
        <v>37</v>
      </c>
      <c r="P27" s="77"/>
      <c r="Q27" s="77" t="s">
        <v>803</v>
      </c>
      <c r="R27" s="101">
        <v>45149</v>
      </c>
      <c r="S27" s="11" t="s">
        <v>39</v>
      </c>
      <c r="T27" s="104" t="s">
        <v>40</v>
      </c>
      <c r="U27" s="16" t="s">
        <v>41</v>
      </c>
      <c r="V27" s="138">
        <v>2950000</v>
      </c>
      <c r="W27" s="238">
        <f t="shared" si="0"/>
        <v>0</v>
      </c>
      <c r="X27" s="144"/>
      <c r="Y27" s="109"/>
      <c r="Z27" s="84"/>
      <c r="AA27" s="55"/>
      <c r="AB27" s="55"/>
      <c r="AC27" s="239"/>
    </row>
    <row r="28" spans="2:29" ht="13.2">
      <c r="B28" s="170">
        <v>17</v>
      </c>
      <c r="C28" s="56"/>
      <c r="D28" s="77"/>
      <c r="E28" s="121"/>
      <c r="F28" s="122"/>
      <c r="G28" s="242"/>
      <c r="H28" s="135"/>
      <c r="I28" s="121"/>
      <c r="J28" s="135"/>
      <c r="K28" s="135"/>
      <c r="L28" s="77"/>
      <c r="M28" s="241"/>
      <c r="N28" s="77"/>
      <c r="O28" s="135"/>
      <c r="P28" s="77"/>
      <c r="Q28" s="77"/>
      <c r="R28" s="101"/>
      <c r="S28" s="11"/>
      <c r="T28" s="106"/>
      <c r="U28" s="11"/>
      <c r="V28" s="138"/>
      <c r="W28" s="238">
        <f t="shared" si="0"/>
        <v>0</v>
      </c>
      <c r="X28" s="144"/>
      <c r="Y28" s="109"/>
      <c r="Z28" s="55"/>
      <c r="AA28" s="55"/>
      <c r="AB28" s="55"/>
      <c r="AC28" s="239"/>
    </row>
    <row r="29" spans="2:29" ht="13.2">
      <c r="C29" s="208"/>
      <c r="D29" s="208"/>
      <c r="O29" s="33"/>
      <c r="U29" s="31"/>
      <c r="V29" s="204">
        <f t="shared" ref="V29:W29" si="1">SUM(V12:V28)</f>
        <v>441373253</v>
      </c>
      <c r="W29" s="204">
        <f t="shared" si="1"/>
        <v>21171946</v>
      </c>
    </row>
    <row r="30" spans="2:29" ht="13.2">
      <c r="C30" s="208"/>
      <c r="D30" s="208"/>
      <c r="U30" s="31"/>
      <c r="V30" s="229"/>
      <c r="W30" s="230"/>
    </row>
    <row r="31" spans="2:29" ht="13.2">
      <c r="C31" s="208"/>
      <c r="D31" s="208"/>
      <c r="W31" s="231"/>
    </row>
    <row r="32" spans="2:29" ht="13.2">
      <c r="C32" s="208"/>
      <c r="D32" s="208"/>
    </row>
    <row r="33" spans="3:22" ht="13.2">
      <c r="C33" s="208"/>
      <c r="D33" s="208"/>
      <c r="V33" s="232"/>
    </row>
    <row r="34" spans="3:22" ht="13.2">
      <c r="C34" s="208"/>
      <c r="D34" s="208"/>
    </row>
    <row r="35" spans="3:22" ht="13.2">
      <c r="C35" s="208"/>
      <c r="D35" s="208"/>
    </row>
    <row r="36" spans="3:22" ht="13.2">
      <c r="C36" s="208"/>
      <c r="D36" s="208"/>
    </row>
    <row r="37" spans="3:22" ht="13.2">
      <c r="C37" s="208"/>
      <c r="D37" s="208"/>
    </row>
    <row r="38" spans="3:22" ht="13.2">
      <c r="C38" s="208"/>
      <c r="D38" s="208"/>
    </row>
    <row r="39" spans="3:22" ht="13.2">
      <c r="C39" s="208"/>
      <c r="D39" s="208"/>
    </row>
    <row r="40" spans="3:22" ht="13.2">
      <c r="C40" s="208"/>
      <c r="D40" s="208"/>
    </row>
    <row r="41" spans="3:22" ht="13.2">
      <c r="C41" s="208"/>
      <c r="D41" s="208"/>
    </row>
    <row r="42" spans="3:22" ht="13.2">
      <c r="C42" s="208"/>
      <c r="D42" s="208"/>
    </row>
    <row r="43" spans="3:22" ht="13.2">
      <c r="C43" s="208"/>
      <c r="D43" s="208"/>
    </row>
    <row r="44" spans="3:22" ht="13.2">
      <c r="C44" s="208"/>
      <c r="D44" s="208"/>
    </row>
    <row r="45" spans="3:22" ht="13.2">
      <c r="C45" s="208"/>
      <c r="D45" s="208"/>
    </row>
    <row r="46" spans="3:22" ht="13.2">
      <c r="C46" s="208"/>
      <c r="D46" s="208"/>
    </row>
    <row r="47" spans="3:22" ht="13.2">
      <c r="C47" s="208"/>
      <c r="D47" s="208"/>
    </row>
    <row r="48" spans="3:22" ht="13.2">
      <c r="C48" s="208"/>
      <c r="D48" s="208"/>
    </row>
    <row r="49" spans="3:4" ht="13.2">
      <c r="C49" s="208"/>
      <c r="D49" s="208"/>
    </row>
    <row r="50" spans="3:4" ht="13.2">
      <c r="C50" s="208"/>
      <c r="D50" s="208"/>
    </row>
    <row r="51" spans="3:4" ht="13.2">
      <c r="C51" s="208"/>
      <c r="D51" s="208"/>
    </row>
    <row r="52" spans="3:4" ht="13.2">
      <c r="C52" s="208"/>
      <c r="D52" s="208"/>
    </row>
    <row r="53" spans="3:4" ht="13.2">
      <c r="C53" s="208"/>
      <c r="D53" s="208"/>
    </row>
    <row r="54" spans="3:4" ht="13.2">
      <c r="C54" s="208"/>
      <c r="D54" s="208"/>
    </row>
    <row r="55" spans="3:4" ht="13.2">
      <c r="C55" s="208"/>
      <c r="D55" s="208"/>
    </row>
    <row r="56" spans="3:4" ht="13.2">
      <c r="C56" s="208"/>
      <c r="D56" s="208"/>
    </row>
    <row r="57" spans="3:4" ht="13.2">
      <c r="C57" s="208"/>
      <c r="D57" s="208"/>
    </row>
    <row r="58" spans="3:4" ht="13.2">
      <c r="C58" s="208"/>
      <c r="D58" s="208"/>
    </row>
    <row r="59" spans="3:4" ht="13.2">
      <c r="C59" s="208"/>
      <c r="D59" s="208"/>
    </row>
    <row r="60" spans="3:4" ht="13.2">
      <c r="C60" s="208"/>
      <c r="D60" s="208"/>
    </row>
    <row r="61" spans="3:4" ht="13.2">
      <c r="C61" s="208"/>
      <c r="D61" s="208"/>
    </row>
    <row r="62" spans="3:4" ht="13.2">
      <c r="C62" s="208"/>
      <c r="D62" s="208"/>
    </row>
    <row r="63" spans="3:4" ht="13.2">
      <c r="C63" s="208"/>
      <c r="D63" s="208"/>
    </row>
    <row r="64" spans="3:4" ht="13.2">
      <c r="C64" s="208"/>
      <c r="D64" s="208"/>
    </row>
    <row r="65" spans="3:4" ht="13.2">
      <c r="C65" s="208"/>
      <c r="D65" s="208"/>
    </row>
    <row r="66" spans="3:4" ht="13.2">
      <c r="C66" s="208"/>
      <c r="D66" s="208"/>
    </row>
    <row r="67" spans="3:4" ht="13.2">
      <c r="C67" s="208"/>
      <c r="D67" s="208"/>
    </row>
    <row r="68" spans="3:4" ht="13.2">
      <c r="C68" s="208"/>
      <c r="D68" s="208"/>
    </row>
    <row r="69" spans="3:4" ht="13.2">
      <c r="C69" s="208"/>
      <c r="D69" s="208"/>
    </row>
    <row r="70" spans="3:4" ht="13.2">
      <c r="C70" s="208"/>
      <c r="D70" s="208"/>
    </row>
    <row r="71" spans="3:4" ht="13.2">
      <c r="C71" s="208"/>
      <c r="D71" s="208"/>
    </row>
    <row r="72" spans="3:4" ht="13.2">
      <c r="C72" s="208"/>
      <c r="D72" s="208"/>
    </row>
    <row r="73" spans="3:4" ht="13.2">
      <c r="C73" s="208"/>
      <c r="D73" s="208"/>
    </row>
    <row r="74" spans="3:4" ht="13.2">
      <c r="C74" s="208"/>
      <c r="D74" s="208"/>
    </row>
    <row r="75" spans="3:4" ht="13.2">
      <c r="C75" s="208"/>
      <c r="D75" s="208"/>
    </row>
    <row r="76" spans="3:4" ht="13.2">
      <c r="C76" s="208"/>
      <c r="D76" s="208"/>
    </row>
    <row r="77" spans="3:4" ht="13.2">
      <c r="C77" s="208"/>
      <c r="D77" s="208"/>
    </row>
    <row r="78" spans="3:4" ht="13.2">
      <c r="C78" s="208"/>
      <c r="D78" s="208"/>
    </row>
    <row r="79" spans="3:4" ht="13.2">
      <c r="C79" s="208"/>
      <c r="D79" s="208"/>
    </row>
    <row r="80" spans="3:4" ht="13.2">
      <c r="C80" s="208"/>
      <c r="D80" s="208"/>
    </row>
    <row r="81" spans="3:4" ht="13.2">
      <c r="C81" s="208"/>
      <c r="D81" s="208"/>
    </row>
    <row r="82" spans="3:4" ht="13.2">
      <c r="C82" s="208"/>
      <c r="D82" s="208"/>
    </row>
    <row r="83" spans="3:4" ht="13.2">
      <c r="C83" s="208"/>
      <c r="D83" s="208"/>
    </row>
    <row r="84" spans="3:4" ht="13.2">
      <c r="C84" s="208"/>
      <c r="D84" s="208"/>
    </row>
    <row r="85" spans="3:4" ht="13.2">
      <c r="C85" s="208"/>
      <c r="D85" s="208"/>
    </row>
    <row r="86" spans="3:4" ht="13.2">
      <c r="C86" s="208"/>
      <c r="D86" s="208"/>
    </row>
    <row r="87" spans="3:4" ht="13.2">
      <c r="C87" s="208"/>
      <c r="D87" s="208"/>
    </row>
    <row r="88" spans="3:4" ht="13.2">
      <c r="C88" s="208"/>
      <c r="D88" s="208"/>
    </row>
    <row r="89" spans="3:4" ht="13.2">
      <c r="C89" s="208"/>
      <c r="D89" s="208"/>
    </row>
    <row r="90" spans="3:4" ht="13.2">
      <c r="C90" s="208"/>
      <c r="D90" s="208"/>
    </row>
    <row r="91" spans="3:4" ht="13.2">
      <c r="C91" s="208"/>
      <c r="D91" s="208"/>
    </row>
    <row r="92" spans="3:4" ht="13.2">
      <c r="C92" s="208"/>
      <c r="D92" s="208"/>
    </row>
    <row r="93" spans="3:4" ht="13.2">
      <c r="C93" s="208"/>
      <c r="D93" s="208"/>
    </row>
    <row r="94" spans="3:4" ht="13.2">
      <c r="C94" s="208"/>
      <c r="D94" s="208"/>
    </row>
    <row r="95" spans="3:4" ht="13.2">
      <c r="C95" s="208"/>
      <c r="D95" s="208"/>
    </row>
    <row r="96" spans="3:4" ht="13.2">
      <c r="C96" s="208"/>
      <c r="D96" s="208"/>
    </row>
    <row r="97" spans="3:4" ht="13.2">
      <c r="C97" s="208"/>
      <c r="D97" s="208"/>
    </row>
    <row r="98" spans="3:4" ht="13.2">
      <c r="C98" s="208"/>
      <c r="D98" s="208"/>
    </row>
    <row r="99" spans="3:4" ht="13.2">
      <c r="C99" s="208"/>
      <c r="D99" s="208"/>
    </row>
    <row r="100" spans="3:4" ht="13.2">
      <c r="C100" s="208"/>
      <c r="D100" s="208"/>
    </row>
    <row r="101" spans="3:4" ht="13.2">
      <c r="C101" s="208"/>
      <c r="D101" s="208"/>
    </row>
    <row r="102" spans="3:4" ht="13.2">
      <c r="C102" s="208"/>
      <c r="D102" s="208"/>
    </row>
    <row r="103" spans="3:4" ht="13.2">
      <c r="C103" s="208"/>
      <c r="D103" s="208"/>
    </row>
    <row r="104" spans="3:4" ht="13.2">
      <c r="C104" s="208"/>
      <c r="D104" s="208"/>
    </row>
    <row r="105" spans="3:4" ht="13.2">
      <c r="C105" s="208"/>
      <c r="D105" s="208"/>
    </row>
    <row r="106" spans="3:4" ht="13.2">
      <c r="C106" s="208"/>
      <c r="D106" s="208"/>
    </row>
    <row r="107" spans="3:4" ht="13.2">
      <c r="C107" s="208"/>
      <c r="D107" s="208"/>
    </row>
    <row r="108" spans="3:4" ht="13.2">
      <c r="C108" s="208"/>
      <c r="D108" s="208"/>
    </row>
    <row r="109" spans="3:4" ht="13.2">
      <c r="C109" s="208"/>
      <c r="D109" s="208"/>
    </row>
    <row r="110" spans="3:4" ht="13.2">
      <c r="C110" s="208"/>
      <c r="D110" s="208"/>
    </row>
    <row r="111" spans="3:4" ht="13.2">
      <c r="C111" s="208"/>
      <c r="D111" s="208"/>
    </row>
    <row r="112" spans="3:4" ht="13.2">
      <c r="C112" s="208"/>
      <c r="D112" s="208"/>
    </row>
    <row r="113" spans="3:4" ht="13.2">
      <c r="C113" s="208"/>
      <c r="D113" s="208"/>
    </row>
    <row r="114" spans="3:4" ht="13.2">
      <c r="C114" s="208"/>
      <c r="D114" s="208"/>
    </row>
    <row r="115" spans="3:4" ht="13.2">
      <c r="C115" s="208"/>
      <c r="D115" s="208"/>
    </row>
    <row r="116" spans="3:4" ht="13.2">
      <c r="C116" s="208"/>
      <c r="D116" s="208"/>
    </row>
    <row r="117" spans="3:4" ht="13.2">
      <c r="C117" s="208"/>
      <c r="D117" s="208"/>
    </row>
    <row r="118" spans="3:4" ht="13.2">
      <c r="C118" s="208"/>
      <c r="D118" s="208"/>
    </row>
    <row r="119" spans="3:4" ht="13.2">
      <c r="C119" s="208"/>
      <c r="D119" s="208"/>
    </row>
    <row r="120" spans="3:4" ht="13.2">
      <c r="C120" s="208"/>
      <c r="D120" s="208"/>
    </row>
    <row r="121" spans="3:4" ht="13.2">
      <c r="C121" s="208"/>
      <c r="D121" s="208"/>
    </row>
    <row r="122" spans="3:4" ht="13.2">
      <c r="C122" s="208"/>
      <c r="D122" s="208"/>
    </row>
    <row r="123" spans="3:4" ht="13.2">
      <c r="C123" s="208"/>
      <c r="D123" s="208"/>
    </row>
    <row r="124" spans="3:4" ht="13.2">
      <c r="C124" s="208"/>
      <c r="D124" s="208"/>
    </row>
    <row r="125" spans="3:4" ht="13.2">
      <c r="C125" s="208"/>
      <c r="D125" s="208"/>
    </row>
    <row r="126" spans="3:4" ht="13.2">
      <c r="C126" s="208"/>
      <c r="D126" s="208"/>
    </row>
    <row r="127" spans="3:4" ht="13.2">
      <c r="C127" s="208"/>
      <c r="D127" s="208"/>
    </row>
    <row r="128" spans="3:4" ht="13.2">
      <c r="C128" s="208"/>
      <c r="D128" s="208"/>
    </row>
    <row r="129" spans="3:4" ht="13.2">
      <c r="C129" s="208"/>
      <c r="D129" s="208"/>
    </row>
    <row r="130" spans="3:4" ht="13.2">
      <c r="C130" s="208"/>
      <c r="D130" s="208"/>
    </row>
    <row r="131" spans="3:4" ht="13.2">
      <c r="C131" s="208"/>
      <c r="D131" s="208"/>
    </row>
    <row r="132" spans="3:4" ht="13.2">
      <c r="C132" s="208"/>
      <c r="D132" s="208"/>
    </row>
    <row r="133" spans="3:4" ht="13.2">
      <c r="C133" s="208"/>
      <c r="D133" s="208"/>
    </row>
    <row r="134" spans="3:4" ht="13.2">
      <c r="C134" s="208"/>
      <c r="D134" s="208"/>
    </row>
    <row r="135" spans="3:4" ht="13.2">
      <c r="C135" s="208"/>
      <c r="D135" s="208"/>
    </row>
    <row r="136" spans="3:4" ht="13.2">
      <c r="C136" s="208"/>
      <c r="D136" s="208"/>
    </row>
    <row r="137" spans="3:4" ht="13.2">
      <c r="C137" s="208"/>
      <c r="D137" s="208"/>
    </row>
    <row r="138" spans="3:4" ht="13.2">
      <c r="C138" s="208"/>
      <c r="D138" s="208"/>
    </row>
    <row r="139" spans="3:4" ht="13.2">
      <c r="C139" s="208"/>
      <c r="D139" s="208"/>
    </row>
    <row r="140" spans="3:4" ht="13.2">
      <c r="C140" s="208"/>
      <c r="D140" s="208"/>
    </row>
    <row r="141" spans="3:4" ht="13.2">
      <c r="C141" s="208"/>
      <c r="D141" s="208"/>
    </row>
    <row r="142" spans="3:4" ht="13.2">
      <c r="C142" s="208"/>
      <c r="D142" s="208"/>
    </row>
    <row r="143" spans="3:4" ht="13.2">
      <c r="C143" s="208"/>
      <c r="D143" s="208"/>
    </row>
    <row r="144" spans="3:4" ht="13.2">
      <c r="C144" s="208"/>
      <c r="D144" s="208"/>
    </row>
    <row r="145" spans="3:4" ht="13.2">
      <c r="C145" s="208"/>
      <c r="D145" s="208"/>
    </row>
    <row r="146" spans="3:4" ht="13.2">
      <c r="C146" s="208"/>
      <c r="D146" s="208"/>
    </row>
    <row r="147" spans="3:4" ht="13.2">
      <c r="C147" s="208"/>
      <c r="D147" s="208"/>
    </row>
    <row r="148" spans="3:4" ht="13.2">
      <c r="C148" s="208"/>
      <c r="D148" s="208"/>
    </row>
    <row r="149" spans="3:4" ht="13.2">
      <c r="C149" s="208"/>
      <c r="D149" s="208"/>
    </row>
    <row r="150" spans="3:4" ht="13.2">
      <c r="C150" s="208"/>
      <c r="D150" s="208"/>
    </row>
    <row r="151" spans="3:4" ht="13.2">
      <c r="C151" s="208"/>
      <c r="D151" s="208"/>
    </row>
    <row r="152" spans="3:4" ht="13.2">
      <c r="C152" s="208"/>
      <c r="D152" s="208"/>
    </row>
    <row r="153" spans="3:4" ht="13.2">
      <c r="C153" s="208"/>
      <c r="D153" s="208"/>
    </row>
    <row r="154" spans="3:4" ht="13.2">
      <c r="C154" s="208"/>
      <c r="D154" s="208"/>
    </row>
    <row r="155" spans="3:4" ht="13.2">
      <c r="C155" s="208"/>
      <c r="D155" s="208"/>
    </row>
    <row r="156" spans="3:4" ht="13.2">
      <c r="C156" s="208"/>
      <c r="D156" s="208"/>
    </row>
    <row r="157" spans="3:4" ht="13.2">
      <c r="C157" s="208"/>
      <c r="D157" s="208"/>
    </row>
    <row r="158" spans="3:4" ht="13.2">
      <c r="C158" s="208"/>
      <c r="D158" s="208"/>
    </row>
    <row r="159" spans="3:4" ht="13.2">
      <c r="C159" s="208"/>
      <c r="D159" s="208"/>
    </row>
    <row r="160" spans="3:4" ht="13.2">
      <c r="C160" s="208"/>
      <c r="D160" s="208"/>
    </row>
    <row r="161" spans="3:4" ht="13.2">
      <c r="C161" s="208"/>
      <c r="D161" s="208"/>
    </row>
    <row r="162" spans="3:4" ht="13.2">
      <c r="C162" s="208"/>
      <c r="D162" s="208"/>
    </row>
    <row r="163" spans="3:4" ht="13.2">
      <c r="C163" s="208"/>
      <c r="D163" s="208"/>
    </row>
    <row r="164" spans="3:4" ht="13.2">
      <c r="C164" s="208"/>
      <c r="D164" s="208"/>
    </row>
    <row r="165" spans="3:4" ht="13.2">
      <c r="C165" s="208"/>
      <c r="D165" s="208"/>
    </row>
    <row r="166" spans="3:4" ht="13.2">
      <c r="C166" s="208"/>
      <c r="D166" s="208"/>
    </row>
    <row r="167" spans="3:4" ht="13.2">
      <c r="C167" s="208"/>
      <c r="D167" s="208"/>
    </row>
    <row r="168" spans="3:4" ht="13.2">
      <c r="C168" s="208"/>
      <c r="D168" s="208"/>
    </row>
    <row r="169" spans="3:4" ht="13.2">
      <c r="C169" s="208"/>
      <c r="D169" s="208"/>
    </row>
    <row r="170" spans="3:4" ht="13.2">
      <c r="C170" s="208"/>
      <c r="D170" s="208"/>
    </row>
    <row r="171" spans="3:4" ht="13.2">
      <c r="C171" s="208"/>
      <c r="D171" s="208"/>
    </row>
    <row r="172" spans="3:4" ht="13.2">
      <c r="C172" s="208"/>
      <c r="D172" s="208"/>
    </row>
    <row r="173" spans="3:4" ht="13.2">
      <c r="C173" s="208"/>
      <c r="D173" s="208"/>
    </row>
    <row r="174" spans="3:4" ht="13.2">
      <c r="C174" s="208"/>
      <c r="D174" s="208"/>
    </row>
    <row r="175" spans="3:4" ht="13.2">
      <c r="C175" s="208"/>
      <c r="D175" s="208"/>
    </row>
    <row r="176" spans="3:4" ht="13.2">
      <c r="C176" s="208"/>
      <c r="D176" s="208"/>
    </row>
    <row r="177" spans="3:4" ht="13.2">
      <c r="C177" s="208"/>
      <c r="D177" s="208"/>
    </row>
    <row r="178" spans="3:4" ht="13.2">
      <c r="C178" s="208"/>
      <c r="D178" s="208"/>
    </row>
    <row r="179" spans="3:4" ht="13.2">
      <c r="C179" s="208"/>
      <c r="D179" s="208"/>
    </row>
    <row r="180" spans="3:4" ht="13.2">
      <c r="C180" s="208"/>
      <c r="D180" s="208"/>
    </row>
    <row r="181" spans="3:4" ht="13.2">
      <c r="C181" s="208"/>
      <c r="D181" s="208"/>
    </row>
    <row r="182" spans="3:4" ht="13.2">
      <c r="C182" s="208"/>
      <c r="D182" s="208"/>
    </row>
    <row r="183" spans="3:4" ht="13.2">
      <c r="C183" s="208"/>
      <c r="D183" s="208"/>
    </row>
    <row r="184" spans="3:4" ht="13.2">
      <c r="C184" s="208"/>
      <c r="D184" s="208"/>
    </row>
    <row r="185" spans="3:4" ht="13.2">
      <c r="C185" s="208"/>
      <c r="D185" s="208"/>
    </row>
    <row r="186" spans="3:4" ht="13.2">
      <c r="C186" s="208"/>
      <c r="D186" s="208"/>
    </row>
    <row r="187" spans="3:4" ht="13.2">
      <c r="C187" s="208"/>
      <c r="D187" s="208"/>
    </row>
    <row r="188" spans="3:4" ht="13.2">
      <c r="C188" s="208"/>
      <c r="D188" s="208"/>
    </row>
    <row r="189" spans="3:4" ht="13.2">
      <c r="C189" s="208"/>
      <c r="D189" s="208"/>
    </row>
    <row r="190" spans="3:4" ht="13.2">
      <c r="C190" s="208"/>
      <c r="D190" s="208"/>
    </row>
    <row r="191" spans="3:4" ht="13.2">
      <c r="C191" s="208"/>
      <c r="D191" s="208"/>
    </row>
    <row r="192" spans="3:4" ht="13.2">
      <c r="C192" s="208"/>
      <c r="D192" s="208"/>
    </row>
    <row r="193" spans="3:4" ht="13.2">
      <c r="C193" s="208"/>
      <c r="D193" s="208"/>
    </row>
    <row r="194" spans="3:4" ht="13.2">
      <c r="C194" s="208"/>
      <c r="D194" s="208"/>
    </row>
    <row r="195" spans="3:4" ht="13.2">
      <c r="C195" s="208"/>
      <c r="D195" s="208"/>
    </row>
    <row r="196" spans="3:4" ht="13.2">
      <c r="C196" s="208"/>
      <c r="D196" s="208"/>
    </row>
    <row r="197" spans="3:4" ht="13.2">
      <c r="C197" s="208"/>
      <c r="D197" s="208"/>
    </row>
    <row r="198" spans="3:4" ht="13.2">
      <c r="C198" s="208"/>
      <c r="D198" s="208"/>
    </row>
    <row r="199" spans="3:4" ht="13.2">
      <c r="C199" s="208"/>
      <c r="D199" s="208"/>
    </row>
    <row r="200" spans="3:4" ht="13.2">
      <c r="C200" s="208"/>
      <c r="D200" s="208"/>
    </row>
    <row r="201" spans="3:4" ht="13.2">
      <c r="C201" s="208"/>
      <c r="D201" s="208"/>
    </row>
    <row r="202" spans="3:4" ht="13.2">
      <c r="C202" s="208"/>
      <c r="D202" s="208"/>
    </row>
    <row r="203" spans="3:4" ht="13.2">
      <c r="C203" s="208"/>
      <c r="D203" s="208"/>
    </row>
    <row r="204" spans="3:4" ht="13.2">
      <c r="C204" s="208"/>
      <c r="D204" s="208"/>
    </row>
    <row r="205" spans="3:4" ht="13.2">
      <c r="C205" s="208"/>
      <c r="D205" s="208"/>
    </row>
    <row r="206" spans="3:4" ht="13.2">
      <c r="C206" s="208"/>
      <c r="D206" s="208"/>
    </row>
    <row r="207" spans="3:4" ht="13.2">
      <c r="C207" s="208"/>
      <c r="D207" s="208"/>
    </row>
    <row r="208" spans="3:4" ht="13.2">
      <c r="C208" s="208"/>
      <c r="D208" s="208"/>
    </row>
    <row r="209" spans="3:4" ht="13.2">
      <c r="C209" s="208"/>
      <c r="D209" s="208"/>
    </row>
    <row r="210" spans="3:4" ht="13.2">
      <c r="C210" s="208"/>
      <c r="D210" s="208"/>
    </row>
    <row r="211" spans="3:4" ht="13.2">
      <c r="C211" s="208"/>
      <c r="D211" s="208"/>
    </row>
    <row r="212" spans="3:4" ht="13.2">
      <c r="C212" s="208"/>
      <c r="D212" s="208"/>
    </row>
    <row r="213" spans="3:4" ht="13.2">
      <c r="C213" s="208"/>
      <c r="D213" s="208"/>
    </row>
    <row r="214" spans="3:4" ht="13.2">
      <c r="C214" s="208"/>
      <c r="D214" s="208"/>
    </row>
    <row r="215" spans="3:4" ht="13.2">
      <c r="C215" s="208"/>
      <c r="D215" s="208"/>
    </row>
    <row r="216" spans="3:4" ht="13.2">
      <c r="C216" s="208"/>
      <c r="D216" s="208"/>
    </row>
    <row r="217" spans="3:4" ht="13.2">
      <c r="C217" s="208"/>
      <c r="D217" s="208"/>
    </row>
    <row r="218" spans="3:4" ht="13.2">
      <c r="C218" s="208"/>
      <c r="D218" s="208"/>
    </row>
    <row r="219" spans="3:4" ht="13.2">
      <c r="C219" s="208"/>
      <c r="D219" s="208"/>
    </row>
    <row r="220" spans="3:4" ht="13.2">
      <c r="C220" s="208"/>
      <c r="D220" s="208"/>
    </row>
    <row r="221" spans="3:4" ht="13.2">
      <c r="C221" s="208"/>
      <c r="D221" s="208"/>
    </row>
    <row r="222" spans="3:4" ht="13.2">
      <c r="C222" s="208"/>
      <c r="D222" s="208"/>
    </row>
    <row r="223" spans="3:4" ht="13.2">
      <c r="C223" s="208"/>
      <c r="D223" s="208"/>
    </row>
    <row r="224" spans="3:4" ht="13.2">
      <c r="C224" s="208"/>
      <c r="D224" s="208"/>
    </row>
    <row r="225" spans="3:4" ht="13.2">
      <c r="C225" s="208"/>
      <c r="D225" s="208"/>
    </row>
    <row r="226" spans="3:4" ht="13.2">
      <c r="C226" s="208"/>
      <c r="D226" s="208"/>
    </row>
    <row r="227" spans="3:4" ht="13.2">
      <c r="C227" s="208"/>
      <c r="D227" s="208"/>
    </row>
    <row r="228" spans="3:4" ht="13.2">
      <c r="C228" s="208"/>
      <c r="D228" s="208"/>
    </row>
    <row r="229" spans="3:4" ht="13.2">
      <c r="C229" s="208"/>
      <c r="D229" s="208"/>
    </row>
    <row r="230" spans="3:4" ht="13.2">
      <c r="C230" s="208"/>
      <c r="D230" s="208"/>
    </row>
    <row r="231" spans="3:4" ht="13.2">
      <c r="C231" s="208"/>
      <c r="D231" s="208"/>
    </row>
    <row r="232" spans="3:4" ht="13.2">
      <c r="C232" s="208"/>
      <c r="D232" s="208"/>
    </row>
    <row r="233" spans="3:4" ht="13.2">
      <c r="C233" s="208"/>
      <c r="D233" s="208"/>
    </row>
    <row r="234" spans="3:4" ht="13.2">
      <c r="C234" s="208"/>
      <c r="D234" s="208"/>
    </row>
    <row r="235" spans="3:4" ht="13.2">
      <c r="C235" s="208"/>
      <c r="D235" s="208"/>
    </row>
    <row r="236" spans="3:4" ht="13.2">
      <c r="C236" s="208"/>
      <c r="D236" s="208"/>
    </row>
    <row r="237" spans="3:4" ht="13.2">
      <c r="C237" s="208"/>
      <c r="D237" s="208"/>
    </row>
    <row r="238" spans="3:4" ht="13.2">
      <c r="C238" s="208"/>
      <c r="D238" s="208"/>
    </row>
    <row r="239" spans="3:4" ht="13.2">
      <c r="C239" s="208"/>
      <c r="D239" s="208"/>
    </row>
    <row r="240" spans="3:4" ht="13.2">
      <c r="C240" s="208"/>
      <c r="D240" s="208"/>
    </row>
    <row r="241" spans="3:4" ht="13.2">
      <c r="C241" s="208"/>
      <c r="D241" s="208"/>
    </row>
    <row r="242" spans="3:4" ht="13.2">
      <c r="C242" s="208"/>
      <c r="D242" s="208"/>
    </row>
    <row r="243" spans="3:4" ht="13.2">
      <c r="C243" s="208"/>
      <c r="D243" s="208"/>
    </row>
    <row r="244" spans="3:4" ht="13.2">
      <c r="C244" s="208"/>
      <c r="D244" s="208"/>
    </row>
    <row r="245" spans="3:4" ht="13.2">
      <c r="C245" s="208"/>
      <c r="D245" s="208"/>
    </row>
    <row r="246" spans="3:4" ht="13.2">
      <c r="C246" s="208"/>
      <c r="D246" s="208"/>
    </row>
    <row r="247" spans="3:4" ht="13.2">
      <c r="C247" s="208"/>
      <c r="D247" s="208"/>
    </row>
    <row r="248" spans="3:4" ht="13.2">
      <c r="C248" s="208"/>
      <c r="D248" s="208"/>
    </row>
    <row r="249" spans="3:4" ht="13.2">
      <c r="C249" s="208"/>
      <c r="D249" s="208"/>
    </row>
    <row r="250" spans="3:4" ht="13.2">
      <c r="C250" s="208"/>
      <c r="D250" s="208"/>
    </row>
    <row r="251" spans="3:4" ht="13.2">
      <c r="C251" s="208"/>
      <c r="D251" s="208"/>
    </row>
    <row r="252" spans="3:4" ht="13.2">
      <c r="C252" s="208"/>
      <c r="D252" s="208"/>
    </row>
    <row r="253" spans="3:4" ht="13.2">
      <c r="C253" s="208"/>
      <c r="D253" s="208"/>
    </row>
    <row r="254" spans="3:4" ht="13.2">
      <c r="C254" s="208"/>
      <c r="D254" s="208"/>
    </row>
    <row r="255" spans="3:4" ht="13.2">
      <c r="C255" s="208"/>
      <c r="D255" s="208"/>
    </row>
    <row r="256" spans="3:4" ht="13.2">
      <c r="C256" s="208"/>
      <c r="D256" s="208"/>
    </row>
    <row r="257" spans="3:4" ht="13.2">
      <c r="C257" s="208"/>
      <c r="D257" s="208"/>
    </row>
    <row r="258" spans="3:4" ht="13.2">
      <c r="C258" s="208"/>
      <c r="D258" s="208"/>
    </row>
    <row r="259" spans="3:4" ht="13.2">
      <c r="C259" s="208"/>
      <c r="D259" s="208"/>
    </row>
    <row r="260" spans="3:4" ht="13.2">
      <c r="C260" s="208"/>
      <c r="D260" s="208"/>
    </row>
    <row r="261" spans="3:4" ht="13.2">
      <c r="C261" s="208"/>
      <c r="D261" s="208"/>
    </row>
    <row r="262" spans="3:4" ht="13.2">
      <c r="C262" s="208"/>
      <c r="D262" s="208"/>
    </row>
    <row r="263" spans="3:4" ht="13.2">
      <c r="C263" s="208"/>
      <c r="D263" s="208"/>
    </row>
    <row r="264" spans="3:4" ht="13.2">
      <c r="C264" s="208"/>
      <c r="D264" s="208"/>
    </row>
    <row r="265" spans="3:4" ht="13.2">
      <c r="C265" s="208"/>
      <c r="D265" s="208"/>
    </row>
    <row r="266" spans="3:4" ht="13.2">
      <c r="C266" s="208"/>
      <c r="D266" s="208"/>
    </row>
    <row r="267" spans="3:4" ht="13.2">
      <c r="C267" s="208"/>
      <c r="D267" s="208"/>
    </row>
    <row r="268" spans="3:4" ht="13.2">
      <c r="C268" s="208"/>
      <c r="D268" s="208"/>
    </row>
    <row r="269" spans="3:4" ht="13.2">
      <c r="C269" s="208"/>
      <c r="D269" s="208"/>
    </row>
    <row r="270" spans="3:4" ht="13.2">
      <c r="C270" s="208"/>
      <c r="D270" s="208"/>
    </row>
    <row r="271" spans="3:4" ht="13.2">
      <c r="C271" s="208"/>
      <c r="D271" s="208"/>
    </row>
    <row r="272" spans="3:4" ht="13.2">
      <c r="C272" s="208"/>
      <c r="D272" s="208"/>
    </row>
    <row r="273" spans="3:4" ht="13.2">
      <c r="C273" s="208"/>
      <c r="D273" s="208"/>
    </row>
    <row r="274" spans="3:4" ht="13.2">
      <c r="C274" s="208"/>
      <c r="D274" s="208"/>
    </row>
    <row r="275" spans="3:4" ht="13.2">
      <c r="C275" s="208"/>
      <c r="D275" s="208"/>
    </row>
    <row r="276" spans="3:4" ht="13.2">
      <c r="C276" s="208"/>
      <c r="D276" s="208"/>
    </row>
    <row r="277" spans="3:4" ht="13.2">
      <c r="C277" s="208"/>
      <c r="D277" s="208"/>
    </row>
    <row r="278" spans="3:4" ht="13.2">
      <c r="C278" s="208"/>
      <c r="D278" s="208"/>
    </row>
    <row r="279" spans="3:4" ht="13.2">
      <c r="C279" s="208"/>
      <c r="D279" s="208"/>
    </row>
    <row r="280" spans="3:4" ht="13.2">
      <c r="C280" s="208"/>
      <c r="D280" s="208"/>
    </row>
    <row r="281" spans="3:4" ht="13.2">
      <c r="C281" s="208"/>
      <c r="D281" s="208"/>
    </row>
    <row r="282" spans="3:4" ht="13.2">
      <c r="C282" s="208"/>
      <c r="D282" s="208"/>
    </row>
    <row r="283" spans="3:4" ht="13.2">
      <c r="C283" s="208"/>
      <c r="D283" s="208"/>
    </row>
    <row r="284" spans="3:4" ht="13.2">
      <c r="C284" s="208"/>
      <c r="D284" s="208"/>
    </row>
    <row r="285" spans="3:4" ht="13.2">
      <c r="C285" s="208"/>
      <c r="D285" s="208"/>
    </row>
    <row r="286" spans="3:4" ht="13.2">
      <c r="C286" s="208"/>
      <c r="D286" s="208"/>
    </row>
    <row r="287" spans="3:4" ht="13.2">
      <c r="C287" s="208"/>
      <c r="D287" s="208"/>
    </row>
    <row r="288" spans="3:4" ht="13.2">
      <c r="C288" s="208"/>
      <c r="D288" s="208"/>
    </row>
    <row r="289" spans="3:4" ht="13.2">
      <c r="C289" s="208"/>
      <c r="D289" s="208"/>
    </row>
    <row r="290" spans="3:4" ht="13.2">
      <c r="C290" s="208"/>
      <c r="D290" s="208"/>
    </row>
    <row r="291" spans="3:4" ht="13.2">
      <c r="C291" s="208"/>
      <c r="D291" s="208"/>
    </row>
    <row r="292" spans="3:4" ht="13.2">
      <c r="C292" s="208"/>
      <c r="D292" s="208"/>
    </row>
    <row r="293" spans="3:4" ht="13.2">
      <c r="C293" s="208"/>
      <c r="D293" s="208"/>
    </row>
    <row r="294" spans="3:4" ht="13.2">
      <c r="C294" s="208"/>
      <c r="D294" s="208"/>
    </row>
    <row r="295" spans="3:4" ht="13.2">
      <c r="C295" s="208"/>
      <c r="D295" s="208"/>
    </row>
    <row r="296" spans="3:4" ht="13.2">
      <c r="C296" s="208"/>
      <c r="D296" s="208"/>
    </row>
    <row r="297" spans="3:4" ht="13.2">
      <c r="C297" s="208"/>
      <c r="D297" s="208"/>
    </row>
    <row r="298" spans="3:4" ht="13.2">
      <c r="C298" s="208"/>
      <c r="D298" s="208"/>
    </row>
    <row r="299" spans="3:4" ht="13.2">
      <c r="C299" s="208"/>
      <c r="D299" s="208"/>
    </row>
    <row r="300" spans="3:4" ht="13.2">
      <c r="C300" s="208"/>
      <c r="D300" s="208"/>
    </row>
    <row r="301" spans="3:4" ht="13.2">
      <c r="C301" s="208"/>
      <c r="D301" s="208"/>
    </row>
    <row r="302" spans="3:4" ht="13.2">
      <c r="C302" s="208"/>
      <c r="D302" s="208"/>
    </row>
    <row r="303" spans="3:4" ht="13.2">
      <c r="C303" s="208"/>
      <c r="D303" s="208"/>
    </row>
    <row r="304" spans="3:4" ht="13.2">
      <c r="C304" s="208"/>
      <c r="D304" s="208"/>
    </row>
    <row r="305" spans="3:4" ht="13.2">
      <c r="C305" s="208"/>
      <c r="D305" s="208"/>
    </row>
    <row r="306" spans="3:4" ht="13.2">
      <c r="C306" s="208"/>
      <c r="D306" s="208"/>
    </row>
    <row r="307" spans="3:4" ht="13.2">
      <c r="C307" s="208"/>
      <c r="D307" s="208"/>
    </row>
    <row r="308" spans="3:4" ht="13.2">
      <c r="C308" s="208"/>
      <c r="D308" s="208"/>
    </row>
    <row r="309" spans="3:4" ht="13.2">
      <c r="C309" s="208"/>
      <c r="D309" s="208"/>
    </row>
    <row r="310" spans="3:4" ht="13.2">
      <c r="C310" s="208"/>
      <c r="D310" s="208"/>
    </row>
    <row r="311" spans="3:4" ht="13.2">
      <c r="C311" s="208"/>
      <c r="D311" s="208"/>
    </row>
    <row r="312" spans="3:4" ht="13.2">
      <c r="C312" s="208"/>
      <c r="D312" s="208"/>
    </row>
    <row r="313" spans="3:4" ht="13.2">
      <c r="C313" s="208"/>
      <c r="D313" s="208"/>
    </row>
    <row r="314" spans="3:4" ht="13.2">
      <c r="C314" s="208"/>
      <c r="D314" s="208"/>
    </row>
    <row r="315" spans="3:4" ht="13.2">
      <c r="C315" s="208"/>
      <c r="D315" s="208"/>
    </row>
    <row r="316" spans="3:4" ht="13.2">
      <c r="C316" s="208"/>
      <c r="D316" s="208"/>
    </row>
    <row r="317" spans="3:4" ht="13.2">
      <c r="C317" s="208"/>
      <c r="D317" s="208"/>
    </row>
    <row r="318" spans="3:4" ht="13.2">
      <c r="C318" s="208"/>
      <c r="D318" s="208"/>
    </row>
    <row r="319" spans="3:4" ht="13.2">
      <c r="C319" s="208"/>
      <c r="D319" s="208"/>
    </row>
    <row r="320" spans="3:4" ht="13.2">
      <c r="C320" s="208"/>
      <c r="D320" s="208"/>
    </row>
    <row r="321" spans="3:4" ht="13.2">
      <c r="C321" s="208"/>
      <c r="D321" s="208"/>
    </row>
    <row r="322" spans="3:4" ht="13.2">
      <c r="C322" s="208"/>
      <c r="D322" s="208"/>
    </row>
    <row r="323" spans="3:4" ht="13.2">
      <c r="C323" s="208"/>
      <c r="D323" s="208"/>
    </row>
    <row r="324" spans="3:4" ht="13.2">
      <c r="C324" s="208"/>
      <c r="D324" s="208"/>
    </row>
    <row r="325" spans="3:4" ht="13.2">
      <c r="C325" s="208"/>
      <c r="D325" s="208"/>
    </row>
    <row r="326" spans="3:4" ht="13.2">
      <c r="C326" s="208"/>
      <c r="D326" s="208"/>
    </row>
    <row r="327" spans="3:4" ht="13.2">
      <c r="C327" s="208"/>
      <c r="D327" s="208"/>
    </row>
    <row r="328" spans="3:4" ht="13.2">
      <c r="C328" s="208"/>
      <c r="D328" s="208"/>
    </row>
    <row r="329" spans="3:4" ht="13.2">
      <c r="C329" s="208"/>
      <c r="D329" s="208"/>
    </row>
    <row r="330" spans="3:4" ht="13.2">
      <c r="C330" s="208"/>
      <c r="D330" s="208"/>
    </row>
    <row r="331" spans="3:4" ht="13.2">
      <c r="C331" s="208"/>
      <c r="D331" s="208"/>
    </row>
    <row r="332" spans="3:4" ht="13.2">
      <c r="C332" s="208"/>
      <c r="D332" s="208"/>
    </row>
    <row r="333" spans="3:4" ht="13.2">
      <c r="C333" s="208"/>
      <c r="D333" s="208"/>
    </row>
    <row r="334" spans="3:4" ht="13.2">
      <c r="C334" s="208"/>
      <c r="D334" s="208"/>
    </row>
    <row r="335" spans="3:4" ht="13.2">
      <c r="C335" s="208"/>
      <c r="D335" s="208"/>
    </row>
    <row r="336" spans="3:4" ht="13.2">
      <c r="C336" s="208"/>
      <c r="D336" s="208"/>
    </row>
    <row r="337" spans="3:4" ht="13.2">
      <c r="C337" s="208"/>
      <c r="D337" s="208"/>
    </row>
    <row r="338" spans="3:4" ht="13.2">
      <c r="C338" s="208"/>
      <c r="D338" s="208"/>
    </row>
    <row r="339" spans="3:4" ht="13.2">
      <c r="C339" s="208"/>
      <c r="D339" s="208"/>
    </row>
    <row r="340" spans="3:4" ht="13.2">
      <c r="C340" s="208"/>
      <c r="D340" s="208"/>
    </row>
    <row r="341" spans="3:4" ht="13.2">
      <c r="C341" s="208"/>
      <c r="D341" s="208"/>
    </row>
    <row r="342" spans="3:4" ht="13.2">
      <c r="C342" s="208"/>
      <c r="D342" s="208"/>
    </row>
    <row r="343" spans="3:4" ht="13.2">
      <c r="C343" s="208"/>
      <c r="D343" s="208"/>
    </row>
    <row r="344" spans="3:4" ht="13.2">
      <c r="C344" s="208"/>
      <c r="D344" s="208"/>
    </row>
    <row r="345" spans="3:4" ht="13.2">
      <c r="C345" s="208"/>
      <c r="D345" s="208"/>
    </row>
    <row r="346" spans="3:4" ht="13.2">
      <c r="C346" s="208"/>
      <c r="D346" s="208"/>
    </row>
    <row r="347" spans="3:4" ht="13.2">
      <c r="C347" s="208"/>
      <c r="D347" s="208"/>
    </row>
    <row r="348" spans="3:4" ht="13.2">
      <c r="C348" s="208"/>
      <c r="D348" s="208"/>
    </row>
    <row r="349" spans="3:4" ht="13.2">
      <c r="C349" s="208"/>
      <c r="D349" s="208"/>
    </row>
    <row r="350" spans="3:4" ht="13.2">
      <c r="C350" s="208"/>
      <c r="D350" s="208"/>
    </row>
    <row r="351" spans="3:4" ht="13.2">
      <c r="C351" s="208"/>
      <c r="D351" s="208"/>
    </row>
    <row r="352" spans="3:4" ht="13.2">
      <c r="C352" s="208"/>
      <c r="D352" s="208"/>
    </row>
    <row r="353" spans="3:4" ht="13.2">
      <c r="C353" s="208"/>
      <c r="D353" s="208"/>
    </row>
    <row r="354" spans="3:4" ht="13.2">
      <c r="C354" s="208"/>
      <c r="D354" s="208"/>
    </row>
    <row r="355" spans="3:4" ht="13.2">
      <c r="C355" s="208"/>
      <c r="D355" s="208"/>
    </row>
    <row r="356" spans="3:4" ht="13.2">
      <c r="C356" s="208"/>
      <c r="D356" s="208"/>
    </row>
    <row r="357" spans="3:4" ht="13.2">
      <c r="C357" s="208"/>
      <c r="D357" s="208"/>
    </row>
    <row r="358" spans="3:4" ht="13.2">
      <c r="C358" s="208"/>
      <c r="D358" s="208"/>
    </row>
    <row r="359" spans="3:4" ht="13.2">
      <c r="C359" s="208"/>
      <c r="D359" s="208"/>
    </row>
    <row r="360" spans="3:4" ht="13.2">
      <c r="C360" s="208"/>
      <c r="D360" s="208"/>
    </row>
    <row r="361" spans="3:4" ht="13.2">
      <c r="C361" s="208"/>
      <c r="D361" s="208"/>
    </row>
    <row r="362" spans="3:4" ht="13.2">
      <c r="C362" s="208"/>
      <c r="D362" s="208"/>
    </row>
    <row r="363" spans="3:4" ht="13.2">
      <c r="C363" s="208"/>
      <c r="D363" s="208"/>
    </row>
    <row r="364" spans="3:4" ht="13.2">
      <c r="C364" s="208"/>
      <c r="D364" s="208"/>
    </row>
    <row r="365" spans="3:4" ht="13.2">
      <c r="C365" s="208"/>
      <c r="D365" s="208"/>
    </row>
    <row r="366" spans="3:4" ht="13.2">
      <c r="C366" s="208"/>
      <c r="D366" s="208"/>
    </row>
    <row r="367" spans="3:4" ht="13.2">
      <c r="C367" s="208"/>
      <c r="D367" s="208"/>
    </row>
    <row r="368" spans="3:4" ht="13.2">
      <c r="C368" s="208"/>
      <c r="D368" s="208"/>
    </row>
    <row r="369" spans="3:4" ht="13.2">
      <c r="C369" s="208"/>
      <c r="D369" s="208"/>
    </row>
    <row r="370" spans="3:4" ht="13.2">
      <c r="C370" s="208"/>
      <c r="D370" s="208"/>
    </row>
    <row r="371" spans="3:4" ht="13.2">
      <c r="C371" s="208"/>
      <c r="D371" s="208"/>
    </row>
    <row r="372" spans="3:4" ht="13.2">
      <c r="C372" s="208"/>
      <c r="D372" s="208"/>
    </row>
    <row r="373" spans="3:4" ht="13.2">
      <c r="C373" s="208"/>
      <c r="D373" s="208"/>
    </row>
    <row r="374" spans="3:4" ht="13.2">
      <c r="C374" s="208"/>
      <c r="D374" s="208"/>
    </row>
    <row r="375" spans="3:4" ht="13.2">
      <c r="C375" s="208"/>
      <c r="D375" s="208"/>
    </row>
    <row r="376" spans="3:4" ht="13.2">
      <c r="C376" s="208"/>
      <c r="D376" s="208"/>
    </row>
    <row r="377" spans="3:4" ht="13.2">
      <c r="C377" s="208"/>
      <c r="D377" s="208"/>
    </row>
    <row r="378" spans="3:4" ht="13.2">
      <c r="C378" s="208"/>
      <c r="D378" s="208"/>
    </row>
    <row r="379" spans="3:4" ht="13.2">
      <c r="C379" s="208"/>
      <c r="D379" s="208"/>
    </row>
    <row r="380" spans="3:4" ht="13.2">
      <c r="C380" s="208"/>
      <c r="D380" s="208"/>
    </row>
    <row r="381" spans="3:4" ht="13.2">
      <c r="C381" s="208"/>
      <c r="D381" s="208"/>
    </row>
    <row r="382" spans="3:4" ht="13.2">
      <c r="C382" s="208"/>
      <c r="D382" s="208"/>
    </row>
    <row r="383" spans="3:4" ht="13.2">
      <c r="C383" s="208"/>
      <c r="D383" s="208"/>
    </row>
    <row r="384" spans="3:4" ht="13.2">
      <c r="C384" s="208"/>
      <c r="D384" s="208"/>
    </row>
    <row r="385" spans="3:4" ht="13.2">
      <c r="C385" s="208"/>
      <c r="D385" s="208"/>
    </row>
    <row r="386" spans="3:4" ht="13.2">
      <c r="C386" s="208"/>
      <c r="D386" s="208"/>
    </row>
    <row r="387" spans="3:4" ht="13.2">
      <c r="C387" s="208"/>
      <c r="D387" s="208"/>
    </row>
    <row r="388" spans="3:4" ht="13.2">
      <c r="C388" s="208"/>
      <c r="D388" s="208"/>
    </row>
    <row r="389" spans="3:4" ht="13.2">
      <c r="C389" s="208"/>
      <c r="D389" s="208"/>
    </row>
    <row r="390" spans="3:4" ht="13.2">
      <c r="C390" s="208"/>
      <c r="D390" s="208"/>
    </row>
    <row r="391" spans="3:4" ht="13.2">
      <c r="C391" s="208"/>
      <c r="D391" s="208"/>
    </row>
    <row r="392" spans="3:4" ht="13.2">
      <c r="C392" s="208"/>
      <c r="D392" s="208"/>
    </row>
    <row r="393" spans="3:4" ht="13.2">
      <c r="C393" s="208"/>
      <c r="D393" s="208"/>
    </row>
    <row r="394" spans="3:4" ht="13.2">
      <c r="C394" s="208"/>
      <c r="D394" s="208"/>
    </row>
    <row r="395" spans="3:4" ht="13.2">
      <c r="C395" s="208"/>
      <c r="D395" s="208"/>
    </row>
    <row r="396" spans="3:4" ht="13.2">
      <c r="C396" s="208"/>
      <c r="D396" s="208"/>
    </row>
    <row r="397" spans="3:4" ht="13.2">
      <c r="C397" s="208"/>
      <c r="D397" s="208"/>
    </row>
    <row r="398" spans="3:4" ht="13.2">
      <c r="C398" s="208"/>
      <c r="D398" s="208"/>
    </row>
    <row r="399" spans="3:4" ht="13.2">
      <c r="C399" s="208"/>
      <c r="D399" s="208"/>
    </row>
    <row r="400" spans="3:4" ht="13.2">
      <c r="C400" s="208"/>
      <c r="D400" s="208"/>
    </row>
    <row r="401" spans="3:4" ht="13.2">
      <c r="C401" s="208"/>
      <c r="D401" s="208"/>
    </row>
    <row r="402" spans="3:4" ht="13.2">
      <c r="C402" s="208"/>
      <c r="D402" s="208"/>
    </row>
    <row r="403" spans="3:4" ht="13.2">
      <c r="C403" s="208"/>
      <c r="D403" s="208"/>
    </row>
    <row r="404" spans="3:4" ht="13.2">
      <c r="C404" s="208"/>
      <c r="D404" s="208"/>
    </row>
    <row r="405" spans="3:4" ht="13.2">
      <c r="C405" s="208"/>
      <c r="D405" s="208"/>
    </row>
    <row r="406" spans="3:4" ht="13.2">
      <c r="C406" s="208"/>
      <c r="D406" s="208"/>
    </row>
    <row r="407" spans="3:4" ht="13.2">
      <c r="C407" s="208"/>
      <c r="D407" s="208"/>
    </row>
    <row r="408" spans="3:4" ht="13.2">
      <c r="C408" s="208"/>
      <c r="D408" s="208"/>
    </row>
    <row r="409" spans="3:4" ht="13.2">
      <c r="C409" s="208"/>
      <c r="D409" s="208"/>
    </row>
    <row r="410" spans="3:4" ht="13.2">
      <c r="C410" s="208"/>
      <c r="D410" s="208"/>
    </row>
    <row r="411" spans="3:4" ht="13.2">
      <c r="C411" s="208"/>
      <c r="D411" s="208"/>
    </row>
    <row r="412" spans="3:4" ht="13.2">
      <c r="C412" s="208"/>
      <c r="D412" s="208"/>
    </row>
    <row r="413" spans="3:4" ht="13.2">
      <c r="C413" s="208"/>
      <c r="D413" s="208"/>
    </row>
    <row r="414" spans="3:4" ht="13.2">
      <c r="C414" s="208"/>
      <c r="D414" s="208"/>
    </row>
    <row r="415" spans="3:4" ht="13.2">
      <c r="C415" s="208"/>
      <c r="D415" s="208"/>
    </row>
    <row r="416" spans="3:4" ht="13.2">
      <c r="C416" s="208"/>
      <c r="D416" s="208"/>
    </row>
    <row r="417" spans="3:4" ht="13.2">
      <c r="C417" s="208"/>
      <c r="D417" s="208"/>
    </row>
    <row r="418" spans="3:4" ht="13.2">
      <c r="C418" s="208"/>
      <c r="D418" s="208"/>
    </row>
    <row r="419" spans="3:4" ht="13.2">
      <c r="C419" s="208"/>
      <c r="D419" s="208"/>
    </row>
    <row r="420" spans="3:4" ht="13.2">
      <c r="C420" s="208"/>
      <c r="D420" s="208"/>
    </row>
    <row r="421" spans="3:4" ht="13.2">
      <c r="C421" s="208"/>
      <c r="D421" s="208"/>
    </row>
    <row r="422" spans="3:4" ht="13.2">
      <c r="C422" s="208"/>
      <c r="D422" s="208"/>
    </row>
    <row r="423" spans="3:4" ht="13.2">
      <c r="C423" s="208"/>
      <c r="D423" s="208"/>
    </row>
    <row r="424" spans="3:4" ht="13.2">
      <c r="C424" s="208"/>
      <c r="D424" s="208"/>
    </row>
    <row r="425" spans="3:4" ht="13.2">
      <c r="C425" s="208"/>
      <c r="D425" s="208"/>
    </row>
    <row r="426" spans="3:4" ht="13.2">
      <c r="C426" s="208"/>
      <c r="D426" s="208"/>
    </row>
    <row r="427" spans="3:4" ht="13.2">
      <c r="C427" s="208"/>
      <c r="D427" s="208"/>
    </row>
    <row r="428" spans="3:4" ht="13.2">
      <c r="C428" s="208"/>
      <c r="D428" s="208"/>
    </row>
    <row r="429" spans="3:4" ht="13.2">
      <c r="C429" s="208"/>
      <c r="D429" s="208"/>
    </row>
    <row r="430" spans="3:4" ht="13.2">
      <c r="C430" s="208"/>
      <c r="D430" s="208"/>
    </row>
    <row r="431" spans="3:4" ht="13.2">
      <c r="C431" s="208"/>
      <c r="D431" s="208"/>
    </row>
    <row r="432" spans="3:4" ht="13.2">
      <c r="C432" s="208"/>
      <c r="D432" s="208"/>
    </row>
    <row r="433" spans="3:4" ht="13.2">
      <c r="C433" s="208"/>
      <c r="D433" s="208"/>
    </row>
    <row r="434" spans="3:4" ht="13.2">
      <c r="C434" s="208"/>
      <c r="D434" s="208"/>
    </row>
    <row r="435" spans="3:4" ht="13.2">
      <c r="C435" s="208"/>
      <c r="D435" s="208"/>
    </row>
    <row r="436" spans="3:4" ht="13.2">
      <c r="C436" s="208"/>
      <c r="D436" s="208"/>
    </row>
    <row r="437" spans="3:4" ht="13.2">
      <c r="C437" s="208"/>
      <c r="D437" s="208"/>
    </row>
    <row r="438" spans="3:4" ht="13.2">
      <c r="C438" s="208"/>
      <c r="D438" s="208"/>
    </row>
    <row r="439" spans="3:4" ht="13.2">
      <c r="C439" s="208"/>
      <c r="D439" s="208"/>
    </row>
    <row r="440" spans="3:4" ht="13.2">
      <c r="C440" s="208"/>
      <c r="D440" s="208"/>
    </row>
    <row r="441" spans="3:4" ht="13.2">
      <c r="C441" s="208"/>
      <c r="D441" s="208"/>
    </row>
    <row r="442" spans="3:4" ht="13.2">
      <c r="C442" s="208"/>
      <c r="D442" s="208"/>
    </row>
    <row r="443" spans="3:4" ht="13.2">
      <c r="C443" s="208"/>
      <c r="D443" s="208"/>
    </row>
    <row r="444" spans="3:4" ht="13.2">
      <c r="C444" s="208"/>
      <c r="D444" s="208"/>
    </row>
    <row r="445" spans="3:4" ht="13.2">
      <c r="C445" s="208"/>
      <c r="D445" s="208"/>
    </row>
    <row r="446" spans="3:4" ht="13.2">
      <c r="C446" s="208"/>
      <c r="D446" s="208"/>
    </row>
    <row r="447" spans="3:4" ht="13.2">
      <c r="C447" s="208"/>
      <c r="D447" s="208"/>
    </row>
    <row r="448" spans="3:4" ht="13.2">
      <c r="C448" s="208"/>
      <c r="D448" s="208"/>
    </row>
    <row r="449" spans="3:4" ht="13.2">
      <c r="C449" s="208"/>
      <c r="D449" s="208"/>
    </row>
    <row r="450" spans="3:4" ht="13.2">
      <c r="C450" s="208"/>
      <c r="D450" s="208"/>
    </row>
    <row r="451" spans="3:4" ht="13.2">
      <c r="C451" s="208"/>
      <c r="D451" s="208"/>
    </row>
    <row r="452" spans="3:4" ht="13.2">
      <c r="C452" s="208"/>
      <c r="D452" s="208"/>
    </row>
    <row r="453" spans="3:4" ht="13.2">
      <c r="C453" s="208"/>
      <c r="D453" s="208"/>
    </row>
    <row r="454" spans="3:4" ht="13.2">
      <c r="C454" s="208"/>
      <c r="D454" s="208"/>
    </row>
    <row r="455" spans="3:4" ht="13.2">
      <c r="C455" s="208"/>
      <c r="D455" s="208"/>
    </row>
    <row r="456" spans="3:4" ht="13.2">
      <c r="C456" s="208"/>
      <c r="D456" s="208"/>
    </row>
    <row r="457" spans="3:4" ht="13.2">
      <c r="C457" s="208"/>
      <c r="D457" s="208"/>
    </row>
    <row r="458" spans="3:4" ht="13.2">
      <c r="C458" s="208"/>
      <c r="D458" s="208"/>
    </row>
    <row r="459" spans="3:4" ht="13.2">
      <c r="C459" s="208"/>
      <c r="D459" s="208"/>
    </row>
    <row r="460" spans="3:4" ht="13.2">
      <c r="C460" s="208"/>
      <c r="D460" s="208"/>
    </row>
    <row r="461" spans="3:4" ht="13.2">
      <c r="C461" s="208"/>
      <c r="D461" s="208"/>
    </row>
    <row r="462" spans="3:4" ht="13.2">
      <c r="C462" s="208"/>
      <c r="D462" s="208"/>
    </row>
    <row r="463" spans="3:4" ht="13.2">
      <c r="C463" s="208"/>
      <c r="D463" s="208"/>
    </row>
    <row r="464" spans="3:4" ht="13.2">
      <c r="C464" s="208"/>
      <c r="D464" s="208"/>
    </row>
    <row r="465" spans="3:4" ht="13.2">
      <c r="C465" s="208"/>
      <c r="D465" s="208"/>
    </row>
    <row r="466" spans="3:4" ht="13.2">
      <c r="C466" s="208"/>
      <c r="D466" s="208"/>
    </row>
    <row r="467" spans="3:4" ht="13.2">
      <c r="C467" s="208"/>
      <c r="D467" s="208"/>
    </row>
    <row r="468" spans="3:4" ht="13.2">
      <c r="C468" s="208"/>
      <c r="D468" s="208"/>
    </row>
    <row r="469" spans="3:4" ht="13.2">
      <c r="C469" s="208"/>
      <c r="D469" s="208"/>
    </row>
    <row r="470" spans="3:4" ht="13.2">
      <c r="C470" s="208"/>
      <c r="D470" s="208"/>
    </row>
    <row r="471" spans="3:4" ht="13.2">
      <c r="C471" s="208"/>
      <c r="D471" s="208"/>
    </row>
    <row r="472" spans="3:4" ht="13.2">
      <c r="C472" s="208"/>
      <c r="D472" s="208"/>
    </row>
    <row r="473" spans="3:4" ht="13.2">
      <c r="C473" s="208"/>
      <c r="D473" s="208"/>
    </row>
    <row r="474" spans="3:4" ht="13.2">
      <c r="C474" s="208"/>
      <c r="D474" s="208"/>
    </row>
    <row r="475" spans="3:4" ht="13.2">
      <c r="C475" s="208"/>
      <c r="D475" s="208"/>
    </row>
    <row r="476" spans="3:4" ht="13.2">
      <c r="C476" s="208"/>
      <c r="D476" s="208"/>
    </row>
    <row r="477" spans="3:4" ht="13.2">
      <c r="C477" s="208"/>
      <c r="D477" s="208"/>
    </row>
    <row r="478" spans="3:4" ht="13.2">
      <c r="C478" s="208"/>
      <c r="D478" s="208"/>
    </row>
    <row r="479" spans="3:4" ht="13.2">
      <c r="C479" s="208"/>
      <c r="D479" s="208"/>
    </row>
    <row r="480" spans="3:4" ht="13.2">
      <c r="C480" s="208"/>
      <c r="D480" s="208"/>
    </row>
    <row r="481" spans="3:4" ht="13.2">
      <c r="C481" s="208"/>
      <c r="D481" s="208"/>
    </row>
    <row r="482" spans="3:4" ht="13.2">
      <c r="C482" s="208"/>
      <c r="D482" s="208"/>
    </row>
    <row r="483" spans="3:4" ht="13.2">
      <c r="C483" s="208"/>
      <c r="D483" s="208"/>
    </row>
    <row r="484" spans="3:4" ht="13.2">
      <c r="C484" s="208"/>
      <c r="D484" s="208"/>
    </row>
    <row r="485" spans="3:4" ht="13.2">
      <c r="C485" s="208"/>
      <c r="D485" s="208"/>
    </row>
    <row r="486" spans="3:4" ht="13.2">
      <c r="C486" s="208"/>
      <c r="D486" s="208"/>
    </row>
    <row r="487" spans="3:4" ht="13.2">
      <c r="C487" s="208"/>
      <c r="D487" s="208"/>
    </row>
    <row r="488" spans="3:4" ht="13.2">
      <c r="C488" s="208"/>
      <c r="D488" s="208"/>
    </row>
    <row r="489" spans="3:4" ht="13.2">
      <c r="C489" s="208"/>
      <c r="D489" s="208"/>
    </row>
    <row r="490" spans="3:4" ht="13.2">
      <c r="C490" s="208"/>
      <c r="D490" s="208"/>
    </row>
    <row r="491" spans="3:4" ht="13.2">
      <c r="C491" s="208"/>
      <c r="D491" s="208"/>
    </row>
    <row r="492" spans="3:4" ht="13.2">
      <c r="C492" s="208"/>
      <c r="D492" s="208"/>
    </row>
    <row r="493" spans="3:4" ht="13.2">
      <c r="C493" s="208"/>
      <c r="D493" s="208"/>
    </row>
    <row r="494" spans="3:4" ht="13.2">
      <c r="C494" s="208"/>
      <c r="D494" s="208"/>
    </row>
    <row r="495" spans="3:4" ht="13.2">
      <c r="C495" s="208"/>
      <c r="D495" s="208"/>
    </row>
    <row r="496" spans="3:4" ht="13.2">
      <c r="C496" s="208"/>
      <c r="D496" s="208"/>
    </row>
    <row r="497" spans="3:4" ht="13.2">
      <c r="C497" s="208"/>
      <c r="D497" s="208"/>
    </row>
    <row r="498" spans="3:4" ht="13.2">
      <c r="C498" s="208"/>
      <c r="D498" s="208"/>
    </row>
    <row r="499" spans="3:4" ht="13.2">
      <c r="C499" s="208"/>
      <c r="D499" s="208"/>
    </row>
    <row r="500" spans="3:4" ht="13.2">
      <c r="C500" s="208"/>
      <c r="D500" s="208"/>
    </row>
    <row r="501" spans="3:4" ht="13.2">
      <c r="C501" s="208"/>
      <c r="D501" s="208"/>
    </row>
    <row r="502" spans="3:4" ht="13.2">
      <c r="C502" s="208"/>
      <c r="D502" s="208"/>
    </row>
    <row r="503" spans="3:4" ht="13.2">
      <c r="C503" s="208"/>
      <c r="D503" s="208"/>
    </row>
    <row r="504" spans="3:4" ht="13.2">
      <c r="C504" s="208"/>
      <c r="D504" s="208"/>
    </row>
    <row r="505" spans="3:4" ht="13.2">
      <c r="C505" s="208"/>
      <c r="D505" s="208"/>
    </row>
    <row r="506" spans="3:4" ht="13.2">
      <c r="C506" s="208"/>
      <c r="D506" s="208"/>
    </row>
    <row r="507" spans="3:4" ht="13.2">
      <c r="C507" s="208"/>
      <c r="D507" s="208"/>
    </row>
    <row r="508" spans="3:4" ht="13.2">
      <c r="C508" s="208"/>
      <c r="D508" s="208"/>
    </row>
    <row r="509" spans="3:4" ht="13.2">
      <c r="C509" s="208"/>
      <c r="D509" s="208"/>
    </row>
    <row r="510" spans="3:4" ht="13.2">
      <c r="C510" s="208"/>
      <c r="D510" s="208"/>
    </row>
    <row r="511" spans="3:4" ht="13.2">
      <c r="C511" s="208"/>
      <c r="D511" s="208"/>
    </row>
    <row r="512" spans="3:4" ht="13.2">
      <c r="C512" s="208"/>
      <c r="D512" s="208"/>
    </row>
    <row r="513" spans="3:4" ht="13.2">
      <c r="C513" s="208"/>
      <c r="D513" s="208"/>
    </row>
    <row r="514" spans="3:4" ht="13.2">
      <c r="C514" s="208"/>
      <c r="D514" s="208"/>
    </row>
    <row r="515" spans="3:4" ht="13.2">
      <c r="C515" s="208"/>
      <c r="D515" s="208"/>
    </row>
    <row r="516" spans="3:4" ht="13.2">
      <c r="C516" s="208"/>
      <c r="D516" s="208"/>
    </row>
    <row r="517" spans="3:4" ht="13.2">
      <c r="C517" s="208"/>
      <c r="D517" s="208"/>
    </row>
    <row r="518" spans="3:4" ht="13.2">
      <c r="C518" s="208"/>
      <c r="D518" s="208"/>
    </row>
    <row r="519" spans="3:4" ht="13.2">
      <c r="C519" s="208"/>
      <c r="D519" s="208"/>
    </row>
    <row r="520" spans="3:4" ht="13.2">
      <c r="C520" s="208"/>
      <c r="D520" s="208"/>
    </row>
    <row r="521" spans="3:4" ht="13.2">
      <c r="C521" s="208"/>
      <c r="D521" s="208"/>
    </row>
    <row r="522" spans="3:4" ht="13.2">
      <c r="C522" s="208"/>
      <c r="D522" s="208"/>
    </row>
    <row r="523" spans="3:4" ht="13.2">
      <c r="C523" s="208"/>
      <c r="D523" s="208"/>
    </row>
    <row r="524" spans="3:4" ht="13.2">
      <c r="C524" s="208"/>
      <c r="D524" s="208"/>
    </row>
    <row r="525" spans="3:4" ht="13.2">
      <c r="C525" s="208"/>
      <c r="D525" s="208"/>
    </row>
    <row r="526" spans="3:4" ht="13.2">
      <c r="C526" s="208"/>
      <c r="D526" s="208"/>
    </row>
    <row r="527" spans="3:4" ht="13.2">
      <c r="C527" s="208"/>
      <c r="D527" s="208"/>
    </row>
    <row r="528" spans="3:4" ht="13.2">
      <c r="C528" s="208"/>
      <c r="D528" s="208"/>
    </row>
    <row r="529" spans="3:4" ht="13.2">
      <c r="C529" s="208"/>
      <c r="D529" s="208"/>
    </row>
    <row r="530" spans="3:4" ht="13.2">
      <c r="C530" s="208"/>
      <c r="D530" s="208"/>
    </row>
    <row r="531" spans="3:4" ht="13.2">
      <c r="C531" s="208"/>
      <c r="D531" s="208"/>
    </row>
    <row r="532" spans="3:4" ht="13.2">
      <c r="C532" s="208"/>
      <c r="D532" s="208"/>
    </row>
    <row r="533" spans="3:4" ht="13.2">
      <c r="C533" s="208"/>
      <c r="D533" s="208"/>
    </row>
    <row r="534" spans="3:4" ht="13.2">
      <c r="C534" s="208"/>
      <c r="D534" s="208"/>
    </row>
    <row r="535" spans="3:4" ht="13.2">
      <c r="C535" s="208"/>
      <c r="D535" s="208"/>
    </row>
    <row r="536" spans="3:4" ht="13.2">
      <c r="C536" s="208"/>
      <c r="D536" s="208"/>
    </row>
    <row r="537" spans="3:4" ht="13.2">
      <c r="C537" s="208"/>
      <c r="D537" s="208"/>
    </row>
    <row r="538" spans="3:4" ht="13.2">
      <c r="C538" s="208"/>
      <c r="D538" s="208"/>
    </row>
    <row r="539" spans="3:4" ht="13.2">
      <c r="C539" s="208"/>
      <c r="D539" s="208"/>
    </row>
    <row r="540" spans="3:4" ht="13.2">
      <c r="C540" s="208"/>
      <c r="D540" s="208"/>
    </row>
    <row r="541" spans="3:4" ht="13.2">
      <c r="C541" s="208"/>
      <c r="D541" s="208"/>
    </row>
    <row r="542" spans="3:4" ht="13.2">
      <c r="C542" s="208"/>
      <c r="D542" s="208"/>
    </row>
    <row r="543" spans="3:4" ht="13.2">
      <c r="C543" s="208"/>
      <c r="D543" s="208"/>
    </row>
    <row r="544" spans="3:4" ht="13.2">
      <c r="C544" s="208"/>
      <c r="D544" s="208"/>
    </row>
    <row r="545" spans="3:4" ht="13.2">
      <c r="C545" s="208"/>
      <c r="D545" s="208"/>
    </row>
    <row r="546" spans="3:4" ht="13.2">
      <c r="C546" s="208"/>
      <c r="D546" s="208"/>
    </row>
    <row r="547" spans="3:4" ht="13.2">
      <c r="C547" s="208"/>
      <c r="D547" s="208"/>
    </row>
    <row r="548" spans="3:4" ht="13.2">
      <c r="C548" s="208"/>
      <c r="D548" s="208"/>
    </row>
    <row r="549" spans="3:4" ht="13.2">
      <c r="C549" s="208"/>
      <c r="D549" s="208"/>
    </row>
    <row r="550" spans="3:4" ht="13.2">
      <c r="C550" s="208"/>
      <c r="D550" s="208"/>
    </row>
    <row r="551" spans="3:4" ht="13.2">
      <c r="C551" s="208"/>
      <c r="D551" s="208"/>
    </row>
    <row r="552" spans="3:4" ht="13.2">
      <c r="C552" s="208"/>
      <c r="D552" s="208"/>
    </row>
    <row r="553" spans="3:4" ht="13.2">
      <c r="C553" s="208"/>
      <c r="D553" s="208"/>
    </row>
    <row r="554" spans="3:4" ht="13.2">
      <c r="C554" s="208"/>
      <c r="D554" s="208"/>
    </row>
    <row r="555" spans="3:4" ht="13.2">
      <c r="C555" s="208"/>
      <c r="D555" s="208"/>
    </row>
    <row r="556" spans="3:4" ht="13.2">
      <c r="C556" s="208"/>
      <c r="D556" s="208"/>
    </row>
    <row r="557" spans="3:4" ht="13.2">
      <c r="C557" s="208"/>
      <c r="D557" s="208"/>
    </row>
    <row r="558" spans="3:4" ht="13.2">
      <c r="C558" s="208"/>
      <c r="D558" s="208"/>
    </row>
    <row r="559" spans="3:4" ht="13.2">
      <c r="C559" s="208"/>
      <c r="D559" s="208"/>
    </row>
    <row r="560" spans="3:4" ht="13.2">
      <c r="C560" s="208"/>
      <c r="D560" s="208"/>
    </row>
    <row r="561" spans="3:4" ht="13.2">
      <c r="C561" s="208"/>
      <c r="D561" s="208"/>
    </row>
    <row r="562" spans="3:4" ht="13.2">
      <c r="C562" s="208"/>
      <c r="D562" s="208"/>
    </row>
    <row r="563" spans="3:4" ht="13.2">
      <c r="C563" s="208"/>
      <c r="D563" s="208"/>
    </row>
    <row r="564" spans="3:4" ht="13.2">
      <c r="C564" s="208"/>
      <c r="D564" s="208"/>
    </row>
    <row r="565" spans="3:4" ht="13.2">
      <c r="C565" s="208"/>
      <c r="D565" s="208"/>
    </row>
    <row r="566" spans="3:4" ht="13.2">
      <c r="C566" s="208"/>
      <c r="D566" s="208"/>
    </row>
    <row r="567" spans="3:4" ht="13.2">
      <c r="C567" s="208"/>
      <c r="D567" s="208"/>
    </row>
    <row r="568" spans="3:4" ht="13.2">
      <c r="C568" s="208"/>
      <c r="D568" s="208"/>
    </row>
    <row r="569" spans="3:4" ht="13.2">
      <c r="C569" s="208"/>
      <c r="D569" s="208"/>
    </row>
    <row r="570" spans="3:4" ht="13.2">
      <c r="C570" s="208"/>
      <c r="D570" s="208"/>
    </row>
    <row r="571" spans="3:4" ht="13.2">
      <c r="C571" s="208"/>
      <c r="D571" s="208"/>
    </row>
    <row r="572" spans="3:4" ht="13.2">
      <c r="C572" s="208"/>
      <c r="D572" s="208"/>
    </row>
    <row r="573" spans="3:4" ht="13.2">
      <c r="C573" s="208"/>
      <c r="D573" s="208"/>
    </row>
    <row r="574" spans="3:4" ht="13.2">
      <c r="C574" s="208"/>
      <c r="D574" s="208"/>
    </row>
    <row r="575" spans="3:4" ht="13.2">
      <c r="C575" s="208"/>
      <c r="D575" s="208"/>
    </row>
    <row r="576" spans="3:4" ht="13.2">
      <c r="C576" s="208"/>
      <c r="D576" s="208"/>
    </row>
    <row r="577" spans="3:4" ht="13.2">
      <c r="C577" s="208"/>
      <c r="D577" s="208"/>
    </row>
    <row r="578" spans="3:4" ht="13.2">
      <c r="C578" s="208"/>
      <c r="D578" s="208"/>
    </row>
    <row r="579" spans="3:4" ht="13.2">
      <c r="C579" s="208"/>
      <c r="D579" s="208"/>
    </row>
    <row r="580" spans="3:4" ht="13.2">
      <c r="C580" s="208"/>
      <c r="D580" s="208"/>
    </row>
    <row r="581" spans="3:4" ht="13.2">
      <c r="C581" s="208"/>
      <c r="D581" s="208"/>
    </row>
    <row r="582" spans="3:4" ht="13.2">
      <c r="C582" s="208"/>
      <c r="D582" s="208"/>
    </row>
    <row r="583" spans="3:4" ht="13.2">
      <c r="C583" s="208"/>
      <c r="D583" s="208"/>
    </row>
    <row r="584" spans="3:4" ht="13.2">
      <c r="C584" s="208"/>
      <c r="D584" s="208"/>
    </row>
    <row r="585" spans="3:4" ht="13.2">
      <c r="C585" s="208"/>
      <c r="D585" s="208"/>
    </row>
    <row r="586" spans="3:4" ht="13.2">
      <c r="C586" s="208"/>
      <c r="D586" s="208"/>
    </row>
    <row r="587" spans="3:4" ht="13.2">
      <c r="C587" s="208"/>
      <c r="D587" s="208"/>
    </row>
    <row r="588" spans="3:4" ht="13.2">
      <c r="C588" s="208"/>
      <c r="D588" s="208"/>
    </row>
    <row r="589" spans="3:4" ht="13.2">
      <c r="C589" s="208"/>
      <c r="D589" s="208"/>
    </row>
    <row r="590" spans="3:4" ht="13.2">
      <c r="C590" s="208"/>
      <c r="D590" s="208"/>
    </row>
    <row r="591" spans="3:4" ht="13.2">
      <c r="C591" s="208"/>
      <c r="D591" s="208"/>
    </row>
    <row r="592" spans="3:4" ht="13.2">
      <c r="C592" s="208"/>
      <c r="D592" s="208"/>
    </row>
    <row r="593" spans="3:4" ht="13.2">
      <c r="C593" s="208"/>
      <c r="D593" s="208"/>
    </row>
    <row r="594" spans="3:4" ht="13.2">
      <c r="C594" s="208"/>
      <c r="D594" s="208"/>
    </row>
    <row r="595" spans="3:4" ht="13.2">
      <c r="C595" s="208"/>
      <c r="D595" s="208"/>
    </row>
    <row r="596" spans="3:4" ht="13.2">
      <c r="C596" s="208"/>
      <c r="D596" s="208"/>
    </row>
    <row r="597" spans="3:4" ht="13.2">
      <c r="C597" s="208"/>
      <c r="D597" s="208"/>
    </row>
    <row r="598" spans="3:4" ht="13.2">
      <c r="C598" s="208"/>
      <c r="D598" s="208"/>
    </row>
    <row r="599" spans="3:4" ht="13.2">
      <c r="C599" s="208"/>
      <c r="D599" s="208"/>
    </row>
    <row r="600" spans="3:4" ht="13.2">
      <c r="C600" s="208"/>
      <c r="D600" s="208"/>
    </row>
    <row r="601" spans="3:4" ht="13.2">
      <c r="C601" s="208"/>
      <c r="D601" s="208"/>
    </row>
    <row r="602" spans="3:4" ht="13.2">
      <c r="C602" s="208"/>
      <c r="D602" s="208"/>
    </row>
    <row r="603" spans="3:4" ht="13.2">
      <c r="C603" s="208"/>
      <c r="D603" s="208"/>
    </row>
    <row r="604" spans="3:4" ht="13.2">
      <c r="C604" s="208"/>
      <c r="D604" s="208"/>
    </row>
    <row r="605" spans="3:4" ht="13.2">
      <c r="C605" s="208"/>
      <c r="D605" s="208"/>
    </row>
    <row r="606" spans="3:4" ht="13.2">
      <c r="C606" s="208"/>
      <c r="D606" s="208"/>
    </row>
    <row r="607" spans="3:4" ht="13.2">
      <c r="C607" s="208"/>
      <c r="D607" s="208"/>
    </row>
    <row r="608" spans="3:4" ht="13.2">
      <c r="C608" s="208"/>
      <c r="D608" s="208"/>
    </row>
    <row r="609" spans="3:4" ht="13.2">
      <c r="C609" s="208"/>
      <c r="D609" s="208"/>
    </row>
    <row r="610" spans="3:4" ht="13.2">
      <c r="C610" s="208"/>
      <c r="D610" s="208"/>
    </row>
    <row r="611" spans="3:4" ht="13.2">
      <c r="C611" s="208"/>
      <c r="D611" s="208"/>
    </row>
    <row r="612" spans="3:4" ht="13.2">
      <c r="C612" s="208"/>
      <c r="D612" s="208"/>
    </row>
    <row r="613" spans="3:4" ht="13.2">
      <c r="C613" s="208"/>
      <c r="D613" s="208"/>
    </row>
    <row r="614" spans="3:4" ht="13.2">
      <c r="C614" s="208"/>
      <c r="D614" s="208"/>
    </row>
    <row r="615" spans="3:4" ht="13.2">
      <c r="C615" s="208"/>
      <c r="D615" s="208"/>
    </row>
    <row r="616" spans="3:4" ht="13.2">
      <c r="C616" s="208"/>
      <c r="D616" s="208"/>
    </row>
    <row r="617" spans="3:4" ht="13.2">
      <c r="C617" s="208"/>
      <c r="D617" s="208"/>
    </row>
    <row r="618" spans="3:4" ht="13.2">
      <c r="C618" s="208"/>
      <c r="D618" s="208"/>
    </row>
    <row r="619" spans="3:4" ht="13.2">
      <c r="C619" s="208"/>
      <c r="D619" s="208"/>
    </row>
    <row r="620" spans="3:4" ht="13.2">
      <c r="C620" s="208"/>
      <c r="D620" s="208"/>
    </row>
    <row r="621" spans="3:4" ht="13.2">
      <c r="C621" s="208"/>
      <c r="D621" s="208"/>
    </row>
    <row r="622" spans="3:4" ht="13.2">
      <c r="C622" s="208"/>
      <c r="D622" s="208"/>
    </row>
    <row r="623" spans="3:4" ht="13.2">
      <c r="C623" s="208"/>
      <c r="D623" s="208"/>
    </row>
    <row r="624" spans="3:4" ht="13.2">
      <c r="C624" s="208"/>
      <c r="D624" s="208"/>
    </row>
    <row r="625" spans="3:4" ht="13.2">
      <c r="C625" s="208"/>
      <c r="D625" s="208"/>
    </row>
    <row r="626" spans="3:4" ht="13.2">
      <c r="C626" s="208"/>
      <c r="D626" s="208"/>
    </row>
    <row r="627" spans="3:4" ht="13.2">
      <c r="C627" s="208"/>
      <c r="D627" s="208"/>
    </row>
    <row r="628" spans="3:4" ht="13.2">
      <c r="C628" s="208"/>
      <c r="D628" s="208"/>
    </row>
    <row r="629" spans="3:4" ht="13.2">
      <c r="C629" s="208"/>
      <c r="D629" s="208"/>
    </row>
    <row r="630" spans="3:4" ht="13.2">
      <c r="C630" s="208"/>
      <c r="D630" s="208"/>
    </row>
    <row r="631" spans="3:4" ht="13.2">
      <c r="C631" s="208"/>
      <c r="D631" s="208"/>
    </row>
    <row r="632" spans="3:4" ht="13.2">
      <c r="C632" s="208"/>
      <c r="D632" s="208"/>
    </row>
    <row r="633" spans="3:4" ht="13.2">
      <c r="C633" s="208"/>
      <c r="D633" s="208"/>
    </row>
    <row r="634" spans="3:4" ht="13.2">
      <c r="C634" s="208"/>
      <c r="D634" s="208"/>
    </row>
    <row r="635" spans="3:4" ht="13.2">
      <c r="C635" s="208"/>
      <c r="D635" s="208"/>
    </row>
    <row r="636" spans="3:4" ht="13.2">
      <c r="C636" s="208"/>
      <c r="D636" s="208"/>
    </row>
    <row r="637" spans="3:4" ht="13.2">
      <c r="C637" s="208"/>
      <c r="D637" s="208"/>
    </row>
    <row r="638" spans="3:4" ht="13.2">
      <c r="C638" s="208"/>
      <c r="D638" s="208"/>
    </row>
    <row r="639" spans="3:4" ht="13.2">
      <c r="C639" s="208"/>
      <c r="D639" s="208"/>
    </row>
    <row r="640" spans="3:4" ht="13.2">
      <c r="C640" s="208"/>
      <c r="D640" s="208"/>
    </row>
    <row r="641" spans="3:4" ht="13.2">
      <c r="C641" s="208"/>
      <c r="D641" s="208"/>
    </row>
    <row r="642" spans="3:4" ht="13.2">
      <c r="C642" s="208"/>
      <c r="D642" s="208"/>
    </row>
    <row r="643" spans="3:4" ht="13.2">
      <c r="C643" s="208"/>
      <c r="D643" s="208"/>
    </row>
    <row r="644" spans="3:4" ht="13.2">
      <c r="C644" s="208"/>
      <c r="D644" s="208"/>
    </row>
    <row r="645" spans="3:4" ht="13.2">
      <c r="C645" s="208"/>
      <c r="D645" s="208"/>
    </row>
    <row r="646" spans="3:4" ht="13.2">
      <c r="C646" s="208"/>
      <c r="D646" s="208"/>
    </row>
    <row r="647" spans="3:4" ht="13.2">
      <c r="C647" s="208"/>
      <c r="D647" s="208"/>
    </row>
    <row r="648" spans="3:4" ht="13.2">
      <c r="C648" s="208"/>
      <c r="D648" s="208"/>
    </row>
    <row r="649" spans="3:4" ht="13.2">
      <c r="C649" s="208"/>
      <c r="D649" s="208"/>
    </row>
    <row r="650" spans="3:4" ht="13.2">
      <c r="C650" s="208"/>
      <c r="D650" s="208"/>
    </row>
    <row r="651" spans="3:4" ht="13.2">
      <c r="C651" s="208"/>
      <c r="D651" s="208"/>
    </row>
    <row r="652" spans="3:4" ht="13.2">
      <c r="C652" s="208"/>
      <c r="D652" s="208"/>
    </row>
    <row r="653" spans="3:4" ht="13.2">
      <c r="C653" s="208"/>
      <c r="D653" s="208"/>
    </row>
    <row r="654" spans="3:4" ht="13.2">
      <c r="C654" s="208"/>
      <c r="D654" s="208"/>
    </row>
    <row r="655" spans="3:4" ht="13.2">
      <c r="C655" s="208"/>
      <c r="D655" s="208"/>
    </row>
    <row r="656" spans="3:4" ht="13.2">
      <c r="C656" s="208"/>
      <c r="D656" s="208"/>
    </row>
    <row r="657" spans="3:4" ht="13.2">
      <c r="C657" s="208"/>
      <c r="D657" s="208"/>
    </row>
    <row r="658" spans="3:4" ht="13.2">
      <c r="C658" s="208"/>
      <c r="D658" s="208"/>
    </row>
    <row r="659" spans="3:4" ht="13.2">
      <c r="C659" s="208"/>
      <c r="D659" s="208"/>
    </row>
    <row r="660" spans="3:4" ht="13.2">
      <c r="C660" s="208"/>
      <c r="D660" s="208"/>
    </row>
    <row r="661" spans="3:4" ht="13.2">
      <c r="C661" s="208"/>
      <c r="D661" s="208"/>
    </row>
    <row r="662" spans="3:4" ht="13.2">
      <c r="C662" s="208"/>
      <c r="D662" s="208"/>
    </row>
    <row r="663" spans="3:4" ht="13.2">
      <c r="C663" s="208"/>
      <c r="D663" s="208"/>
    </row>
    <row r="664" spans="3:4" ht="13.2">
      <c r="C664" s="208"/>
      <c r="D664" s="208"/>
    </row>
    <row r="665" spans="3:4" ht="13.2">
      <c r="C665" s="208"/>
      <c r="D665" s="208"/>
    </row>
    <row r="666" spans="3:4" ht="13.2">
      <c r="C666" s="208"/>
      <c r="D666" s="208"/>
    </row>
    <row r="667" spans="3:4" ht="13.2">
      <c r="C667" s="208"/>
      <c r="D667" s="208"/>
    </row>
    <row r="668" spans="3:4" ht="13.2">
      <c r="C668" s="208"/>
      <c r="D668" s="208"/>
    </row>
    <row r="669" spans="3:4" ht="13.2">
      <c r="C669" s="208"/>
      <c r="D669" s="208"/>
    </row>
    <row r="670" spans="3:4" ht="13.2">
      <c r="C670" s="208"/>
      <c r="D670" s="208"/>
    </row>
    <row r="671" spans="3:4" ht="13.2">
      <c r="C671" s="208"/>
      <c r="D671" s="208"/>
    </row>
    <row r="672" spans="3:4" ht="13.2">
      <c r="C672" s="208"/>
      <c r="D672" s="208"/>
    </row>
    <row r="673" spans="3:4" ht="13.2">
      <c r="C673" s="208"/>
      <c r="D673" s="208"/>
    </row>
    <row r="674" spans="3:4" ht="13.2">
      <c r="C674" s="208"/>
      <c r="D674" s="208"/>
    </row>
    <row r="675" spans="3:4" ht="13.2">
      <c r="C675" s="208"/>
      <c r="D675" s="208"/>
    </row>
    <row r="676" spans="3:4" ht="13.2">
      <c r="C676" s="208"/>
      <c r="D676" s="208"/>
    </row>
    <row r="677" spans="3:4" ht="13.2">
      <c r="C677" s="208"/>
      <c r="D677" s="208"/>
    </row>
    <row r="678" spans="3:4" ht="13.2">
      <c r="C678" s="208"/>
      <c r="D678" s="208"/>
    </row>
    <row r="679" spans="3:4" ht="13.2">
      <c r="C679" s="208"/>
      <c r="D679" s="208"/>
    </row>
    <row r="680" spans="3:4" ht="13.2">
      <c r="C680" s="208"/>
      <c r="D680" s="208"/>
    </row>
    <row r="681" spans="3:4" ht="13.2">
      <c r="C681" s="208"/>
      <c r="D681" s="208"/>
    </row>
    <row r="682" spans="3:4" ht="13.2">
      <c r="C682" s="208"/>
      <c r="D682" s="208"/>
    </row>
    <row r="683" spans="3:4" ht="13.2">
      <c r="C683" s="208"/>
      <c r="D683" s="208"/>
    </row>
    <row r="684" spans="3:4" ht="13.2">
      <c r="C684" s="208"/>
      <c r="D684" s="208"/>
    </row>
    <row r="685" spans="3:4" ht="13.2">
      <c r="C685" s="208"/>
      <c r="D685" s="208"/>
    </row>
    <row r="686" spans="3:4" ht="13.2">
      <c r="C686" s="208"/>
      <c r="D686" s="208"/>
    </row>
    <row r="687" spans="3:4" ht="13.2">
      <c r="C687" s="208"/>
      <c r="D687" s="208"/>
    </row>
    <row r="688" spans="3:4" ht="13.2">
      <c r="C688" s="208"/>
      <c r="D688" s="208"/>
    </row>
    <row r="689" spans="3:4" ht="13.2">
      <c r="C689" s="208"/>
      <c r="D689" s="208"/>
    </row>
    <row r="690" spans="3:4" ht="13.2">
      <c r="C690" s="208"/>
      <c r="D690" s="208"/>
    </row>
    <row r="691" spans="3:4" ht="13.2">
      <c r="C691" s="208"/>
      <c r="D691" s="208"/>
    </row>
    <row r="692" spans="3:4" ht="13.2">
      <c r="C692" s="208"/>
      <c r="D692" s="208"/>
    </row>
    <row r="693" spans="3:4" ht="13.2">
      <c r="C693" s="208"/>
      <c r="D693" s="208"/>
    </row>
    <row r="694" spans="3:4" ht="13.2">
      <c r="C694" s="208"/>
      <c r="D694" s="208"/>
    </row>
    <row r="695" spans="3:4" ht="13.2">
      <c r="C695" s="208"/>
      <c r="D695" s="208"/>
    </row>
    <row r="696" spans="3:4" ht="13.2">
      <c r="C696" s="208"/>
      <c r="D696" s="208"/>
    </row>
    <row r="697" spans="3:4" ht="13.2">
      <c r="C697" s="208"/>
      <c r="D697" s="208"/>
    </row>
    <row r="698" spans="3:4" ht="13.2">
      <c r="C698" s="208"/>
      <c r="D698" s="208"/>
    </row>
    <row r="699" spans="3:4" ht="13.2">
      <c r="C699" s="208"/>
      <c r="D699" s="208"/>
    </row>
    <row r="700" spans="3:4" ht="13.2">
      <c r="C700" s="208"/>
      <c r="D700" s="208"/>
    </row>
    <row r="701" spans="3:4" ht="13.2">
      <c r="C701" s="208"/>
      <c r="D701" s="208"/>
    </row>
    <row r="702" spans="3:4" ht="13.2">
      <c r="C702" s="208"/>
      <c r="D702" s="208"/>
    </row>
    <row r="703" spans="3:4" ht="13.2">
      <c r="C703" s="208"/>
      <c r="D703" s="208"/>
    </row>
    <row r="704" spans="3:4" ht="13.2">
      <c r="C704" s="208"/>
      <c r="D704" s="208"/>
    </row>
    <row r="705" spans="3:4" ht="13.2">
      <c r="C705" s="208"/>
      <c r="D705" s="208"/>
    </row>
    <row r="706" spans="3:4" ht="13.2">
      <c r="C706" s="208"/>
      <c r="D706" s="208"/>
    </row>
    <row r="707" spans="3:4" ht="13.2">
      <c r="C707" s="208"/>
      <c r="D707" s="208"/>
    </row>
    <row r="708" spans="3:4" ht="13.2">
      <c r="C708" s="208"/>
      <c r="D708" s="208"/>
    </row>
    <row r="709" spans="3:4" ht="13.2">
      <c r="C709" s="208"/>
      <c r="D709" s="208"/>
    </row>
    <row r="710" spans="3:4" ht="13.2">
      <c r="C710" s="208"/>
      <c r="D710" s="208"/>
    </row>
    <row r="711" spans="3:4" ht="13.2">
      <c r="C711" s="208"/>
      <c r="D711" s="208"/>
    </row>
    <row r="712" spans="3:4" ht="13.2">
      <c r="C712" s="208"/>
      <c r="D712" s="208"/>
    </row>
    <row r="713" spans="3:4" ht="13.2">
      <c r="C713" s="208"/>
      <c r="D713" s="208"/>
    </row>
    <row r="714" spans="3:4" ht="13.2">
      <c r="C714" s="208"/>
      <c r="D714" s="208"/>
    </row>
    <row r="715" spans="3:4" ht="13.2">
      <c r="C715" s="208"/>
      <c r="D715" s="208"/>
    </row>
    <row r="716" spans="3:4" ht="13.2">
      <c r="C716" s="208"/>
      <c r="D716" s="208"/>
    </row>
    <row r="717" spans="3:4" ht="13.2">
      <c r="C717" s="208"/>
      <c r="D717" s="208"/>
    </row>
    <row r="718" spans="3:4" ht="13.2">
      <c r="C718" s="208"/>
      <c r="D718" s="208"/>
    </row>
    <row r="719" spans="3:4" ht="13.2">
      <c r="C719" s="208"/>
      <c r="D719" s="208"/>
    </row>
    <row r="720" spans="3:4" ht="13.2">
      <c r="C720" s="208"/>
      <c r="D720" s="208"/>
    </row>
    <row r="721" spans="3:4" ht="13.2">
      <c r="C721" s="208"/>
      <c r="D721" s="208"/>
    </row>
    <row r="722" spans="3:4" ht="13.2">
      <c r="C722" s="208"/>
      <c r="D722" s="208"/>
    </row>
    <row r="723" spans="3:4" ht="13.2">
      <c r="C723" s="208"/>
      <c r="D723" s="208"/>
    </row>
    <row r="724" spans="3:4" ht="13.2">
      <c r="C724" s="208"/>
      <c r="D724" s="208"/>
    </row>
    <row r="725" spans="3:4" ht="13.2">
      <c r="C725" s="208"/>
      <c r="D725" s="208"/>
    </row>
    <row r="726" spans="3:4" ht="13.2">
      <c r="C726" s="208"/>
      <c r="D726" s="208"/>
    </row>
    <row r="727" spans="3:4" ht="13.2">
      <c r="C727" s="208"/>
      <c r="D727" s="208"/>
    </row>
    <row r="728" spans="3:4" ht="13.2">
      <c r="C728" s="208"/>
      <c r="D728" s="208"/>
    </row>
    <row r="729" spans="3:4" ht="13.2">
      <c r="C729" s="208"/>
      <c r="D729" s="208"/>
    </row>
    <row r="730" spans="3:4" ht="13.2">
      <c r="C730" s="208"/>
      <c r="D730" s="208"/>
    </row>
    <row r="731" spans="3:4" ht="13.2">
      <c r="C731" s="208"/>
      <c r="D731" s="208"/>
    </row>
    <row r="732" spans="3:4" ht="13.2">
      <c r="C732" s="208"/>
      <c r="D732" s="208"/>
    </row>
    <row r="733" spans="3:4" ht="13.2">
      <c r="C733" s="208"/>
      <c r="D733" s="208"/>
    </row>
    <row r="734" spans="3:4" ht="13.2">
      <c r="C734" s="208"/>
      <c r="D734" s="208"/>
    </row>
    <row r="735" spans="3:4" ht="13.2">
      <c r="C735" s="208"/>
      <c r="D735" s="208"/>
    </row>
    <row r="736" spans="3:4" ht="13.2">
      <c r="C736" s="208"/>
      <c r="D736" s="208"/>
    </row>
    <row r="737" spans="3:4" ht="13.2">
      <c r="C737" s="208"/>
      <c r="D737" s="208"/>
    </row>
    <row r="738" spans="3:4" ht="13.2">
      <c r="C738" s="208"/>
      <c r="D738" s="208"/>
    </row>
    <row r="739" spans="3:4" ht="13.2">
      <c r="C739" s="208"/>
      <c r="D739" s="208"/>
    </row>
    <row r="740" spans="3:4" ht="13.2">
      <c r="C740" s="208"/>
      <c r="D740" s="208"/>
    </row>
    <row r="741" spans="3:4" ht="13.2">
      <c r="C741" s="208"/>
      <c r="D741" s="208"/>
    </row>
    <row r="742" spans="3:4" ht="13.2">
      <c r="C742" s="208"/>
      <c r="D742" s="208"/>
    </row>
    <row r="743" spans="3:4" ht="13.2">
      <c r="C743" s="208"/>
      <c r="D743" s="208"/>
    </row>
    <row r="744" spans="3:4" ht="13.2">
      <c r="C744" s="208"/>
      <c r="D744" s="208"/>
    </row>
    <row r="745" spans="3:4" ht="13.2">
      <c r="C745" s="208"/>
      <c r="D745" s="208"/>
    </row>
    <row r="746" spans="3:4" ht="13.2">
      <c r="C746" s="208"/>
      <c r="D746" s="208"/>
    </row>
    <row r="747" spans="3:4" ht="13.2">
      <c r="C747" s="208"/>
      <c r="D747" s="208"/>
    </row>
    <row r="748" spans="3:4" ht="13.2">
      <c r="C748" s="208"/>
      <c r="D748" s="208"/>
    </row>
    <row r="749" spans="3:4" ht="13.2">
      <c r="C749" s="208"/>
      <c r="D749" s="208"/>
    </row>
    <row r="750" spans="3:4" ht="13.2">
      <c r="C750" s="208"/>
      <c r="D750" s="208"/>
    </row>
    <row r="751" spans="3:4" ht="13.2">
      <c r="C751" s="208"/>
      <c r="D751" s="208"/>
    </row>
    <row r="752" spans="3:4" ht="13.2">
      <c r="C752" s="208"/>
      <c r="D752" s="208"/>
    </row>
    <row r="753" spans="3:4" ht="13.2">
      <c r="C753" s="208"/>
      <c r="D753" s="208"/>
    </row>
    <row r="754" spans="3:4" ht="13.2">
      <c r="C754" s="208"/>
      <c r="D754" s="208"/>
    </row>
    <row r="755" spans="3:4" ht="13.2">
      <c r="C755" s="208"/>
      <c r="D755" s="208"/>
    </row>
    <row r="756" spans="3:4" ht="13.2">
      <c r="C756" s="208"/>
      <c r="D756" s="208"/>
    </row>
    <row r="757" spans="3:4" ht="13.2">
      <c r="C757" s="208"/>
      <c r="D757" s="208"/>
    </row>
    <row r="758" spans="3:4" ht="13.2">
      <c r="C758" s="208"/>
      <c r="D758" s="208"/>
    </row>
    <row r="759" spans="3:4" ht="13.2">
      <c r="C759" s="208"/>
      <c r="D759" s="208"/>
    </row>
    <row r="760" spans="3:4" ht="13.2">
      <c r="C760" s="208"/>
      <c r="D760" s="208"/>
    </row>
    <row r="761" spans="3:4" ht="13.2">
      <c r="C761" s="208"/>
      <c r="D761" s="208"/>
    </row>
    <row r="762" spans="3:4" ht="13.2">
      <c r="C762" s="208"/>
      <c r="D762" s="208"/>
    </row>
    <row r="763" spans="3:4" ht="13.2">
      <c r="C763" s="208"/>
      <c r="D763" s="208"/>
    </row>
    <row r="764" spans="3:4" ht="13.2">
      <c r="C764" s="208"/>
      <c r="D764" s="208"/>
    </row>
    <row r="765" spans="3:4" ht="13.2">
      <c r="C765" s="208"/>
      <c r="D765" s="208"/>
    </row>
    <row r="766" spans="3:4" ht="13.2">
      <c r="C766" s="208"/>
      <c r="D766" s="208"/>
    </row>
    <row r="767" spans="3:4" ht="13.2">
      <c r="C767" s="208"/>
      <c r="D767" s="208"/>
    </row>
    <row r="768" spans="3:4" ht="13.2">
      <c r="C768" s="208"/>
      <c r="D768" s="208"/>
    </row>
    <row r="769" spans="3:4" ht="13.2">
      <c r="C769" s="208"/>
      <c r="D769" s="208"/>
    </row>
    <row r="770" spans="3:4" ht="13.2">
      <c r="C770" s="208"/>
      <c r="D770" s="208"/>
    </row>
    <row r="771" spans="3:4" ht="13.2">
      <c r="C771" s="208"/>
      <c r="D771" s="208"/>
    </row>
    <row r="772" spans="3:4" ht="13.2">
      <c r="C772" s="208"/>
      <c r="D772" s="208"/>
    </row>
    <row r="773" spans="3:4" ht="13.2">
      <c r="C773" s="208"/>
      <c r="D773" s="208"/>
    </row>
    <row r="774" spans="3:4" ht="13.2">
      <c r="C774" s="208"/>
      <c r="D774" s="208"/>
    </row>
    <row r="775" spans="3:4" ht="13.2">
      <c r="C775" s="208"/>
      <c r="D775" s="208"/>
    </row>
    <row r="776" spans="3:4" ht="13.2">
      <c r="C776" s="208"/>
      <c r="D776" s="208"/>
    </row>
    <row r="777" spans="3:4" ht="13.2">
      <c r="C777" s="208"/>
      <c r="D777" s="208"/>
    </row>
    <row r="778" spans="3:4" ht="13.2">
      <c r="C778" s="208"/>
      <c r="D778" s="208"/>
    </row>
    <row r="779" spans="3:4" ht="13.2">
      <c r="C779" s="208"/>
      <c r="D779" s="208"/>
    </row>
    <row r="780" spans="3:4" ht="13.2">
      <c r="C780" s="208"/>
      <c r="D780" s="208"/>
    </row>
    <row r="781" spans="3:4" ht="13.2">
      <c r="C781" s="208"/>
      <c r="D781" s="208"/>
    </row>
    <row r="782" spans="3:4" ht="13.2">
      <c r="C782" s="208"/>
      <c r="D782" s="208"/>
    </row>
    <row r="783" spans="3:4" ht="13.2">
      <c r="C783" s="208"/>
      <c r="D783" s="208"/>
    </row>
    <row r="784" spans="3:4" ht="13.2">
      <c r="C784" s="208"/>
      <c r="D784" s="208"/>
    </row>
    <row r="785" spans="3:4" ht="13.2">
      <c r="C785" s="208"/>
      <c r="D785" s="208"/>
    </row>
    <row r="786" spans="3:4" ht="13.2">
      <c r="C786" s="208"/>
      <c r="D786" s="208"/>
    </row>
    <row r="787" spans="3:4" ht="13.2">
      <c r="C787" s="208"/>
      <c r="D787" s="208"/>
    </row>
    <row r="788" spans="3:4" ht="13.2">
      <c r="C788" s="208"/>
      <c r="D788" s="208"/>
    </row>
    <row r="789" spans="3:4" ht="13.2">
      <c r="C789" s="208"/>
      <c r="D789" s="208"/>
    </row>
    <row r="790" spans="3:4" ht="13.2">
      <c r="C790" s="208"/>
      <c r="D790" s="208"/>
    </row>
    <row r="791" spans="3:4" ht="13.2">
      <c r="C791" s="208"/>
      <c r="D791" s="208"/>
    </row>
    <row r="792" spans="3:4" ht="13.2">
      <c r="C792" s="208"/>
      <c r="D792" s="208"/>
    </row>
    <row r="793" spans="3:4" ht="13.2">
      <c r="C793" s="208"/>
      <c r="D793" s="208"/>
    </row>
    <row r="794" spans="3:4" ht="13.2">
      <c r="C794" s="208"/>
      <c r="D794" s="208"/>
    </row>
    <row r="795" spans="3:4" ht="13.2">
      <c r="C795" s="208"/>
      <c r="D795" s="208"/>
    </row>
    <row r="796" spans="3:4" ht="13.2">
      <c r="C796" s="208"/>
      <c r="D796" s="208"/>
    </row>
    <row r="797" spans="3:4" ht="13.2">
      <c r="C797" s="208"/>
      <c r="D797" s="208"/>
    </row>
    <row r="798" spans="3:4" ht="13.2">
      <c r="C798" s="208"/>
      <c r="D798" s="208"/>
    </row>
    <row r="799" spans="3:4" ht="13.2">
      <c r="C799" s="208"/>
      <c r="D799" s="208"/>
    </row>
    <row r="800" spans="3:4" ht="13.2">
      <c r="C800" s="208"/>
      <c r="D800" s="208"/>
    </row>
    <row r="801" spans="3:4" ht="13.2">
      <c r="C801" s="208"/>
      <c r="D801" s="208"/>
    </row>
    <row r="802" spans="3:4" ht="13.2">
      <c r="C802" s="208"/>
      <c r="D802" s="208"/>
    </row>
    <row r="803" spans="3:4" ht="13.2">
      <c r="C803" s="208"/>
      <c r="D803" s="208"/>
    </row>
    <row r="804" spans="3:4" ht="13.2">
      <c r="C804" s="208"/>
      <c r="D804" s="208"/>
    </row>
    <row r="805" spans="3:4" ht="13.2">
      <c r="C805" s="208"/>
      <c r="D805" s="208"/>
    </row>
    <row r="806" spans="3:4" ht="13.2">
      <c r="C806" s="208"/>
      <c r="D806" s="208"/>
    </row>
    <row r="807" spans="3:4" ht="13.2">
      <c r="C807" s="208"/>
      <c r="D807" s="208"/>
    </row>
    <row r="808" spans="3:4" ht="13.2">
      <c r="C808" s="208"/>
      <c r="D808" s="208"/>
    </row>
    <row r="809" spans="3:4" ht="13.2">
      <c r="C809" s="208"/>
      <c r="D809" s="208"/>
    </row>
    <row r="810" spans="3:4" ht="13.2">
      <c r="C810" s="208"/>
      <c r="D810" s="208"/>
    </row>
    <row r="811" spans="3:4" ht="13.2">
      <c r="C811" s="208"/>
      <c r="D811" s="208"/>
    </row>
    <row r="812" spans="3:4" ht="13.2">
      <c r="C812" s="208"/>
      <c r="D812" s="208"/>
    </row>
    <row r="813" spans="3:4" ht="13.2">
      <c r="C813" s="208"/>
      <c r="D813" s="208"/>
    </row>
    <row r="814" spans="3:4" ht="13.2">
      <c r="C814" s="208"/>
      <c r="D814" s="208"/>
    </row>
    <row r="815" spans="3:4" ht="13.2">
      <c r="C815" s="208"/>
      <c r="D815" s="208"/>
    </row>
    <row r="816" spans="3:4" ht="13.2">
      <c r="C816" s="208"/>
      <c r="D816" s="208"/>
    </row>
    <row r="817" spans="3:4" ht="13.2">
      <c r="C817" s="208"/>
      <c r="D817" s="208"/>
    </row>
    <row r="818" spans="3:4" ht="13.2">
      <c r="C818" s="208"/>
      <c r="D818" s="208"/>
    </row>
    <row r="819" spans="3:4" ht="13.2">
      <c r="C819" s="208"/>
      <c r="D819" s="208"/>
    </row>
    <row r="820" spans="3:4" ht="13.2">
      <c r="C820" s="208"/>
      <c r="D820" s="208"/>
    </row>
    <row r="821" spans="3:4" ht="13.2">
      <c r="C821" s="208"/>
      <c r="D821" s="208"/>
    </row>
    <row r="822" spans="3:4" ht="13.2">
      <c r="C822" s="208"/>
      <c r="D822" s="208"/>
    </row>
    <row r="823" spans="3:4" ht="13.2">
      <c r="C823" s="208"/>
      <c r="D823" s="208"/>
    </row>
    <row r="824" spans="3:4" ht="13.2">
      <c r="C824" s="208"/>
      <c r="D824" s="208"/>
    </row>
    <row r="825" spans="3:4" ht="13.2">
      <c r="C825" s="208"/>
      <c r="D825" s="208"/>
    </row>
    <row r="826" spans="3:4" ht="13.2">
      <c r="C826" s="208"/>
      <c r="D826" s="208"/>
    </row>
    <row r="827" spans="3:4" ht="13.2">
      <c r="C827" s="208"/>
      <c r="D827" s="208"/>
    </row>
    <row r="828" spans="3:4" ht="13.2">
      <c r="C828" s="208"/>
      <c r="D828" s="208"/>
    </row>
    <row r="829" spans="3:4" ht="13.2">
      <c r="C829" s="208"/>
      <c r="D829" s="208"/>
    </row>
    <row r="830" spans="3:4" ht="13.2">
      <c r="C830" s="208"/>
      <c r="D830" s="208"/>
    </row>
    <row r="831" spans="3:4" ht="13.2">
      <c r="C831" s="208"/>
      <c r="D831" s="208"/>
    </row>
    <row r="832" spans="3:4" ht="13.2">
      <c r="C832" s="208"/>
      <c r="D832" s="208"/>
    </row>
    <row r="833" spans="3:4" ht="13.2">
      <c r="C833" s="208"/>
      <c r="D833" s="208"/>
    </row>
    <row r="834" spans="3:4" ht="13.2">
      <c r="C834" s="208"/>
      <c r="D834" s="208"/>
    </row>
    <row r="835" spans="3:4" ht="13.2">
      <c r="C835" s="208"/>
      <c r="D835" s="208"/>
    </row>
    <row r="836" spans="3:4" ht="13.2">
      <c r="C836" s="208"/>
      <c r="D836" s="208"/>
    </row>
    <row r="837" spans="3:4" ht="13.2">
      <c r="C837" s="208"/>
      <c r="D837" s="208"/>
    </row>
    <row r="838" spans="3:4" ht="13.2">
      <c r="C838" s="208"/>
      <c r="D838" s="208"/>
    </row>
    <row r="839" spans="3:4" ht="13.2">
      <c r="C839" s="208"/>
      <c r="D839" s="208"/>
    </row>
    <row r="840" spans="3:4" ht="13.2">
      <c r="C840" s="208"/>
      <c r="D840" s="208"/>
    </row>
    <row r="841" spans="3:4" ht="13.2">
      <c r="C841" s="208"/>
      <c r="D841" s="208"/>
    </row>
    <row r="842" spans="3:4" ht="13.2">
      <c r="C842" s="208"/>
      <c r="D842" s="208"/>
    </row>
    <row r="843" spans="3:4" ht="13.2">
      <c r="C843" s="208"/>
      <c r="D843" s="208"/>
    </row>
    <row r="844" spans="3:4" ht="13.2">
      <c r="C844" s="208"/>
      <c r="D844" s="208"/>
    </row>
    <row r="845" spans="3:4" ht="13.2">
      <c r="C845" s="208"/>
      <c r="D845" s="208"/>
    </row>
    <row r="846" spans="3:4" ht="13.2">
      <c r="C846" s="208"/>
      <c r="D846" s="208"/>
    </row>
    <row r="847" spans="3:4" ht="13.2">
      <c r="C847" s="208"/>
      <c r="D847" s="208"/>
    </row>
    <row r="848" spans="3:4" ht="13.2">
      <c r="C848" s="208"/>
      <c r="D848" s="208"/>
    </row>
    <row r="849" spans="3:4" ht="13.2">
      <c r="C849" s="208"/>
      <c r="D849" s="208"/>
    </row>
    <row r="850" spans="3:4" ht="13.2">
      <c r="C850" s="208"/>
      <c r="D850" s="208"/>
    </row>
    <row r="851" spans="3:4" ht="13.2">
      <c r="C851" s="208"/>
      <c r="D851" s="208"/>
    </row>
    <row r="852" spans="3:4" ht="13.2">
      <c r="C852" s="208"/>
      <c r="D852" s="208"/>
    </row>
    <row r="853" spans="3:4" ht="13.2">
      <c r="C853" s="208"/>
      <c r="D853" s="208"/>
    </row>
    <row r="854" spans="3:4" ht="13.2">
      <c r="C854" s="208"/>
      <c r="D854" s="208"/>
    </row>
    <row r="855" spans="3:4" ht="13.2">
      <c r="C855" s="208"/>
      <c r="D855" s="208"/>
    </row>
    <row r="856" spans="3:4" ht="13.2">
      <c r="C856" s="208"/>
      <c r="D856" s="208"/>
    </row>
    <row r="857" spans="3:4" ht="13.2">
      <c r="C857" s="208"/>
      <c r="D857" s="208"/>
    </row>
    <row r="858" spans="3:4" ht="13.2">
      <c r="C858" s="208"/>
      <c r="D858" s="208"/>
    </row>
    <row r="859" spans="3:4" ht="13.2">
      <c r="C859" s="208"/>
      <c r="D859" s="208"/>
    </row>
    <row r="860" spans="3:4" ht="13.2">
      <c r="C860" s="208"/>
      <c r="D860" s="208"/>
    </row>
    <row r="861" spans="3:4" ht="13.2">
      <c r="C861" s="208"/>
      <c r="D861" s="208"/>
    </row>
    <row r="862" spans="3:4" ht="13.2">
      <c r="C862" s="208"/>
      <c r="D862" s="208"/>
    </row>
    <row r="863" spans="3:4" ht="13.2">
      <c r="C863" s="208"/>
      <c r="D863" s="208"/>
    </row>
    <row r="864" spans="3:4" ht="13.2">
      <c r="C864" s="208"/>
      <c r="D864" s="208"/>
    </row>
    <row r="865" spans="3:4" ht="13.2">
      <c r="C865" s="208"/>
      <c r="D865" s="208"/>
    </row>
    <row r="866" spans="3:4" ht="13.2">
      <c r="C866" s="208"/>
      <c r="D866" s="208"/>
    </row>
    <row r="867" spans="3:4" ht="13.2">
      <c r="C867" s="208"/>
      <c r="D867" s="208"/>
    </row>
    <row r="868" spans="3:4" ht="13.2">
      <c r="C868" s="208"/>
      <c r="D868" s="208"/>
    </row>
    <row r="869" spans="3:4" ht="13.2">
      <c r="C869" s="208"/>
      <c r="D869" s="208"/>
    </row>
    <row r="870" spans="3:4" ht="13.2">
      <c r="C870" s="208"/>
      <c r="D870" s="208"/>
    </row>
    <row r="871" spans="3:4" ht="13.2">
      <c r="C871" s="208"/>
      <c r="D871" s="208"/>
    </row>
    <row r="872" spans="3:4" ht="13.2">
      <c r="C872" s="208"/>
      <c r="D872" s="208"/>
    </row>
    <row r="873" spans="3:4" ht="13.2">
      <c r="C873" s="208"/>
      <c r="D873" s="208"/>
    </row>
    <row r="874" spans="3:4" ht="13.2">
      <c r="C874" s="208"/>
      <c r="D874" s="208"/>
    </row>
    <row r="875" spans="3:4" ht="13.2">
      <c r="C875" s="208"/>
      <c r="D875" s="208"/>
    </row>
    <row r="876" spans="3:4" ht="13.2">
      <c r="C876" s="208"/>
      <c r="D876" s="208"/>
    </row>
    <row r="877" spans="3:4" ht="13.2">
      <c r="C877" s="208"/>
      <c r="D877" s="208"/>
    </row>
    <row r="878" spans="3:4" ht="13.2">
      <c r="C878" s="208"/>
      <c r="D878" s="208"/>
    </row>
    <row r="879" spans="3:4" ht="13.2">
      <c r="C879" s="208"/>
      <c r="D879" s="208"/>
    </row>
    <row r="880" spans="3:4" ht="13.2">
      <c r="C880" s="208"/>
      <c r="D880" s="208"/>
    </row>
    <row r="881" spans="3:4" ht="13.2">
      <c r="C881" s="208"/>
      <c r="D881" s="208"/>
    </row>
    <row r="882" spans="3:4" ht="13.2">
      <c r="C882" s="208"/>
      <c r="D882" s="208"/>
    </row>
    <row r="883" spans="3:4" ht="13.2">
      <c r="C883" s="208"/>
      <c r="D883" s="208"/>
    </row>
    <row r="884" spans="3:4" ht="13.2">
      <c r="C884" s="208"/>
      <c r="D884" s="208"/>
    </row>
    <row r="885" spans="3:4" ht="13.2">
      <c r="C885" s="208"/>
      <c r="D885" s="208"/>
    </row>
    <row r="886" spans="3:4" ht="13.2">
      <c r="C886" s="208"/>
      <c r="D886" s="208"/>
    </row>
    <row r="887" spans="3:4" ht="13.2">
      <c r="C887" s="208"/>
      <c r="D887" s="208"/>
    </row>
    <row r="888" spans="3:4" ht="13.2">
      <c r="C888" s="208"/>
      <c r="D888" s="208"/>
    </row>
    <row r="889" spans="3:4" ht="13.2">
      <c r="C889" s="208"/>
      <c r="D889" s="208"/>
    </row>
    <row r="890" spans="3:4" ht="13.2">
      <c r="C890" s="208"/>
      <c r="D890" s="208"/>
    </row>
    <row r="891" spans="3:4" ht="13.2">
      <c r="C891" s="208"/>
      <c r="D891" s="208"/>
    </row>
    <row r="892" spans="3:4" ht="13.2">
      <c r="C892" s="208"/>
      <c r="D892" s="208"/>
    </row>
    <row r="893" spans="3:4" ht="13.2">
      <c r="C893" s="208"/>
      <c r="D893" s="208"/>
    </row>
    <row r="894" spans="3:4" ht="13.2">
      <c r="C894" s="208"/>
      <c r="D894" s="208"/>
    </row>
    <row r="895" spans="3:4" ht="13.2">
      <c r="C895" s="208"/>
      <c r="D895" s="208"/>
    </row>
    <row r="896" spans="3:4" ht="13.2">
      <c r="C896" s="208"/>
      <c r="D896" s="208"/>
    </row>
    <row r="897" spans="3:4" ht="13.2">
      <c r="C897" s="208"/>
      <c r="D897" s="208"/>
    </row>
    <row r="898" spans="3:4" ht="13.2">
      <c r="C898" s="208"/>
      <c r="D898" s="208"/>
    </row>
    <row r="899" spans="3:4" ht="13.2">
      <c r="C899" s="208"/>
      <c r="D899" s="208"/>
    </row>
    <row r="900" spans="3:4" ht="13.2">
      <c r="C900" s="208"/>
      <c r="D900" s="208"/>
    </row>
    <row r="901" spans="3:4" ht="13.2">
      <c r="C901" s="208"/>
      <c r="D901" s="208"/>
    </row>
    <row r="902" spans="3:4" ht="13.2">
      <c r="C902" s="208"/>
      <c r="D902" s="208"/>
    </row>
    <row r="903" spans="3:4" ht="13.2">
      <c r="C903" s="208"/>
      <c r="D903" s="208"/>
    </row>
    <row r="904" spans="3:4" ht="13.2">
      <c r="C904" s="208"/>
      <c r="D904" s="208"/>
    </row>
    <row r="905" spans="3:4" ht="13.2">
      <c r="C905" s="208"/>
      <c r="D905" s="208"/>
    </row>
    <row r="906" spans="3:4" ht="13.2">
      <c r="C906" s="208"/>
      <c r="D906" s="208"/>
    </row>
    <row r="907" spans="3:4" ht="13.2">
      <c r="C907" s="208"/>
      <c r="D907" s="208"/>
    </row>
    <row r="908" spans="3:4" ht="13.2">
      <c r="C908" s="208"/>
      <c r="D908" s="208"/>
    </row>
    <row r="909" spans="3:4" ht="13.2">
      <c r="C909" s="208"/>
      <c r="D909" s="208"/>
    </row>
    <row r="910" spans="3:4" ht="13.2">
      <c r="C910" s="208"/>
      <c r="D910" s="208"/>
    </row>
    <row r="911" spans="3:4" ht="13.2">
      <c r="C911" s="208"/>
      <c r="D911" s="208"/>
    </row>
    <row r="912" spans="3:4" ht="13.2">
      <c r="C912" s="208"/>
      <c r="D912" s="208"/>
    </row>
    <row r="913" spans="3:4" ht="13.2">
      <c r="C913" s="208"/>
      <c r="D913" s="208"/>
    </row>
    <row r="914" spans="3:4" ht="13.2">
      <c r="C914" s="208"/>
      <c r="D914" s="208"/>
    </row>
    <row r="915" spans="3:4" ht="13.2">
      <c r="C915" s="208"/>
      <c r="D915" s="208"/>
    </row>
    <row r="916" spans="3:4" ht="13.2">
      <c r="C916" s="208"/>
      <c r="D916" s="208"/>
    </row>
    <row r="917" spans="3:4" ht="13.2">
      <c r="C917" s="208"/>
      <c r="D917" s="208"/>
    </row>
    <row r="918" spans="3:4" ht="13.2">
      <c r="C918" s="208"/>
      <c r="D918" s="208"/>
    </row>
    <row r="919" spans="3:4" ht="13.2">
      <c r="C919" s="208"/>
      <c r="D919" s="208"/>
    </row>
    <row r="920" spans="3:4" ht="13.2">
      <c r="C920" s="208"/>
      <c r="D920" s="208"/>
    </row>
    <row r="921" spans="3:4" ht="13.2">
      <c r="C921" s="208"/>
      <c r="D921" s="208"/>
    </row>
    <row r="922" spans="3:4" ht="13.2">
      <c r="C922" s="208"/>
      <c r="D922" s="208"/>
    </row>
    <row r="923" spans="3:4" ht="13.2">
      <c r="C923" s="208"/>
      <c r="D923" s="208"/>
    </row>
    <row r="924" spans="3:4" ht="13.2">
      <c r="C924" s="208"/>
      <c r="D924" s="208"/>
    </row>
    <row r="925" spans="3:4" ht="13.2">
      <c r="C925" s="208"/>
      <c r="D925" s="208"/>
    </row>
    <row r="926" spans="3:4" ht="13.2">
      <c r="C926" s="208"/>
      <c r="D926" s="208"/>
    </row>
    <row r="927" spans="3:4" ht="13.2">
      <c r="C927" s="208"/>
      <c r="D927" s="208"/>
    </row>
    <row r="928" spans="3:4" ht="13.2">
      <c r="C928" s="208"/>
      <c r="D928" s="208"/>
    </row>
    <row r="929" spans="3:4" ht="13.2">
      <c r="C929" s="208"/>
      <c r="D929" s="208"/>
    </row>
    <row r="930" spans="3:4" ht="13.2">
      <c r="C930" s="208"/>
      <c r="D930" s="208"/>
    </row>
    <row r="931" spans="3:4" ht="13.2">
      <c r="C931" s="208"/>
      <c r="D931" s="208"/>
    </row>
    <row r="932" spans="3:4" ht="13.2">
      <c r="C932" s="208"/>
      <c r="D932" s="208"/>
    </row>
    <row r="933" spans="3:4" ht="13.2">
      <c r="C933" s="208"/>
      <c r="D933" s="208"/>
    </row>
    <row r="934" spans="3:4" ht="13.2">
      <c r="C934" s="208"/>
      <c r="D934" s="208"/>
    </row>
    <row r="935" spans="3:4" ht="13.2">
      <c r="C935" s="208"/>
      <c r="D935" s="208"/>
    </row>
    <row r="936" spans="3:4" ht="13.2">
      <c r="C936" s="208"/>
      <c r="D936" s="208"/>
    </row>
    <row r="937" spans="3:4" ht="13.2">
      <c r="C937" s="208"/>
      <c r="D937" s="208"/>
    </row>
    <row r="938" spans="3:4" ht="13.2">
      <c r="C938" s="208"/>
      <c r="D938" s="208"/>
    </row>
    <row r="939" spans="3:4" ht="13.2">
      <c r="C939" s="208"/>
      <c r="D939" s="208"/>
    </row>
    <row r="940" spans="3:4" ht="13.2">
      <c r="C940" s="208"/>
      <c r="D940" s="208"/>
    </row>
    <row r="941" spans="3:4" ht="13.2">
      <c r="C941" s="208"/>
      <c r="D941" s="208"/>
    </row>
    <row r="942" spans="3:4" ht="13.2">
      <c r="C942" s="208"/>
      <c r="D942" s="208"/>
    </row>
    <row r="943" spans="3:4" ht="13.2">
      <c r="C943" s="208"/>
      <c r="D943" s="208"/>
    </row>
    <row r="944" spans="3:4" ht="13.2">
      <c r="C944" s="208"/>
      <c r="D944" s="208"/>
    </row>
    <row r="945" spans="3:4" ht="13.2">
      <c r="C945" s="208"/>
      <c r="D945" s="208"/>
    </row>
    <row r="946" spans="3:4" ht="13.2">
      <c r="C946" s="208"/>
      <c r="D946" s="208"/>
    </row>
    <row r="947" spans="3:4" ht="13.2">
      <c r="C947" s="208"/>
      <c r="D947" s="208"/>
    </row>
    <row r="948" spans="3:4" ht="13.2">
      <c r="C948" s="208"/>
      <c r="D948" s="208"/>
    </row>
    <row r="949" spans="3:4" ht="13.2">
      <c r="C949" s="208"/>
      <c r="D949" s="208"/>
    </row>
    <row r="950" spans="3:4" ht="13.2">
      <c r="C950" s="208"/>
      <c r="D950" s="208"/>
    </row>
    <row r="951" spans="3:4" ht="13.2">
      <c r="C951" s="208"/>
      <c r="D951" s="208"/>
    </row>
    <row r="952" spans="3:4" ht="13.2">
      <c r="C952" s="208"/>
      <c r="D952" s="208"/>
    </row>
    <row r="953" spans="3:4" ht="13.2">
      <c r="C953" s="208"/>
      <c r="D953" s="208"/>
    </row>
    <row r="954" spans="3:4" ht="13.2">
      <c r="C954" s="208"/>
      <c r="D954" s="208"/>
    </row>
    <row r="955" spans="3:4" ht="13.2">
      <c r="C955" s="208"/>
      <c r="D955" s="208"/>
    </row>
    <row r="956" spans="3:4" ht="13.2">
      <c r="C956" s="208"/>
      <c r="D956" s="208"/>
    </row>
    <row r="957" spans="3:4" ht="13.2">
      <c r="C957" s="208"/>
      <c r="D957" s="208"/>
    </row>
    <row r="958" spans="3:4" ht="13.2">
      <c r="C958" s="208"/>
      <c r="D958" s="208"/>
    </row>
    <row r="959" spans="3:4" ht="13.2">
      <c r="C959" s="208"/>
      <c r="D959" s="208"/>
    </row>
    <row r="960" spans="3:4" ht="13.2">
      <c r="C960" s="208"/>
      <c r="D960" s="208"/>
    </row>
    <row r="961" spans="3:4" ht="13.2">
      <c r="C961" s="208"/>
      <c r="D961" s="208"/>
    </row>
    <row r="962" spans="3:4" ht="13.2">
      <c r="C962" s="208"/>
      <c r="D962" s="208"/>
    </row>
    <row r="963" spans="3:4" ht="13.2">
      <c r="C963" s="208"/>
      <c r="D963" s="208"/>
    </row>
    <row r="964" spans="3:4" ht="13.2">
      <c r="C964" s="208"/>
      <c r="D964" s="208"/>
    </row>
    <row r="965" spans="3:4" ht="13.2">
      <c r="C965" s="208"/>
      <c r="D965" s="208"/>
    </row>
    <row r="966" spans="3:4" ht="13.2">
      <c r="C966" s="208"/>
      <c r="D966" s="208"/>
    </row>
    <row r="967" spans="3:4" ht="13.2">
      <c r="C967" s="208"/>
      <c r="D967" s="208"/>
    </row>
    <row r="968" spans="3:4" ht="13.2">
      <c r="C968" s="208"/>
      <c r="D968" s="208"/>
    </row>
    <row r="969" spans="3:4" ht="13.2">
      <c r="C969" s="208"/>
      <c r="D969" s="208"/>
    </row>
    <row r="970" spans="3:4" ht="13.2">
      <c r="C970" s="208"/>
      <c r="D970" s="208"/>
    </row>
    <row r="971" spans="3:4" ht="13.2">
      <c r="C971" s="208"/>
      <c r="D971" s="208"/>
    </row>
    <row r="972" spans="3:4" ht="13.2">
      <c r="C972" s="208"/>
      <c r="D972" s="208"/>
    </row>
    <row r="973" spans="3:4" ht="13.2">
      <c r="C973" s="208"/>
      <c r="D973" s="208"/>
    </row>
    <row r="974" spans="3:4" ht="13.2">
      <c r="C974" s="208"/>
      <c r="D974" s="208"/>
    </row>
    <row r="975" spans="3:4" ht="13.2">
      <c r="C975" s="208"/>
      <c r="D975" s="208"/>
    </row>
    <row r="976" spans="3:4" ht="13.2">
      <c r="C976" s="208"/>
      <c r="D976" s="208"/>
    </row>
    <row r="977" spans="3:4" ht="13.2">
      <c r="C977" s="208"/>
      <c r="D977" s="208"/>
    </row>
    <row r="978" spans="3:4" ht="13.2">
      <c r="C978" s="208"/>
      <c r="D978" s="208"/>
    </row>
    <row r="979" spans="3:4" ht="13.2">
      <c r="C979" s="208"/>
      <c r="D979" s="208"/>
    </row>
    <row r="980" spans="3:4" ht="13.2">
      <c r="C980" s="208"/>
      <c r="D980" s="208"/>
    </row>
    <row r="981" spans="3:4" ht="13.2">
      <c r="C981" s="208"/>
      <c r="D981" s="208"/>
    </row>
    <row r="982" spans="3:4" ht="13.2">
      <c r="C982" s="208"/>
      <c r="D982" s="208"/>
    </row>
    <row r="983" spans="3:4" ht="13.2">
      <c r="C983" s="208"/>
      <c r="D983" s="208"/>
    </row>
    <row r="984" spans="3:4" ht="13.2">
      <c r="C984" s="208"/>
      <c r="D984" s="208"/>
    </row>
    <row r="985" spans="3:4" ht="13.2">
      <c r="C985" s="208"/>
      <c r="D985" s="208"/>
    </row>
    <row r="986" spans="3:4" ht="13.2">
      <c r="C986" s="208"/>
      <c r="D986" s="208"/>
    </row>
    <row r="987" spans="3:4" ht="13.2">
      <c r="C987" s="208"/>
      <c r="D987" s="208"/>
    </row>
    <row r="988" spans="3:4" ht="13.2">
      <c r="C988" s="208"/>
      <c r="D988" s="208"/>
    </row>
    <row r="989" spans="3:4" ht="13.2">
      <c r="C989" s="208"/>
      <c r="D989" s="208"/>
    </row>
    <row r="990" spans="3:4" ht="13.2">
      <c r="C990" s="208"/>
      <c r="D990" s="208"/>
    </row>
    <row r="991" spans="3:4" ht="13.2">
      <c r="C991" s="208"/>
      <c r="D991" s="208"/>
    </row>
    <row r="992" spans="3:4" ht="13.2">
      <c r="C992" s="208"/>
      <c r="D992" s="208"/>
    </row>
    <row r="993" spans="3:4" ht="13.2">
      <c r="C993" s="208"/>
      <c r="D993" s="208"/>
    </row>
    <row r="994" spans="3:4" ht="13.2">
      <c r="C994" s="208"/>
      <c r="D994" s="208"/>
    </row>
    <row r="995" spans="3:4" ht="13.2">
      <c r="C995" s="208"/>
      <c r="D995" s="208"/>
    </row>
    <row r="996" spans="3:4" ht="13.2">
      <c r="C996" s="208"/>
      <c r="D996" s="208"/>
    </row>
    <row r="997" spans="3:4" ht="13.2">
      <c r="C997" s="208"/>
      <c r="D997" s="208"/>
    </row>
    <row r="998" spans="3:4" ht="13.2">
      <c r="C998" s="208"/>
      <c r="D998" s="208"/>
    </row>
    <row r="999" spans="3:4" ht="13.2">
      <c r="C999" s="208"/>
      <c r="D999" s="208"/>
    </row>
    <row r="1000" spans="3:4" ht="13.2">
      <c r="C1000" s="208"/>
      <c r="D1000" s="208"/>
    </row>
    <row r="1001" spans="3:4" ht="13.2">
      <c r="C1001" s="208"/>
      <c r="D1001" s="208"/>
    </row>
    <row r="1002" spans="3:4" ht="13.2">
      <c r="C1002" s="208"/>
      <c r="D1002" s="208"/>
    </row>
    <row r="1003" spans="3:4" ht="13.2">
      <c r="C1003" s="208"/>
      <c r="D1003" s="208"/>
    </row>
    <row r="1004" spans="3:4" ht="13.2">
      <c r="C1004" s="208"/>
      <c r="D1004" s="208"/>
    </row>
    <row r="1005" spans="3:4" ht="13.2">
      <c r="C1005" s="208"/>
      <c r="D1005" s="208"/>
    </row>
    <row r="1006" spans="3:4" ht="13.2">
      <c r="C1006" s="208"/>
      <c r="D1006" s="208"/>
    </row>
    <row r="1007" spans="3:4" ht="13.2">
      <c r="C1007" s="208"/>
      <c r="D1007" s="208"/>
    </row>
    <row r="1008" spans="3:4" ht="13.2">
      <c r="C1008" s="208"/>
      <c r="D1008" s="208"/>
    </row>
    <row r="1009" spans="3:17" ht="13.2">
      <c r="C1009" s="208"/>
      <c r="D1009" s="208"/>
      <c r="E1009" s="184"/>
      <c r="F1009" s="194"/>
      <c r="M1009" s="163"/>
      <c r="N1009" s="145"/>
      <c r="Q1009" s="145"/>
    </row>
  </sheetData>
  <autoFilter ref="B9:AB28" xr:uid="{00000000-0009-0000-0000-000007000000}"/>
  <mergeCells count="6">
    <mergeCell ref="S9:U9"/>
    <mergeCell ref="B5:J8"/>
    <mergeCell ref="K5:V6"/>
    <mergeCell ref="W5:W6"/>
    <mergeCell ref="K7:V8"/>
    <mergeCell ref="W7:W8"/>
  </mergeCells>
  <hyperlinks>
    <hyperlink ref="Z10" r:id="rId1" xr:uid="{00000000-0004-0000-07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I201"/>
  <sheetViews>
    <sheetView workbookViewId="0">
      <selection activeCell="X35" sqref="X35"/>
    </sheetView>
  </sheetViews>
  <sheetFormatPr defaultColWidth="12.6640625" defaultRowHeight="15.75" customHeight="1"/>
  <cols>
    <col min="2" max="2" width="5.109375" customWidth="1"/>
    <col min="3" max="3" width="36.109375" customWidth="1"/>
    <col min="4" max="4" width="54.44140625" customWidth="1"/>
    <col min="5" max="5" width="16.77734375" customWidth="1"/>
  </cols>
  <sheetData>
    <row r="1" spans="2:6" ht="15.75" customHeight="1">
      <c r="C1" s="178"/>
      <c r="D1" s="245"/>
      <c r="E1" s="178"/>
      <c r="F1" s="178"/>
    </row>
    <row r="2" spans="2:6" ht="15.75" customHeight="1">
      <c r="C2" s="246"/>
      <c r="D2" s="247"/>
      <c r="E2" s="246"/>
      <c r="F2" s="246"/>
    </row>
    <row r="3" spans="2:6" ht="15.75" customHeight="1">
      <c r="B3" s="248"/>
      <c r="C3" s="249"/>
      <c r="D3" s="250" t="s">
        <v>804</v>
      </c>
      <c r="E3" s="249"/>
      <c r="F3" s="251"/>
    </row>
    <row r="4" spans="2:6" ht="13.2">
      <c r="B4" s="252" t="s">
        <v>2</v>
      </c>
      <c r="C4" s="253" t="s">
        <v>805</v>
      </c>
      <c r="D4" s="254" t="s">
        <v>806</v>
      </c>
      <c r="E4" s="255" t="s">
        <v>807</v>
      </c>
      <c r="F4" s="256" t="s">
        <v>808</v>
      </c>
    </row>
    <row r="5" spans="2:6" ht="13.2">
      <c r="B5" s="257" t="s">
        <v>809</v>
      </c>
      <c r="C5" s="258"/>
      <c r="D5" s="259" t="s">
        <v>810</v>
      </c>
      <c r="E5" s="260"/>
      <c r="F5" s="261"/>
    </row>
    <row r="6" spans="2:6" ht="13.2">
      <c r="B6" s="262">
        <v>1</v>
      </c>
      <c r="C6" s="263" t="s">
        <v>811</v>
      </c>
      <c r="D6" s="264" t="s">
        <v>43</v>
      </c>
      <c r="E6" s="265">
        <v>15505000</v>
      </c>
      <c r="F6" s="266" t="s">
        <v>812</v>
      </c>
    </row>
    <row r="7" spans="2:6" ht="13.2">
      <c r="B7" s="262">
        <v>2</v>
      </c>
      <c r="C7" s="263" t="s">
        <v>813</v>
      </c>
      <c r="D7" s="267" t="s">
        <v>59</v>
      </c>
      <c r="E7" s="268">
        <v>449775000</v>
      </c>
      <c r="F7" s="266" t="s">
        <v>814</v>
      </c>
    </row>
    <row r="8" spans="2:6" ht="13.2">
      <c r="B8" s="262">
        <v>3</v>
      </c>
      <c r="C8" s="263" t="s">
        <v>811</v>
      </c>
      <c r="D8" s="267" t="s">
        <v>68</v>
      </c>
      <c r="E8" s="268">
        <v>186800000</v>
      </c>
      <c r="F8" s="266" t="s">
        <v>812</v>
      </c>
    </row>
    <row r="9" spans="2:6" ht="13.2">
      <c r="B9" s="262">
        <v>4</v>
      </c>
      <c r="C9" s="263" t="s">
        <v>815</v>
      </c>
      <c r="D9" s="267" t="s">
        <v>80</v>
      </c>
      <c r="E9" s="268">
        <v>5000000</v>
      </c>
      <c r="F9" s="266" t="s">
        <v>814</v>
      </c>
    </row>
    <row r="10" spans="2:6" ht="13.2">
      <c r="B10" s="262">
        <v>5</v>
      </c>
      <c r="C10" s="263" t="s">
        <v>816</v>
      </c>
      <c r="D10" s="267" t="s">
        <v>160</v>
      </c>
      <c r="E10" s="268">
        <v>21220000</v>
      </c>
      <c r="F10" s="266" t="s">
        <v>814</v>
      </c>
    </row>
    <row r="11" spans="2:6" ht="13.2">
      <c r="B11" s="262">
        <v>6</v>
      </c>
      <c r="C11" s="263" t="s">
        <v>816</v>
      </c>
      <c r="D11" s="267" t="s">
        <v>181</v>
      </c>
      <c r="E11" s="268">
        <v>6240000</v>
      </c>
      <c r="F11" s="266" t="s">
        <v>817</v>
      </c>
    </row>
    <row r="12" spans="2:6" ht="13.2">
      <c r="B12" s="262">
        <v>7</v>
      </c>
      <c r="C12" s="263" t="s">
        <v>816</v>
      </c>
      <c r="D12" s="267" t="s">
        <v>122</v>
      </c>
      <c r="E12" s="268">
        <v>10455000</v>
      </c>
      <c r="F12" s="266" t="s">
        <v>817</v>
      </c>
    </row>
    <row r="13" spans="2:6" ht="13.2">
      <c r="B13" s="262"/>
      <c r="C13" s="263"/>
      <c r="D13" s="267" t="s">
        <v>126</v>
      </c>
      <c r="E13" s="268">
        <v>18538000</v>
      </c>
      <c r="F13" s="269" t="s">
        <v>817</v>
      </c>
    </row>
    <row r="14" spans="2:6" ht="13.2">
      <c r="B14" s="262">
        <v>8</v>
      </c>
      <c r="C14" s="263" t="s">
        <v>818</v>
      </c>
      <c r="D14" s="267" t="s">
        <v>130</v>
      </c>
      <c r="E14" s="268">
        <v>71400000</v>
      </c>
      <c r="F14" s="266" t="s">
        <v>817</v>
      </c>
    </row>
    <row r="15" spans="2:6" ht="13.2">
      <c r="B15" s="262">
        <v>9</v>
      </c>
      <c r="C15" s="263" t="s">
        <v>819</v>
      </c>
      <c r="D15" s="267" t="s">
        <v>135</v>
      </c>
      <c r="E15" s="268">
        <v>40920000</v>
      </c>
      <c r="F15" s="266" t="s">
        <v>817</v>
      </c>
    </row>
    <row r="16" spans="2:6" ht="13.2">
      <c r="B16" s="262">
        <v>10</v>
      </c>
      <c r="C16" s="263" t="s">
        <v>820</v>
      </c>
      <c r="D16" s="267" t="s">
        <v>138</v>
      </c>
      <c r="E16" s="268">
        <v>13260000</v>
      </c>
      <c r="F16" s="266" t="s">
        <v>821</v>
      </c>
    </row>
    <row r="17" spans="2:6" ht="13.2">
      <c r="B17" s="262"/>
      <c r="C17" s="263"/>
      <c r="D17" s="267" t="s">
        <v>141</v>
      </c>
      <c r="E17" s="268">
        <v>55225000</v>
      </c>
      <c r="F17" s="266" t="s">
        <v>821</v>
      </c>
    </row>
    <row r="18" spans="2:6" ht="13.2">
      <c r="B18" s="262"/>
      <c r="C18" s="263"/>
      <c r="D18" s="267" t="s">
        <v>146</v>
      </c>
      <c r="E18" s="268">
        <v>17110000</v>
      </c>
      <c r="F18" s="270" t="s">
        <v>821</v>
      </c>
    </row>
    <row r="19" spans="2:6" ht="13.2">
      <c r="B19" s="262"/>
      <c r="C19" s="263"/>
      <c r="D19" s="267" t="s">
        <v>225</v>
      </c>
      <c r="E19" s="268">
        <v>28350000</v>
      </c>
      <c r="F19" s="270" t="s">
        <v>822</v>
      </c>
    </row>
    <row r="20" spans="2:6" ht="13.2">
      <c r="B20" s="262">
        <v>11</v>
      </c>
      <c r="C20" s="263"/>
      <c r="D20" s="271"/>
      <c r="E20" s="272"/>
      <c r="F20" s="270" t="s">
        <v>822</v>
      </c>
    </row>
    <row r="21" spans="2:6" ht="13.2">
      <c r="B21" s="273"/>
      <c r="C21" s="274"/>
      <c r="D21" s="275" t="s">
        <v>823</v>
      </c>
      <c r="E21" s="276">
        <f>SUM(E6:E20)</f>
        <v>939798000</v>
      </c>
      <c r="F21" s="270"/>
    </row>
    <row r="22" spans="2:6" ht="13.2">
      <c r="B22" s="273"/>
      <c r="C22" s="277"/>
      <c r="D22" s="278"/>
      <c r="E22" s="279"/>
      <c r="F22" s="280"/>
    </row>
    <row r="23" spans="2:6" ht="13.2">
      <c r="B23" s="281" t="s">
        <v>824</v>
      </c>
      <c r="C23" s="282"/>
      <c r="D23" s="283" t="s">
        <v>825</v>
      </c>
      <c r="E23" s="284"/>
      <c r="F23" s="269"/>
    </row>
    <row r="24" spans="2:6" ht="13.2">
      <c r="B24" s="262"/>
      <c r="C24" s="282" t="s">
        <v>826</v>
      </c>
      <c r="D24" s="264" t="s">
        <v>107</v>
      </c>
      <c r="E24" s="265">
        <v>12900000</v>
      </c>
      <c r="F24" s="269" t="s">
        <v>817</v>
      </c>
    </row>
    <row r="25" spans="2:6" ht="13.2">
      <c r="B25" s="262"/>
      <c r="C25" s="282" t="s">
        <v>826</v>
      </c>
      <c r="D25" s="264" t="s">
        <v>107</v>
      </c>
      <c r="E25" s="285">
        <v>44800000</v>
      </c>
      <c r="F25" s="269" t="s">
        <v>817</v>
      </c>
    </row>
    <row r="26" spans="2:6" ht="13.2">
      <c r="B26" s="262"/>
      <c r="C26" s="282" t="s">
        <v>826</v>
      </c>
      <c r="D26" s="267" t="s">
        <v>107</v>
      </c>
      <c r="E26" s="17">
        <v>28570000</v>
      </c>
      <c r="F26" s="269" t="s">
        <v>817</v>
      </c>
    </row>
    <row r="27" spans="2:6" ht="13.2">
      <c r="B27" s="262">
        <v>11</v>
      </c>
      <c r="C27" s="263" t="s">
        <v>827</v>
      </c>
      <c r="D27" s="267" t="s">
        <v>220</v>
      </c>
      <c r="E27" s="268">
        <v>31500000</v>
      </c>
      <c r="F27" s="266" t="s">
        <v>812</v>
      </c>
    </row>
    <row r="28" spans="2:6" ht="13.2">
      <c r="B28" s="262">
        <v>12</v>
      </c>
      <c r="C28" s="263" t="s">
        <v>828</v>
      </c>
      <c r="D28" s="286" t="s">
        <v>147</v>
      </c>
      <c r="E28" s="26">
        <v>62000000</v>
      </c>
      <c r="F28" s="266" t="s">
        <v>821</v>
      </c>
    </row>
    <row r="29" spans="2:6" ht="13.2">
      <c r="B29" s="262">
        <v>13</v>
      </c>
      <c r="C29" s="263"/>
      <c r="D29" s="142"/>
      <c r="E29" s="287"/>
      <c r="F29" s="266"/>
    </row>
    <row r="30" spans="2:6" ht="13.2">
      <c r="B30" s="288"/>
      <c r="C30" s="263"/>
      <c r="D30" s="224" t="s">
        <v>829</v>
      </c>
      <c r="E30" s="289">
        <f>SUM(E24:E29)</f>
        <v>179770000</v>
      </c>
      <c r="F30" s="266"/>
    </row>
    <row r="31" spans="2:6" ht="13.2">
      <c r="B31" s="290"/>
      <c r="C31" s="291"/>
      <c r="D31" s="292" t="s">
        <v>830</v>
      </c>
      <c r="E31" s="293">
        <f>E21+E30</f>
        <v>1119568000</v>
      </c>
      <c r="F31" s="294"/>
    </row>
    <row r="32" spans="2:6" ht="13.8">
      <c r="C32" s="246"/>
      <c r="D32" s="247"/>
      <c r="E32" s="246"/>
      <c r="F32" s="246"/>
    </row>
    <row r="33" spans="1:7" ht="13.8">
      <c r="C33" s="246"/>
      <c r="D33" s="247"/>
      <c r="E33" s="246"/>
      <c r="F33" s="246"/>
    </row>
    <row r="34" spans="1:7" ht="13.8">
      <c r="B34" s="248"/>
      <c r="C34" s="295"/>
      <c r="D34" s="296" t="s">
        <v>831</v>
      </c>
      <c r="E34" s="295"/>
      <c r="F34" s="297"/>
    </row>
    <row r="35" spans="1:7" ht="13.2">
      <c r="A35" s="33"/>
      <c r="B35" s="252" t="s">
        <v>2</v>
      </c>
      <c r="C35" s="253" t="s">
        <v>805</v>
      </c>
      <c r="D35" s="254" t="s">
        <v>806</v>
      </c>
      <c r="E35" s="255" t="s">
        <v>807</v>
      </c>
      <c r="F35" s="256" t="s">
        <v>808</v>
      </c>
    </row>
    <row r="36" spans="1:7" ht="13.2">
      <c r="B36" s="257" t="s">
        <v>809</v>
      </c>
      <c r="C36" s="258"/>
      <c r="D36" s="259" t="s">
        <v>810</v>
      </c>
      <c r="E36" s="260"/>
      <c r="F36" s="261"/>
    </row>
    <row r="37" spans="1:7" ht="13.2">
      <c r="B37" s="262">
        <v>1</v>
      </c>
      <c r="C37" s="263" t="s">
        <v>811</v>
      </c>
      <c r="D37" s="168" t="s">
        <v>212</v>
      </c>
      <c r="E37" s="298">
        <v>457480000</v>
      </c>
      <c r="F37" s="266" t="s">
        <v>812</v>
      </c>
      <c r="G37" s="299">
        <f>E37/2</f>
        <v>228740000</v>
      </c>
    </row>
    <row r="38" spans="1:7" ht="13.2">
      <c r="B38" s="262">
        <v>2</v>
      </c>
      <c r="C38" s="263" t="s">
        <v>813</v>
      </c>
      <c r="D38" s="168" t="s">
        <v>216</v>
      </c>
      <c r="E38" s="298">
        <v>186800000</v>
      </c>
      <c r="F38" s="266" t="s">
        <v>814</v>
      </c>
    </row>
    <row r="39" spans="1:7" ht="13.2">
      <c r="A39" s="61"/>
      <c r="B39" s="262">
        <v>3</v>
      </c>
      <c r="C39" s="263" t="s">
        <v>811</v>
      </c>
      <c r="D39" s="168" t="s">
        <v>229</v>
      </c>
      <c r="E39" s="298">
        <v>40920000</v>
      </c>
      <c r="F39" s="266" t="s">
        <v>812</v>
      </c>
    </row>
    <row r="40" spans="1:7" ht="13.2">
      <c r="A40" s="61"/>
      <c r="B40" s="262">
        <v>4</v>
      </c>
      <c r="C40" s="263" t="s">
        <v>815</v>
      </c>
      <c r="D40" s="168" t="s">
        <v>232</v>
      </c>
      <c r="E40" s="298">
        <v>71760000</v>
      </c>
      <c r="F40" s="266" t="s">
        <v>814</v>
      </c>
    </row>
    <row r="41" spans="1:7" ht="13.2">
      <c r="B41" s="262">
        <v>5</v>
      </c>
      <c r="C41" s="263" t="s">
        <v>816</v>
      </c>
      <c r="D41" s="168" t="s">
        <v>235</v>
      </c>
      <c r="E41" s="298">
        <v>12140000</v>
      </c>
      <c r="F41" s="266" t="s">
        <v>814</v>
      </c>
    </row>
    <row r="42" spans="1:7" ht="13.2">
      <c r="A42" s="61"/>
      <c r="B42" s="262">
        <v>6</v>
      </c>
      <c r="C42" s="263" t="s">
        <v>816</v>
      </c>
      <c r="D42" s="168" t="s">
        <v>279</v>
      </c>
      <c r="E42" s="298">
        <v>13261000</v>
      </c>
      <c r="F42" s="266" t="s">
        <v>817</v>
      </c>
    </row>
    <row r="43" spans="1:7" ht="13.2">
      <c r="A43" s="61"/>
      <c r="B43" s="262">
        <v>7</v>
      </c>
      <c r="C43" s="263" t="s">
        <v>816</v>
      </c>
      <c r="D43" s="168" t="s">
        <v>282</v>
      </c>
      <c r="E43" s="298">
        <v>12426500</v>
      </c>
      <c r="F43" s="266" t="s">
        <v>817</v>
      </c>
    </row>
    <row r="44" spans="1:7" ht="13.2">
      <c r="A44" s="61"/>
      <c r="B44" s="262"/>
      <c r="C44" s="263"/>
      <c r="D44" s="51" t="s">
        <v>319</v>
      </c>
      <c r="E44" s="300">
        <v>109896500</v>
      </c>
      <c r="F44" s="269" t="s">
        <v>817</v>
      </c>
    </row>
    <row r="45" spans="1:7" ht="13.2">
      <c r="B45" s="262">
        <v>8</v>
      </c>
      <c r="C45" s="263" t="s">
        <v>818</v>
      </c>
      <c r="D45" s="168" t="s">
        <v>294</v>
      </c>
      <c r="E45" s="298">
        <v>28850000</v>
      </c>
      <c r="F45" s="266" t="s">
        <v>817</v>
      </c>
    </row>
    <row r="46" spans="1:7" ht="13.2">
      <c r="B46" s="262">
        <v>9</v>
      </c>
      <c r="C46" s="263" t="s">
        <v>819</v>
      </c>
      <c r="D46" s="51" t="s">
        <v>303</v>
      </c>
      <c r="E46" s="300">
        <v>38510000</v>
      </c>
      <c r="F46" s="266" t="s">
        <v>817</v>
      </c>
    </row>
    <row r="47" spans="1:7" ht="13.2">
      <c r="B47" s="262">
        <v>10</v>
      </c>
      <c r="C47" s="263" t="s">
        <v>820</v>
      </c>
      <c r="D47" s="301" t="s">
        <v>353</v>
      </c>
      <c r="E47" s="287">
        <v>9224700</v>
      </c>
      <c r="F47" s="266" t="s">
        <v>821</v>
      </c>
    </row>
    <row r="48" spans="1:7" ht="13.2">
      <c r="B48" s="262"/>
      <c r="C48" s="263"/>
      <c r="D48" s="100" t="s">
        <v>361</v>
      </c>
      <c r="E48" s="272">
        <v>9000000</v>
      </c>
      <c r="F48" s="266" t="s">
        <v>821</v>
      </c>
    </row>
    <row r="49" spans="2:6" ht="13.2">
      <c r="B49" s="262"/>
      <c r="C49" s="263"/>
      <c r="D49" s="100" t="s">
        <v>361</v>
      </c>
      <c r="E49" s="272">
        <v>12535000</v>
      </c>
      <c r="F49" s="270" t="s">
        <v>821</v>
      </c>
    </row>
    <row r="50" spans="2:6" ht="13.2">
      <c r="B50" s="262"/>
      <c r="C50" s="263"/>
      <c r="D50" s="153" t="s">
        <v>455</v>
      </c>
      <c r="E50" s="272">
        <v>62791200</v>
      </c>
      <c r="F50" s="270" t="s">
        <v>822</v>
      </c>
    </row>
    <row r="51" spans="2:6" ht="13.2">
      <c r="B51" s="262">
        <v>11</v>
      </c>
      <c r="C51" s="263" t="s">
        <v>820</v>
      </c>
      <c r="D51" s="302" t="s">
        <v>496</v>
      </c>
      <c r="E51" s="272">
        <v>31005000</v>
      </c>
      <c r="F51" s="270" t="s">
        <v>822</v>
      </c>
    </row>
    <row r="52" spans="2:6" ht="13.2">
      <c r="B52" s="273"/>
      <c r="C52" s="274"/>
      <c r="D52" s="275" t="s">
        <v>823</v>
      </c>
      <c r="E52" s="276">
        <f>SUM(E37:E51)</f>
        <v>1096599900</v>
      </c>
      <c r="F52" s="270"/>
    </row>
    <row r="53" spans="2:6" ht="13.2">
      <c r="B53" s="273"/>
      <c r="C53" s="277"/>
      <c r="D53" s="278"/>
      <c r="E53" s="279"/>
      <c r="F53" s="280"/>
    </row>
    <row r="54" spans="2:6" ht="13.2">
      <c r="B54" s="281" t="s">
        <v>824</v>
      </c>
      <c r="C54" s="282"/>
      <c r="D54" s="283" t="s">
        <v>825</v>
      </c>
      <c r="E54" s="284"/>
      <c r="F54" s="269"/>
    </row>
    <row r="55" spans="2:6" ht="13.2">
      <c r="B55" s="262"/>
      <c r="C55" s="282" t="s">
        <v>826</v>
      </c>
      <c r="D55" s="303" t="s">
        <v>316</v>
      </c>
      <c r="E55" s="304">
        <v>11000000</v>
      </c>
      <c r="F55" s="269" t="s">
        <v>817</v>
      </c>
    </row>
    <row r="56" spans="2:6" ht="13.2">
      <c r="B56" s="262"/>
      <c r="C56" s="282" t="s">
        <v>826</v>
      </c>
      <c r="D56" s="305" t="s">
        <v>321</v>
      </c>
      <c r="E56" s="300">
        <v>118940000</v>
      </c>
      <c r="F56" s="269" t="s">
        <v>817</v>
      </c>
    </row>
    <row r="57" spans="2:6" ht="13.2">
      <c r="B57" s="262"/>
      <c r="C57" s="282" t="s">
        <v>826</v>
      </c>
      <c r="D57" s="305" t="s">
        <v>325</v>
      </c>
      <c r="E57" s="300">
        <v>155500000</v>
      </c>
      <c r="F57" s="269" t="s">
        <v>817</v>
      </c>
    </row>
    <row r="58" spans="2:6" ht="13.2">
      <c r="B58" s="262">
        <v>11</v>
      </c>
      <c r="C58" s="263" t="s">
        <v>827</v>
      </c>
      <c r="D58" s="168" t="s">
        <v>214</v>
      </c>
      <c r="E58" s="298">
        <v>259140600</v>
      </c>
      <c r="F58" s="266" t="s">
        <v>812</v>
      </c>
    </row>
    <row r="59" spans="2:6" ht="13.2">
      <c r="B59" s="262">
        <v>12</v>
      </c>
      <c r="C59" s="263" t="s">
        <v>828</v>
      </c>
      <c r="D59" s="168" t="s">
        <v>358</v>
      </c>
      <c r="E59" s="287">
        <v>38646250</v>
      </c>
      <c r="F59" s="266" t="s">
        <v>821</v>
      </c>
    </row>
    <row r="60" spans="2:6" ht="13.2">
      <c r="B60" s="262">
        <v>13</v>
      </c>
      <c r="C60" s="263" t="s">
        <v>828</v>
      </c>
      <c r="D60" s="168" t="s">
        <v>369</v>
      </c>
      <c r="E60" s="287">
        <v>12630000</v>
      </c>
      <c r="F60" s="266" t="s">
        <v>821</v>
      </c>
    </row>
    <row r="61" spans="2:6" ht="13.2">
      <c r="B61" s="288"/>
      <c r="C61" s="263"/>
      <c r="D61" s="224" t="s">
        <v>829</v>
      </c>
      <c r="E61" s="289">
        <f>SUM(E55:E60)</f>
        <v>595856850</v>
      </c>
      <c r="F61" s="266"/>
    </row>
    <row r="62" spans="2:6" ht="13.2">
      <c r="B62" s="290"/>
      <c r="C62" s="291"/>
      <c r="D62" s="292" t="s">
        <v>830</v>
      </c>
      <c r="E62" s="293">
        <f>E52+E61</f>
        <v>1692456750</v>
      </c>
      <c r="F62" s="294"/>
    </row>
    <row r="63" spans="2:6" ht="13.2">
      <c r="C63" s="306"/>
      <c r="D63" s="227"/>
      <c r="E63" s="227"/>
      <c r="F63" s="227"/>
    </row>
    <row r="64" spans="2:6" ht="13.8">
      <c r="B64" s="248"/>
      <c r="C64" s="307"/>
      <c r="D64" s="308" t="s">
        <v>832</v>
      </c>
      <c r="E64" s="309"/>
      <c r="F64" s="310"/>
    </row>
    <row r="65" spans="2:9" ht="13.2">
      <c r="B65" s="252" t="s">
        <v>2</v>
      </c>
      <c r="C65" s="311" t="s">
        <v>805</v>
      </c>
      <c r="D65" s="312" t="s">
        <v>806</v>
      </c>
      <c r="E65" s="313" t="s">
        <v>807</v>
      </c>
      <c r="F65" s="314" t="s">
        <v>808</v>
      </c>
    </row>
    <row r="66" spans="2:9" ht="13.2">
      <c r="B66" s="257" t="s">
        <v>809</v>
      </c>
      <c r="C66" s="315"/>
      <c r="D66" s="259" t="s">
        <v>810</v>
      </c>
      <c r="E66" s="316"/>
      <c r="F66" s="261"/>
    </row>
    <row r="67" spans="2:9" ht="13.2">
      <c r="B67" s="262">
        <v>1</v>
      </c>
      <c r="C67" s="263" t="s">
        <v>833</v>
      </c>
      <c r="D67" s="155" t="s">
        <v>834</v>
      </c>
      <c r="E67" s="298">
        <v>7800000</v>
      </c>
      <c r="F67" s="266" t="s">
        <v>812</v>
      </c>
    </row>
    <row r="68" spans="2:9" ht="13.2">
      <c r="B68" s="262">
        <v>2</v>
      </c>
      <c r="C68" s="263" t="s">
        <v>819</v>
      </c>
      <c r="D68" s="155" t="s">
        <v>191</v>
      </c>
      <c r="E68" s="317">
        <v>7300000</v>
      </c>
      <c r="F68" s="266" t="s">
        <v>812</v>
      </c>
    </row>
    <row r="69" spans="2:9" ht="13.2">
      <c r="B69" s="262">
        <v>3</v>
      </c>
      <c r="C69" s="263" t="s">
        <v>833</v>
      </c>
      <c r="D69" s="20" t="s">
        <v>188</v>
      </c>
      <c r="E69" s="318">
        <v>4900000</v>
      </c>
      <c r="F69" s="266" t="s">
        <v>812</v>
      </c>
    </row>
    <row r="70" spans="2:9" ht="13.2">
      <c r="B70" s="262">
        <v>4</v>
      </c>
      <c r="C70" s="263" t="s">
        <v>816</v>
      </c>
      <c r="D70" s="155" t="s">
        <v>206</v>
      </c>
      <c r="E70" s="298">
        <v>8280000</v>
      </c>
      <c r="F70" s="266" t="s">
        <v>812</v>
      </c>
    </row>
    <row r="71" spans="2:9" ht="13.2">
      <c r="B71" s="262">
        <v>5</v>
      </c>
      <c r="C71" s="319" t="s">
        <v>816</v>
      </c>
      <c r="D71" s="320" t="s">
        <v>252</v>
      </c>
      <c r="E71" s="317">
        <v>5028000</v>
      </c>
      <c r="F71" s="266" t="s">
        <v>812</v>
      </c>
    </row>
    <row r="72" spans="2:9" ht="13.2">
      <c r="B72" s="262"/>
      <c r="C72" s="263"/>
      <c r="D72" s="321" t="s">
        <v>548</v>
      </c>
      <c r="E72" s="322">
        <v>13660000</v>
      </c>
      <c r="F72" s="266" t="s">
        <v>835</v>
      </c>
      <c r="I72" s="323"/>
    </row>
    <row r="73" spans="2:9" ht="13.2">
      <c r="B73" s="262">
        <v>6</v>
      </c>
      <c r="C73" s="263" t="s">
        <v>815</v>
      </c>
      <c r="D73" s="155" t="s">
        <v>276</v>
      </c>
      <c r="E73" s="298">
        <v>5028000</v>
      </c>
      <c r="F73" s="266" t="s">
        <v>817</v>
      </c>
      <c r="I73" s="323"/>
    </row>
    <row r="74" spans="2:9" ht="13.2">
      <c r="B74" s="262">
        <v>7</v>
      </c>
      <c r="C74" s="263" t="s">
        <v>816</v>
      </c>
      <c r="D74" s="155" t="s">
        <v>342</v>
      </c>
      <c r="E74" s="324">
        <v>4294200</v>
      </c>
      <c r="F74" s="266" t="s">
        <v>821</v>
      </c>
    </row>
    <row r="75" spans="2:9" ht="13.2">
      <c r="B75" s="262">
        <v>8</v>
      </c>
      <c r="C75" s="263" t="s">
        <v>816</v>
      </c>
      <c r="D75" s="155" t="s">
        <v>342</v>
      </c>
      <c r="E75" s="298">
        <v>5100000</v>
      </c>
      <c r="F75" s="266" t="s">
        <v>821</v>
      </c>
    </row>
    <row r="76" spans="2:9" ht="13.2">
      <c r="B76" s="262">
        <v>9</v>
      </c>
      <c r="C76" s="263" t="s">
        <v>813</v>
      </c>
      <c r="D76" s="155" t="s">
        <v>386</v>
      </c>
      <c r="E76" s="298">
        <v>104050000</v>
      </c>
      <c r="F76" s="266" t="s">
        <v>821</v>
      </c>
    </row>
    <row r="77" spans="2:9" ht="13.2">
      <c r="B77" s="262">
        <v>10</v>
      </c>
      <c r="C77" s="263" t="s">
        <v>836</v>
      </c>
      <c r="D77" s="155" t="s">
        <v>837</v>
      </c>
      <c r="E77" s="298">
        <v>625700000</v>
      </c>
      <c r="F77" s="266" t="s">
        <v>822</v>
      </c>
    </row>
    <row r="78" spans="2:9" ht="13.2">
      <c r="B78" s="262">
        <v>11</v>
      </c>
      <c r="C78" s="263" t="s">
        <v>836</v>
      </c>
      <c r="D78" s="155" t="s">
        <v>459</v>
      </c>
      <c r="E78" s="298">
        <v>6365000</v>
      </c>
      <c r="F78" s="266" t="s">
        <v>822</v>
      </c>
    </row>
    <row r="79" spans="2:9" ht="13.2">
      <c r="B79" s="262">
        <v>12</v>
      </c>
      <c r="C79" s="263" t="s">
        <v>815</v>
      </c>
      <c r="D79" s="155" t="s">
        <v>466</v>
      </c>
      <c r="E79" s="298">
        <v>21200000</v>
      </c>
      <c r="F79" s="266" t="s">
        <v>822</v>
      </c>
    </row>
    <row r="80" spans="2:9" ht="13.2">
      <c r="B80" s="262">
        <v>13</v>
      </c>
      <c r="C80" s="263" t="s">
        <v>816</v>
      </c>
      <c r="D80" s="155" t="s">
        <v>472</v>
      </c>
      <c r="E80" s="298">
        <v>11795000</v>
      </c>
      <c r="F80" s="266" t="s">
        <v>822</v>
      </c>
    </row>
    <row r="81" spans="2:6" ht="13.2">
      <c r="B81" s="262">
        <v>14</v>
      </c>
      <c r="C81" s="263" t="s">
        <v>816</v>
      </c>
      <c r="D81" s="155" t="s">
        <v>484</v>
      </c>
      <c r="E81" s="298">
        <v>37663500</v>
      </c>
      <c r="F81" s="266" t="s">
        <v>822</v>
      </c>
    </row>
    <row r="82" spans="2:6" ht="13.2">
      <c r="B82" s="262"/>
      <c r="C82" s="263" t="s">
        <v>816</v>
      </c>
      <c r="D82" s="155" t="s">
        <v>498</v>
      </c>
      <c r="E82" s="272">
        <v>57426500</v>
      </c>
      <c r="F82" s="266" t="s">
        <v>822</v>
      </c>
    </row>
    <row r="83" spans="2:6" ht="13.2">
      <c r="B83" s="262"/>
      <c r="C83" s="274"/>
      <c r="D83" s="155" t="s">
        <v>525</v>
      </c>
      <c r="E83" s="102">
        <v>56400000</v>
      </c>
      <c r="F83" s="270"/>
    </row>
    <row r="84" spans="2:6" ht="13.2">
      <c r="B84" s="262"/>
      <c r="C84" s="274"/>
      <c r="D84" s="155" t="s">
        <v>545</v>
      </c>
      <c r="E84" s="325">
        <v>11000000</v>
      </c>
      <c r="F84" s="270"/>
    </row>
    <row r="85" spans="2:6" ht="13.2">
      <c r="B85" s="262"/>
      <c r="C85" s="274"/>
      <c r="D85" s="321" t="s">
        <v>578</v>
      </c>
      <c r="E85" s="322">
        <v>20000000</v>
      </c>
      <c r="F85" s="270"/>
    </row>
    <row r="86" spans="2:6" ht="13.2">
      <c r="B86" s="262"/>
      <c r="C86" s="274"/>
      <c r="D86" s="326" t="s">
        <v>408</v>
      </c>
      <c r="E86" s="327">
        <v>39510000</v>
      </c>
      <c r="F86" s="270"/>
    </row>
    <row r="87" spans="2:6" ht="13.2">
      <c r="B87" s="273"/>
      <c r="C87" s="274"/>
      <c r="D87" s="328" t="s">
        <v>823</v>
      </c>
      <c r="E87" s="276">
        <f>SUM(E67:E86)</f>
        <v>1052500200</v>
      </c>
      <c r="F87" s="270"/>
    </row>
    <row r="88" spans="2:6" ht="13.2">
      <c r="B88" s="273"/>
      <c r="C88" s="277"/>
      <c r="D88" s="329"/>
      <c r="E88" s="278"/>
      <c r="F88" s="280"/>
    </row>
    <row r="89" spans="2:6" ht="13.2">
      <c r="B89" s="281" t="s">
        <v>824</v>
      </c>
      <c r="C89" s="282"/>
      <c r="D89" s="330" t="s">
        <v>825</v>
      </c>
      <c r="E89" s="221"/>
      <c r="F89" s="269"/>
    </row>
    <row r="90" spans="2:6" ht="13.2">
      <c r="B90" s="262">
        <v>15</v>
      </c>
      <c r="C90" s="263" t="s">
        <v>838</v>
      </c>
      <c r="D90" s="155" t="s">
        <v>50</v>
      </c>
      <c r="E90" s="298">
        <v>2300000</v>
      </c>
      <c r="F90" s="266" t="s">
        <v>839</v>
      </c>
    </row>
    <row r="91" spans="2:6" ht="13.2">
      <c r="B91" s="262">
        <v>16</v>
      </c>
      <c r="C91" s="263" t="s">
        <v>840</v>
      </c>
      <c r="D91" s="331" t="s">
        <v>148</v>
      </c>
      <c r="E91" s="332">
        <v>45553200</v>
      </c>
      <c r="F91" s="266" t="s">
        <v>839</v>
      </c>
    </row>
    <row r="92" spans="2:6" ht="13.2">
      <c r="B92" s="262">
        <v>17</v>
      </c>
      <c r="C92" s="263" t="s">
        <v>840</v>
      </c>
      <c r="D92" s="155" t="s">
        <v>451</v>
      </c>
      <c r="E92" s="298">
        <v>9008300</v>
      </c>
      <c r="F92" s="266" t="s">
        <v>822</v>
      </c>
    </row>
    <row r="93" spans="2:6" ht="13.2">
      <c r="B93" s="262">
        <v>18</v>
      </c>
      <c r="C93" s="263" t="s">
        <v>840</v>
      </c>
      <c r="D93" s="155" t="s">
        <v>479</v>
      </c>
      <c r="E93" s="298">
        <v>68698700</v>
      </c>
      <c r="F93" s="266" t="s">
        <v>822</v>
      </c>
    </row>
    <row r="94" spans="2:6" ht="13.2">
      <c r="B94" s="262">
        <v>19</v>
      </c>
      <c r="C94" s="263" t="s">
        <v>838</v>
      </c>
      <c r="D94" s="155" t="s">
        <v>493</v>
      </c>
      <c r="E94" s="298">
        <v>149652444</v>
      </c>
      <c r="F94" s="266" t="s">
        <v>822</v>
      </c>
    </row>
    <row r="95" spans="2:6" ht="13.2">
      <c r="B95" s="262">
        <v>20</v>
      </c>
      <c r="C95" s="263" t="s">
        <v>840</v>
      </c>
      <c r="D95" s="155" t="s">
        <v>500</v>
      </c>
      <c r="E95" s="272">
        <v>14625000</v>
      </c>
      <c r="F95" s="266" t="s">
        <v>822</v>
      </c>
    </row>
    <row r="96" spans="2:6" ht="13.2">
      <c r="B96" s="262">
        <v>21</v>
      </c>
      <c r="C96" s="263" t="s">
        <v>840</v>
      </c>
      <c r="D96" s="155" t="s">
        <v>501</v>
      </c>
      <c r="E96" s="272">
        <v>11000000</v>
      </c>
      <c r="F96" s="266" t="s">
        <v>822</v>
      </c>
    </row>
    <row r="97" spans="2:6" ht="13.2">
      <c r="B97" s="262">
        <v>22</v>
      </c>
      <c r="C97" s="263" t="s">
        <v>840</v>
      </c>
      <c r="D97" s="155" t="s">
        <v>502</v>
      </c>
      <c r="E97" s="272">
        <v>13000000</v>
      </c>
      <c r="F97" s="266" t="s">
        <v>822</v>
      </c>
    </row>
    <row r="98" spans="2:6" ht="13.2">
      <c r="B98" s="288"/>
      <c r="C98" s="263"/>
      <c r="D98" s="224" t="s">
        <v>829</v>
      </c>
      <c r="E98" s="289">
        <f>SUM(E90:E97)</f>
        <v>313837644</v>
      </c>
      <c r="F98" s="266"/>
    </row>
    <row r="99" spans="2:6" ht="13.2">
      <c r="B99" s="290"/>
      <c r="C99" s="291"/>
      <c r="D99" s="292" t="s">
        <v>830</v>
      </c>
      <c r="E99" s="293">
        <f>E87+E98</f>
        <v>1366337844</v>
      </c>
      <c r="F99" s="294"/>
    </row>
    <row r="100" spans="2:6" ht="13.2">
      <c r="C100" s="306"/>
      <c r="D100" s="227"/>
      <c r="E100" s="227"/>
      <c r="F100" s="227"/>
    </row>
    <row r="101" spans="2:6" ht="13.2">
      <c r="C101" s="208"/>
    </row>
    <row r="102" spans="2:6" ht="13.2">
      <c r="C102" s="208"/>
    </row>
    <row r="103" spans="2:6" ht="13.8">
      <c r="B103" s="248"/>
      <c r="C103" s="333"/>
      <c r="D103" s="334" t="s">
        <v>841</v>
      </c>
      <c r="E103" s="335"/>
      <c r="F103" s="336"/>
    </row>
    <row r="104" spans="2:6" ht="13.2">
      <c r="B104" s="252" t="s">
        <v>2</v>
      </c>
      <c r="C104" s="311" t="s">
        <v>805</v>
      </c>
      <c r="D104" s="312" t="s">
        <v>806</v>
      </c>
      <c r="E104" s="313" t="s">
        <v>807</v>
      </c>
      <c r="F104" s="314" t="s">
        <v>808</v>
      </c>
    </row>
    <row r="105" spans="2:6" ht="13.2">
      <c r="B105" s="257" t="s">
        <v>809</v>
      </c>
      <c r="C105" s="315"/>
      <c r="D105" s="259" t="s">
        <v>810</v>
      </c>
      <c r="E105" s="316"/>
      <c r="F105" s="261"/>
    </row>
    <row r="106" spans="2:6" ht="13.2">
      <c r="B106" s="262">
        <v>1</v>
      </c>
      <c r="C106" s="263" t="s">
        <v>813</v>
      </c>
      <c r="D106" s="169" t="s">
        <v>513</v>
      </c>
      <c r="E106" s="325">
        <v>166800000</v>
      </c>
      <c r="F106" s="266" t="s">
        <v>822</v>
      </c>
    </row>
    <row r="107" spans="2:6" ht="13.2">
      <c r="B107" s="262">
        <v>2</v>
      </c>
      <c r="C107" s="263"/>
      <c r="D107" s="337" t="s">
        <v>527</v>
      </c>
      <c r="E107" s="338">
        <v>47400000</v>
      </c>
      <c r="F107" s="266" t="s">
        <v>822</v>
      </c>
    </row>
    <row r="108" spans="2:6" ht="13.2">
      <c r="B108" s="262">
        <v>3</v>
      </c>
      <c r="C108" s="263"/>
      <c r="D108" s="169" t="s">
        <v>532</v>
      </c>
      <c r="E108" s="339">
        <v>459028500</v>
      </c>
      <c r="F108" s="266" t="s">
        <v>835</v>
      </c>
    </row>
    <row r="109" spans="2:6" ht="13.2">
      <c r="B109" s="262">
        <v>5</v>
      </c>
      <c r="C109" s="319"/>
      <c r="D109" s="337" t="s">
        <v>551</v>
      </c>
      <c r="E109" s="322">
        <v>6240000</v>
      </c>
      <c r="F109" s="266" t="s">
        <v>835</v>
      </c>
    </row>
    <row r="110" spans="2:6" ht="13.2">
      <c r="B110" s="262">
        <v>6</v>
      </c>
      <c r="C110" s="263"/>
      <c r="D110" s="337" t="s">
        <v>554</v>
      </c>
      <c r="E110" s="322">
        <v>63655000</v>
      </c>
      <c r="F110" s="266" t="s">
        <v>835</v>
      </c>
    </row>
    <row r="111" spans="2:6" ht="13.2">
      <c r="B111" s="262">
        <v>7</v>
      </c>
      <c r="C111" s="263"/>
      <c r="D111" s="337" t="s">
        <v>558</v>
      </c>
      <c r="E111" s="322">
        <v>56050000</v>
      </c>
      <c r="F111" s="266" t="s">
        <v>835</v>
      </c>
    </row>
    <row r="112" spans="2:6" ht="13.2">
      <c r="B112" s="262">
        <v>8</v>
      </c>
      <c r="C112" s="263"/>
      <c r="D112" s="337" t="s">
        <v>561</v>
      </c>
      <c r="E112" s="322">
        <v>11040000</v>
      </c>
      <c r="F112" s="266" t="s">
        <v>835</v>
      </c>
    </row>
    <row r="113" spans="2:6" ht="13.2">
      <c r="B113" s="262">
        <v>9</v>
      </c>
      <c r="C113" s="263"/>
      <c r="D113" s="337" t="s">
        <v>565</v>
      </c>
      <c r="E113" s="322">
        <v>13912500</v>
      </c>
      <c r="F113" s="266" t="s">
        <v>835</v>
      </c>
    </row>
    <row r="114" spans="2:6" ht="13.2">
      <c r="B114" s="262">
        <v>10</v>
      </c>
      <c r="C114" s="263"/>
      <c r="D114" s="337" t="s">
        <v>568</v>
      </c>
      <c r="E114" s="322">
        <v>18790500</v>
      </c>
      <c r="F114" s="266" t="s">
        <v>835</v>
      </c>
    </row>
    <row r="115" spans="2:6" ht="13.2">
      <c r="B115" s="262">
        <v>11</v>
      </c>
      <c r="C115" s="263"/>
      <c r="D115" s="337" t="s">
        <v>571</v>
      </c>
      <c r="E115" s="322">
        <v>56000000</v>
      </c>
      <c r="F115" s="266" t="s">
        <v>835</v>
      </c>
    </row>
    <row r="116" spans="2:6" ht="13.2">
      <c r="B116" s="262">
        <v>12</v>
      </c>
      <c r="C116" s="263"/>
      <c r="D116" s="337" t="s">
        <v>574</v>
      </c>
      <c r="E116" s="322">
        <v>57775000</v>
      </c>
      <c r="F116" s="266" t="s">
        <v>835</v>
      </c>
    </row>
    <row r="117" spans="2:6" ht="13.2">
      <c r="B117" s="262">
        <v>13</v>
      </c>
      <c r="C117" s="263"/>
      <c r="D117" s="337" t="s">
        <v>581</v>
      </c>
      <c r="E117" s="322">
        <v>20000000</v>
      </c>
      <c r="F117" s="266" t="s">
        <v>835</v>
      </c>
    </row>
    <row r="118" spans="2:6" ht="13.2">
      <c r="B118" s="262">
        <v>14</v>
      </c>
      <c r="C118" s="263"/>
      <c r="D118" s="337" t="s">
        <v>584</v>
      </c>
      <c r="E118" s="322">
        <v>20300000</v>
      </c>
      <c r="F118" s="266" t="s">
        <v>835</v>
      </c>
    </row>
    <row r="119" spans="2:6" ht="13.2">
      <c r="B119" s="262"/>
      <c r="C119" s="263"/>
      <c r="D119" s="195" t="s">
        <v>587</v>
      </c>
      <c r="E119" s="272">
        <v>22295000</v>
      </c>
      <c r="F119" s="266" t="s">
        <v>835</v>
      </c>
    </row>
    <row r="120" spans="2:6" ht="13.2">
      <c r="B120" s="262"/>
      <c r="C120" s="274"/>
      <c r="D120" s="195" t="s">
        <v>598</v>
      </c>
      <c r="E120" s="340">
        <v>12900000</v>
      </c>
      <c r="F120" s="270"/>
    </row>
    <row r="121" spans="2:6" ht="13.2">
      <c r="B121" s="273"/>
      <c r="C121" s="274"/>
      <c r="D121" s="328" t="s">
        <v>823</v>
      </c>
      <c r="E121" s="341">
        <f>SUM(E106:E120)</f>
        <v>1032186500</v>
      </c>
      <c r="F121" s="270"/>
    </row>
    <row r="122" spans="2:6" ht="13.2">
      <c r="B122" s="273"/>
      <c r="C122" s="277"/>
      <c r="D122" s="329"/>
      <c r="E122" s="278"/>
      <c r="F122" s="280"/>
    </row>
    <row r="123" spans="2:6" ht="13.2">
      <c r="B123" s="281" t="s">
        <v>824</v>
      </c>
      <c r="C123" s="282"/>
      <c r="D123" s="330" t="s">
        <v>825</v>
      </c>
      <c r="E123" s="221"/>
      <c r="F123" s="269"/>
    </row>
    <row r="124" spans="2:6" ht="13.2">
      <c r="B124" s="262">
        <v>15</v>
      </c>
      <c r="C124" s="263"/>
      <c r="D124" s="169" t="s">
        <v>563</v>
      </c>
      <c r="E124" s="325">
        <v>40058000</v>
      </c>
      <c r="F124" s="266" t="s">
        <v>835</v>
      </c>
    </row>
    <row r="125" spans="2:6" ht="13.2">
      <c r="B125" s="262">
        <v>16</v>
      </c>
      <c r="C125" s="263"/>
      <c r="D125" s="342" t="s">
        <v>576</v>
      </c>
      <c r="E125" s="322">
        <v>29500000</v>
      </c>
      <c r="F125" s="266" t="s">
        <v>835</v>
      </c>
    </row>
    <row r="126" spans="2:6" ht="13.2">
      <c r="B126" s="262">
        <v>17</v>
      </c>
      <c r="C126" s="263"/>
      <c r="D126" s="195" t="s">
        <v>600</v>
      </c>
      <c r="E126" s="343">
        <v>52241144</v>
      </c>
      <c r="F126" s="266" t="s">
        <v>835</v>
      </c>
    </row>
    <row r="127" spans="2:6" ht="13.2">
      <c r="B127" s="262">
        <v>18</v>
      </c>
      <c r="C127" s="263"/>
      <c r="D127" s="169" t="s">
        <v>725</v>
      </c>
      <c r="E127" s="102">
        <v>42500000</v>
      </c>
      <c r="F127" s="266" t="s">
        <v>842</v>
      </c>
    </row>
    <row r="128" spans="2:6" ht="13.2">
      <c r="B128" s="262">
        <v>19</v>
      </c>
      <c r="C128" s="263"/>
      <c r="D128" s="169"/>
      <c r="E128" s="298"/>
      <c r="F128" s="266"/>
    </row>
    <row r="129" spans="2:6" ht="13.2">
      <c r="B129" s="262">
        <v>20</v>
      </c>
      <c r="C129" s="263"/>
      <c r="D129" s="169"/>
      <c r="E129" s="272"/>
      <c r="F129" s="266"/>
    </row>
    <row r="130" spans="2:6" ht="13.2">
      <c r="B130" s="262">
        <v>21</v>
      </c>
      <c r="C130" s="263"/>
      <c r="D130" s="169"/>
      <c r="E130" s="272"/>
      <c r="F130" s="266"/>
    </row>
    <row r="131" spans="2:6" ht="13.2">
      <c r="B131" s="262">
        <v>22</v>
      </c>
      <c r="C131" s="263"/>
      <c r="D131" s="169"/>
      <c r="E131" s="272"/>
      <c r="F131" s="266"/>
    </row>
    <row r="132" spans="2:6" ht="13.2">
      <c r="B132" s="288"/>
      <c r="C132" s="263"/>
      <c r="D132" s="224" t="s">
        <v>829</v>
      </c>
      <c r="E132" s="344">
        <f>SUM(E124:E128)</f>
        <v>164299144</v>
      </c>
      <c r="F132" s="266"/>
    </row>
    <row r="133" spans="2:6" ht="13.2">
      <c r="B133" s="290"/>
      <c r="C133" s="291"/>
      <c r="D133" s="292" t="s">
        <v>830</v>
      </c>
      <c r="E133" s="345">
        <f>E121+E132</f>
        <v>1196485644</v>
      </c>
      <c r="F133" s="294"/>
    </row>
    <row r="137" spans="2:6" ht="13.8">
      <c r="B137" s="248"/>
      <c r="C137" s="346"/>
      <c r="D137" s="347" t="s">
        <v>843</v>
      </c>
      <c r="E137" s="348"/>
      <c r="F137" s="349"/>
    </row>
    <row r="138" spans="2:6" ht="13.2">
      <c r="B138" s="252" t="s">
        <v>2</v>
      </c>
      <c r="C138" s="311" t="s">
        <v>805</v>
      </c>
      <c r="D138" s="312" t="s">
        <v>806</v>
      </c>
      <c r="E138" s="313" t="s">
        <v>807</v>
      </c>
      <c r="F138" s="314" t="s">
        <v>808</v>
      </c>
    </row>
    <row r="139" spans="2:6" ht="13.2">
      <c r="B139" s="257" t="s">
        <v>809</v>
      </c>
      <c r="C139" s="315"/>
      <c r="D139" s="259" t="s">
        <v>810</v>
      </c>
      <c r="E139" s="316"/>
      <c r="F139" s="261"/>
    </row>
    <row r="140" spans="2:6" ht="13.2">
      <c r="B140" s="262">
        <v>1</v>
      </c>
      <c r="C140" s="263"/>
      <c r="D140" s="201" t="s">
        <v>603</v>
      </c>
      <c r="E140" s="343">
        <v>510205000</v>
      </c>
      <c r="F140" s="266" t="s">
        <v>835</v>
      </c>
    </row>
    <row r="141" spans="2:6" ht="13.2">
      <c r="B141" s="262">
        <v>2</v>
      </c>
      <c r="C141" s="263" t="s">
        <v>813</v>
      </c>
      <c r="D141" s="201" t="s">
        <v>606</v>
      </c>
      <c r="E141" s="343">
        <v>167600000</v>
      </c>
      <c r="F141" s="266" t="s">
        <v>835</v>
      </c>
    </row>
    <row r="142" spans="2:6" ht="13.2">
      <c r="B142" s="262">
        <v>3</v>
      </c>
      <c r="C142" s="263"/>
      <c r="D142" s="225" t="s">
        <v>615</v>
      </c>
      <c r="E142" s="325">
        <v>9875000</v>
      </c>
      <c r="F142" s="266" t="s">
        <v>842</v>
      </c>
    </row>
    <row r="143" spans="2:6" ht="13.2">
      <c r="B143" s="262">
        <v>4</v>
      </c>
      <c r="C143" s="263"/>
      <c r="D143" s="350" t="s">
        <v>618</v>
      </c>
      <c r="E143" s="322">
        <v>12675000</v>
      </c>
      <c r="F143" s="266" t="s">
        <v>842</v>
      </c>
    </row>
    <row r="144" spans="2:6" ht="13.2">
      <c r="B144" s="262">
        <v>5</v>
      </c>
      <c r="C144" s="319"/>
      <c r="D144" s="350" t="s">
        <v>621</v>
      </c>
      <c r="E144" s="322">
        <v>12420000</v>
      </c>
      <c r="F144" s="266" t="s">
        <v>842</v>
      </c>
    </row>
    <row r="145" spans="2:6" ht="13.2">
      <c r="B145" s="262">
        <v>6</v>
      </c>
      <c r="C145" s="263"/>
      <c r="D145" s="350" t="s">
        <v>625</v>
      </c>
      <c r="E145" s="322">
        <v>68930000</v>
      </c>
      <c r="F145" s="266" t="s">
        <v>842</v>
      </c>
    </row>
    <row r="146" spans="2:6" ht="13.2">
      <c r="B146" s="262">
        <v>7</v>
      </c>
      <c r="C146" s="263"/>
      <c r="D146" s="350" t="s">
        <v>628</v>
      </c>
      <c r="E146" s="322">
        <v>56085000</v>
      </c>
      <c r="F146" s="266" t="s">
        <v>842</v>
      </c>
    </row>
    <row r="147" spans="2:6" ht="13.2">
      <c r="B147" s="262">
        <v>8</v>
      </c>
      <c r="C147" s="263"/>
      <c r="D147" s="350" t="s">
        <v>631</v>
      </c>
      <c r="E147" s="322">
        <v>11544000</v>
      </c>
      <c r="F147" s="266" t="s">
        <v>842</v>
      </c>
    </row>
    <row r="148" spans="2:6" ht="13.2">
      <c r="B148" s="262">
        <v>9</v>
      </c>
      <c r="C148" s="263"/>
      <c r="D148" s="350" t="s">
        <v>634</v>
      </c>
      <c r="E148" s="322">
        <v>20000000</v>
      </c>
      <c r="F148" s="266" t="s">
        <v>842</v>
      </c>
    </row>
    <row r="149" spans="2:6" ht="13.2">
      <c r="B149" s="262">
        <v>10</v>
      </c>
      <c r="C149" s="263"/>
      <c r="D149" s="350" t="s">
        <v>637</v>
      </c>
      <c r="E149" s="322">
        <v>70400000</v>
      </c>
      <c r="F149" s="266" t="s">
        <v>842</v>
      </c>
    </row>
    <row r="150" spans="2:6" ht="13.2">
      <c r="B150" s="262">
        <v>11</v>
      </c>
      <c r="C150" s="263"/>
      <c r="D150" s="350" t="s">
        <v>644</v>
      </c>
      <c r="E150" s="322">
        <v>3200000</v>
      </c>
      <c r="F150" s="266" t="s">
        <v>842</v>
      </c>
    </row>
    <row r="151" spans="2:6" ht="13.2">
      <c r="B151" s="262">
        <v>12</v>
      </c>
      <c r="C151" s="263"/>
      <c r="D151" s="350" t="s">
        <v>662</v>
      </c>
      <c r="E151" s="325">
        <v>27324000</v>
      </c>
      <c r="F151" s="266" t="s">
        <v>842</v>
      </c>
    </row>
    <row r="152" spans="2:6" ht="13.2">
      <c r="B152" s="262">
        <v>13</v>
      </c>
      <c r="C152" s="263"/>
      <c r="D152" s="225" t="s">
        <v>715</v>
      </c>
      <c r="E152" s="338">
        <v>2500000</v>
      </c>
      <c r="F152" s="266" t="s">
        <v>842</v>
      </c>
    </row>
    <row r="153" spans="2:6" ht="13.2">
      <c r="B153" s="262">
        <v>14</v>
      </c>
      <c r="C153" s="263"/>
      <c r="D153" s="225" t="s">
        <v>749</v>
      </c>
      <c r="E153" s="103">
        <v>6558000</v>
      </c>
      <c r="F153" s="266" t="s">
        <v>844</v>
      </c>
    </row>
    <row r="154" spans="2:6" ht="13.2">
      <c r="B154" s="262"/>
      <c r="C154" s="263"/>
      <c r="D154" s="350"/>
      <c r="E154" s="272"/>
      <c r="F154" s="266"/>
    </row>
    <row r="155" spans="2:6" ht="13.2">
      <c r="B155" s="273"/>
      <c r="C155" s="274"/>
      <c r="D155" s="328" t="s">
        <v>823</v>
      </c>
      <c r="E155" s="341">
        <f>SUM(E140:E154)</f>
        <v>979316000</v>
      </c>
      <c r="F155" s="270"/>
    </row>
    <row r="156" spans="2:6" ht="13.2">
      <c r="B156" s="273"/>
      <c r="C156" s="277"/>
      <c r="D156" s="329"/>
      <c r="E156" s="278"/>
      <c r="F156" s="280"/>
    </row>
    <row r="157" spans="2:6" ht="13.2">
      <c r="B157" s="281" t="s">
        <v>824</v>
      </c>
      <c r="C157" s="282"/>
      <c r="D157" s="330" t="s">
        <v>825</v>
      </c>
      <c r="E157" s="221"/>
      <c r="F157" s="269"/>
    </row>
    <row r="158" spans="2:6" ht="13.2">
      <c r="B158" s="262">
        <v>15</v>
      </c>
      <c r="C158" s="263"/>
      <c r="D158" s="350" t="s">
        <v>659</v>
      </c>
      <c r="E158" s="139">
        <v>111730000</v>
      </c>
      <c r="F158" s="266" t="s">
        <v>842</v>
      </c>
    </row>
    <row r="159" spans="2:6" ht="13.2">
      <c r="B159" s="262">
        <v>16</v>
      </c>
      <c r="C159" s="263"/>
      <c r="D159" s="350" t="s">
        <v>660</v>
      </c>
      <c r="E159" s="139">
        <v>32046000</v>
      </c>
      <c r="F159" s="266" t="s">
        <v>842</v>
      </c>
    </row>
    <row r="160" spans="2:6" ht="13.2">
      <c r="B160" s="262">
        <v>17</v>
      </c>
      <c r="C160" s="263"/>
      <c r="D160" s="225" t="s">
        <v>845</v>
      </c>
      <c r="E160" s="166">
        <v>6558000</v>
      </c>
      <c r="F160" s="266" t="s">
        <v>842</v>
      </c>
    </row>
    <row r="161" spans="2:6" ht="13.2">
      <c r="B161" s="262">
        <v>18</v>
      </c>
      <c r="C161" s="263"/>
      <c r="D161" s="350"/>
      <c r="E161" s="298"/>
      <c r="F161" s="266"/>
    </row>
    <row r="162" spans="2:6" ht="13.2">
      <c r="B162" s="262">
        <v>19</v>
      </c>
      <c r="C162" s="263"/>
      <c r="D162" s="350"/>
      <c r="E162" s="298"/>
      <c r="F162" s="266"/>
    </row>
    <row r="163" spans="2:6" ht="13.2">
      <c r="B163" s="262">
        <v>20</v>
      </c>
      <c r="C163" s="263"/>
      <c r="D163" s="350"/>
      <c r="E163" s="272"/>
      <c r="F163" s="266"/>
    </row>
    <row r="164" spans="2:6" ht="13.2">
      <c r="B164" s="262">
        <v>21</v>
      </c>
      <c r="C164" s="263"/>
      <c r="D164" s="350"/>
      <c r="E164" s="272"/>
      <c r="F164" s="266"/>
    </row>
    <row r="165" spans="2:6" ht="13.2">
      <c r="B165" s="262">
        <v>22</v>
      </c>
      <c r="C165" s="263"/>
      <c r="D165" s="350"/>
      <c r="E165" s="272"/>
      <c r="F165" s="266"/>
    </row>
    <row r="166" spans="2:6" ht="13.2">
      <c r="B166" s="288"/>
      <c r="C166" s="263"/>
      <c r="D166" s="224" t="s">
        <v>829</v>
      </c>
      <c r="E166" s="344">
        <f>SUM(E158:E162)</f>
        <v>150334000</v>
      </c>
      <c r="F166" s="266"/>
    </row>
    <row r="167" spans="2:6" ht="13.2">
      <c r="B167" s="290"/>
      <c r="C167" s="291"/>
      <c r="D167" s="292" t="s">
        <v>830</v>
      </c>
      <c r="E167" s="345">
        <f>E155+E166</f>
        <v>1129650000</v>
      </c>
      <c r="F167" s="294"/>
    </row>
    <row r="171" spans="2:6" ht="13.8">
      <c r="B171" s="248"/>
      <c r="C171" s="351"/>
      <c r="D171" s="352" t="s">
        <v>843</v>
      </c>
      <c r="E171" s="353"/>
      <c r="F171" s="354"/>
    </row>
    <row r="172" spans="2:6" ht="13.2">
      <c r="B172" s="252" t="s">
        <v>2</v>
      </c>
      <c r="C172" s="311" t="s">
        <v>805</v>
      </c>
      <c r="D172" s="312" t="s">
        <v>806</v>
      </c>
      <c r="E172" s="313" t="s">
        <v>807</v>
      </c>
      <c r="F172" s="314" t="s">
        <v>808</v>
      </c>
    </row>
    <row r="173" spans="2:6" ht="13.2">
      <c r="B173" s="257" t="s">
        <v>809</v>
      </c>
      <c r="C173" s="315"/>
      <c r="D173" s="259" t="s">
        <v>810</v>
      </c>
      <c r="E173" s="316"/>
      <c r="F173" s="261"/>
    </row>
    <row r="174" spans="2:6" ht="13.2">
      <c r="B174" s="262">
        <v>1</v>
      </c>
      <c r="C174" s="263"/>
      <c r="D174" s="222" t="s">
        <v>689</v>
      </c>
      <c r="E174" s="102">
        <v>10175000</v>
      </c>
      <c r="F174" s="266" t="s">
        <v>842</v>
      </c>
    </row>
    <row r="175" spans="2:6" ht="13.2">
      <c r="B175" s="262">
        <v>2</v>
      </c>
      <c r="C175" s="263"/>
      <c r="D175" s="355" t="s">
        <v>692</v>
      </c>
      <c r="E175" s="338">
        <v>14129000</v>
      </c>
      <c r="F175" s="266" t="s">
        <v>842</v>
      </c>
    </row>
    <row r="176" spans="2:6" ht="13.2">
      <c r="B176" s="262">
        <v>3</v>
      </c>
      <c r="C176" s="263" t="s">
        <v>813</v>
      </c>
      <c r="D176" s="355" t="s">
        <v>695</v>
      </c>
      <c r="E176" s="338">
        <v>105000000</v>
      </c>
      <c r="F176" s="266" t="s">
        <v>842</v>
      </c>
    </row>
    <row r="177" spans="2:6" ht="13.2">
      <c r="B177" s="262">
        <v>4</v>
      </c>
      <c r="C177" s="263"/>
      <c r="D177" s="355" t="s">
        <v>700</v>
      </c>
      <c r="E177" s="338">
        <v>11040000</v>
      </c>
      <c r="F177" s="266" t="s">
        <v>842</v>
      </c>
    </row>
    <row r="178" spans="2:6" ht="13.2">
      <c r="B178" s="262">
        <v>5</v>
      </c>
      <c r="C178" s="319"/>
      <c r="D178" s="355" t="s">
        <v>703</v>
      </c>
      <c r="E178" s="338">
        <v>55515000</v>
      </c>
      <c r="F178" s="266" t="s">
        <v>842</v>
      </c>
    </row>
    <row r="179" spans="2:6" ht="13.2">
      <c r="B179" s="262">
        <v>6</v>
      </c>
      <c r="C179" s="263"/>
      <c r="D179" s="355" t="s">
        <v>706</v>
      </c>
      <c r="E179" s="338">
        <v>67270000</v>
      </c>
      <c r="F179" s="266" t="s">
        <v>842</v>
      </c>
    </row>
    <row r="180" spans="2:6" ht="13.2">
      <c r="B180" s="262">
        <v>7</v>
      </c>
      <c r="C180" s="263"/>
      <c r="D180" s="355" t="s">
        <v>709</v>
      </c>
      <c r="E180" s="338">
        <v>35905000</v>
      </c>
      <c r="F180" s="266" t="s">
        <v>842</v>
      </c>
    </row>
    <row r="181" spans="2:6" ht="13.2">
      <c r="B181" s="262">
        <v>8</v>
      </c>
      <c r="C181" s="263"/>
      <c r="D181" s="355" t="s">
        <v>712</v>
      </c>
      <c r="E181" s="338">
        <v>7800000</v>
      </c>
      <c r="F181" s="266" t="s">
        <v>842</v>
      </c>
    </row>
    <row r="182" spans="2:6" ht="13.2">
      <c r="B182" s="262">
        <v>9</v>
      </c>
      <c r="C182" s="263"/>
      <c r="D182" s="355" t="s">
        <v>730</v>
      </c>
      <c r="E182" s="338">
        <v>8115000</v>
      </c>
      <c r="F182" s="266" t="s">
        <v>842</v>
      </c>
    </row>
    <row r="183" spans="2:6" ht="13.2">
      <c r="B183" s="262">
        <v>10</v>
      </c>
      <c r="C183" s="263"/>
      <c r="D183" s="355" t="s">
        <v>734</v>
      </c>
      <c r="E183" s="338">
        <v>456320406</v>
      </c>
      <c r="F183" s="266" t="s">
        <v>842</v>
      </c>
    </row>
    <row r="184" spans="2:6" ht="13.2">
      <c r="B184" s="262">
        <v>11</v>
      </c>
      <c r="C184" s="263"/>
      <c r="D184" s="355" t="s">
        <v>738</v>
      </c>
      <c r="E184" s="338">
        <v>10800000</v>
      </c>
      <c r="F184" s="266" t="s">
        <v>842</v>
      </c>
    </row>
    <row r="185" spans="2:6" ht="13.2">
      <c r="B185" s="262">
        <v>12</v>
      </c>
      <c r="C185" s="263"/>
      <c r="D185" s="355" t="s">
        <v>846</v>
      </c>
      <c r="E185" s="338">
        <v>83365000</v>
      </c>
      <c r="F185" s="266" t="s">
        <v>842</v>
      </c>
    </row>
    <row r="186" spans="2:6" ht="13.2">
      <c r="B186" s="262">
        <v>13</v>
      </c>
      <c r="C186" s="263"/>
      <c r="D186" s="355" t="s">
        <v>742</v>
      </c>
      <c r="E186" s="338">
        <v>37000000</v>
      </c>
      <c r="F186" s="266" t="s">
        <v>842</v>
      </c>
    </row>
    <row r="187" spans="2:6" ht="13.2">
      <c r="B187" s="262">
        <v>14</v>
      </c>
      <c r="C187" s="263"/>
      <c r="D187" s="222" t="s">
        <v>761</v>
      </c>
      <c r="E187" s="339">
        <v>13000000</v>
      </c>
      <c r="F187" s="266" t="s">
        <v>844</v>
      </c>
    </row>
    <row r="188" spans="2:6" ht="13.2">
      <c r="B188" s="262"/>
      <c r="C188" s="263"/>
      <c r="D188" s="355" t="s">
        <v>768</v>
      </c>
      <c r="E188" s="356">
        <v>13000000</v>
      </c>
      <c r="F188" s="266" t="s">
        <v>844</v>
      </c>
    </row>
    <row r="189" spans="2:6" ht="13.2">
      <c r="B189" s="273"/>
      <c r="C189" s="274"/>
      <c r="D189" s="328" t="s">
        <v>823</v>
      </c>
      <c r="E189" s="357">
        <f>SUM(E174:E188)</f>
        <v>928434406</v>
      </c>
      <c r="F189" s="270"/>
    </row>
    <row r="190" spans="2:6" ht="13.2">
      <c r="B190" s="273"/>
      <c r="C190" s="277"/>
      <c r="D190" s="329"/>
      <c r="E190" s="279"/>
      <c r="F190" s="280"/>
    </row>
    <row r="191" spans="2:6" ht="13.2">
      <c r="B191" s="281" t="s">
        <v>824</v>
      </c>
      <c r="C191" s="282"/>
      <c r="D191" s="330" t="s">
        <v>825</v>
      </c>
      <c r="E191" s="284"/>
      <c r="F191" s="269"/>
    </row>
    <row r="192" spans="2:6" ht="13.2">
      <c r="B192" s="262">
        <v>15</v>
      </c>
      <c r="C192" s="263"/>
      <c r="D192" s="222" t="s">
        <v>728</v>
      </c>
      <c r="E192" s="102">
        <v>111730000</v>
      </c>
      <c r="F192" s="266" t="s">
        <v>842</v>
      </c>
    </row>
    <row r="193" spans="2:6" ht="13.2">
      <c r="B193" s="262">
        <v>16</v>
      </c>
      <c r="C193" s="263"/>
      <c r="D193" s="355" t="s">
        <v>747</v>
      </c>
      <c r="E193" s="338">
        <v>38000000</v>
      </c>
      <c r="F193" s="266" t="s">
        <v>842</v>
      </c>
    </row>
    <row r="194" spans="2:6" ht="13.2">
      <c r="B194" s="262">
        <v>17</v>
      </c>
      <c r="C194" s="263"/>
      <c r="D194" s="355" t="s">
        <v>847</v>
      </c>
      <c r="E194" s="338">
        <v>6558000</v>
      </c>
      <c r="F194" s="266" t="s">
        <v>842</v>
      </c>
    </row>
    <row r="195" spans="2:6" ht="13.2">
      <c r="B195" s="262">
        <v>18</v>
      </c>
      <c r="C195" s="263"/>
      <c r="D195" s="355"/>
      <c r="E195" s="298"/>
      <c r="F195" s="266"/>
    </row>
    <row r="196" spans="2:6" ht="13.2">
      <c r="B196" s="262">
        <v>19</v>
      </c>
      <c r="C196" s="263"/>
      <c r="D196" s="355"/>
      <c r="E196" s="298"/>
      <c r="F196" s="266"/>
    </row>
    <row r="197" spans="2:6" ht="13.2">
      <c r="B197" s="262">
        <v>20</v>
      </c>
      <c r="C197" s="263"/>
      <c r="D197" s="355"/>
      <c r="E197" s="272"/>
      <c r="F197" s="266"/>
    </row>
    <row r="198" spans="2:6" ht="13.2">
      <c r="B198" s="262">
        <v>21</v>
      </c>
      <c r="C198" s="263"/>
      <c r="D198" s="355"/>
      <c r="E198" s="272"/>
      <c r="F198" s="266"/>
    </row>
    <row r="199" spans="2:6" ht="13.2">
      <c r="B199" s="262">
        <v>22</v>
      </c>
      <c r="C199" s="263"/>
      <c r="D199" s="355"/>
      <c r="E199" s="272"/>
      <c r="F199" s="266"/>
    </row>
    <row r="200" spans="2:6" ht="13.2">
      <c r="B200" s="288"/>
      <c r="C200" s="263"/>
      <c r="D200" s="224" t="s">
        <v>829</v>
      </c>
      <c r="E200" s="358">
        <f>SUM(E192:E196)</f>
        <v>156288000</v>
      </c>
      <c r="F200" s="266"/>
    </row>
    <row r="201" spans="2:6" ht="13.2">
      <c r="B201" s="290"/>
      <c r="C201" s="291"/>
      <c r="D201" s="292" t="s">
        <v>830</v>
      </c>
      <c r="E201" s="359">
        <f>E189+E200</f>
        <v>1084722406</v>
      </c>
      <c r="F201" s="29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155CC"/>
    <outlinePr summaryBelow="0" summaryRight="0"/>
  </sheetPr>
  <dimension ref="B2:L94"/>
  <sheetViews>
    <sheetView workbookViewId="0">
      <selection activeCell="I6" sqref="I6"/>
    </sheetView>
  </sheetViews>
  <sheetFormatPr defaultColWidth="12.6640625" defaultRowHeight="15.75" customHeight="1"/>
  <cols>
    <col min="2" max="2" width="4.88671875" customWidth="1"/>
    <col min="3" max="3" width="18.88671875" customWidth="1"/>
    <col min="4" max="4" width="26.33203125" customWidth="1"/>
    <col min="5" max="5" width="15.88671875" customWidth="1"/>
    <col min="6" max="6" width="15.33203125" customWidth="1"/>
    <col min="7" max="7" width="14.88671875" customWidth="1"/>
    <col min="11" max="11" width="15.44140625" customWidth="1"/>
    <col min="12" max="12" width="14.21875" customWidth="1"/>
  </cols>
  <sheetData>
    <row r="2" spans="2:12" ht="13.2">
      <c r="B2" s="656" t="s">
        <v>848</v>
      </c>
      <c r="C2" s="642"/>
      <c r="D2" s="642"/>
      <c r="E2" s="642"/>
      <c r="F2" s="642"/>
      <c r="G2" s="643"/>
    </row>
    <row r="3" spans="2:12" ht="13.2">
      <c r="B3" s="360" t="s">
        <v>2</v>
      </c>
      <c r="C3" s="649" t="s">
        <v>849</v>
      </c>
      <c r="D3" s="643"/>
      <c r="E3" s="361" t="s">
        <v>850</v>
      </c>
      <c r="F3" s="360" t="s">
        <v>851</v>
      </c>
      <c r="G3" s="360" t="s">
        <v>852</v>
      </c>
    </row>
    <row r="4" spans="2:12" ht="13.2">
      <c r="B4" s="362">
        <v>1</v>
      </c>
      <c r="C4" s="650" t="s">
        <v>853</v>
      </c>
      <c r="D4" s="627"/>
      <c r="E4" s="363">
        <v>44958</v>
      </c>
      <c r="F4" s="364"/>
      <c r="G4" s="365"/>
    </row>
    <row r="5" spans="2:12" ht="13.2">
      <c r="B5" s="362">
        <v>2</v>
      </c>
      <c r="C5" s="647" t="s">
        <v>854</v>
      </c>
      <c r="D5" s="618"/>
      <c r="E5" s="366"/>
      <c r="F5" s="367">
        <v>499250250</v>
      </c>
      <c r="G5" s="368"/>
    </row>
    <row r="6" spans="2:12" ht="15.75" customHeight="1">
      <c r="B6" s="362">
        <v>3</v>
      </c>
      <c r="C6" s="647" t="s">
        <v>855</v>
      </c>
      <c r="D6" s="618"/>
      <c r="E6" s="369"/>
      <c r="F6" s="370">
        <v>275811690</v>
      </c>
      <c r="G6" s="368"/>
    </row>
    <row r="7" spans="2:12" ht="15.75" customHeight="1">
      <c r="B7" s="362">
        <v>4</v>
      </c>
      <c r="C7" s="647" t="s">
        <v>856</v>
      </c>
      <c r="D7" s="618"/>
      <c r="E7" s="369"/>
      <c r="F7" s="371">
        <f>F5-F6</f>
        <v>223438560</v>
      </c>
      <c r="G7" s="368"/>
    </row>
    <row r="8" spans="2:12" ht="15.75" customHeight="1">
      <c r="B8" s="362">
        <v>5</v>
      </c>
      <c r="C8" s="647" t="s">
        <v>857</v>
      </c>
      <c r="D8" s="618"/>
      <c r="E8" s="369"/>
      <c r="F8" s="370">
        <v>172743707</v>
      </c>
      <c r="G8" s="368"/>
    </row>
    <row r="9" spans="2:12" ht="13.2">
      <c r="B9" s="362">
        <v>6</v>
      </c>
      <c r="C9" s="647" t="s">
        <v>858</v>
      </c>
      <c r="D9" s="618"/>
      <c r="E9" s="372"/>
      <c r="F9" s="373">
        <f>F8+F7</f>
        <v>396182267</v>
      </c>
      <c r="G9" s="368"/>
    </row>
    <row r="10" spans="2:12" ht="13.2">
      <c r="B10" s="362">
        <v>7</v>
      </c>
      <c r="C10" s="648" t="s">
        <v>859</v>
      </c>
      <c r="D10" s="643"/>
      <c r="E10" s="374"/>
      <c r="F10" s="375">
        <v>249625125</v>
      </c>
      <c r="G10" s="376" t="s">
        <v>860</v>
      </c>
    </row>
    <row r="11" spans="2:12" ht="13.2">
      <c r="B11" s="362">
        <v>8</v>
      </c>
      <c r="C11" s="648" t="s">
        <v>861</v>
      </c>
      <c r="D11" s="643"/>
      <c r="E11" s="377"/>
      <c r="F11" s="375">
        <v>121594629</v>
      </c>
      <c r="G11" s="376" t="s">
        <v>860</v>
      </c>
    </row>
    <row r="12" spans="2:12" ht="13.2">
      <c r="B12" s="362">
        <v>9</v>
      </c>
      <c r="C12" s="648" t="s">
        <v>862</v>
      </c>
      <c r="D12" s="643"/>
      <c r="E12" s="377"/>
      <c r="F12" s="375">
        <v>24962513</v>
      </c>
      <c r="G12" s="376" t="s">
        <v>860</v>
      </c>
    </row>
    <row r="13" spans="2:12" ht="15.75" customHeight="1">
      <c r="B13" s="378"/>
      <c r="C13" s="379"/>
      <c r="D13" s="380"/>
      <c r="E13" s="380"/>
      <c r="F13" s="381"/>
      <c r="G13" s="379"/>
    </row>
    <row r="14" spans="2:12" ht="15.75" customHeight="1">
      <c r="B14" s="378"/>
      <c r="C14" s="379"/>
      <c r="D14" s="379"/>
      <c r="E14" s="379"/>
      <c r="F14" s="381"/>
      <c r="G14" s="379"/>
      <c r="J14" s="382" t="s">
        <v>863</v>
      </c>
      <c r="K14" s="382" t="s">
        <v>864</v>
      </c>
      <c r="L14" s="382" t="s">
        <v>865</v>
      </c>
    </row>
    <row r="15" spans="2:12" ht="15.75" customHeight="1">
      <c r="B15" s="383"/>
      <c r="C15" s="383"/>
      <c r="D15" s="383"/>
      <c r="E15" s="383"/>
      <c r="F15" s="383"/>
      <c r="G15" s="383"/>
      <c r="J15" s="384" t="s">
        <v>866</v>
      </c>
      <c r="K15" s="385">
        <v>0</v>
      </c>
      <c r="L15" s="386">
        <v>396182267</v>
      </c>
    </row>
    <row r="16" spans="2:12" ht="15.75" customHeight="1">
      <c r="B16" s="655" t="s">
        <v>356</v>
      </c>
      <c r="C16" s="642"/>
      <c r="D16" s="642"/>
      <c r="E16" s="642"/>
      <c r="F16" s="642"/>
      <c r="G16" s="643"/>
      <c r="J16" s="387" t="s">
        <v>867</v>
      </c>
      <c r="K16" s="388" t="s">
        <v>868</v>
      </c>
      <c r="L16" s="388" t="s">
        <v>869</v>
      </c>
    </row>
    <row r="17" spans="2:12" ht="15.75" customHeight="1">
      <c r="B17" s="360" t="s">
        <v>2</v>
      </c>
      <c r="C17" s="649" t="s">
        <v>849</v>
      </c>
      <c r="D17" s="643"/>
      <c r="E17" s="361" t="s">
        <v>850</v>
      </c>
      <c r="F17" s="360" t="s">
        <v>851</v>
      </c>
      <c r="G17" s="360" t="s">
        <v>852</v>
      </c>
      <c r="J17" s="387" t="s">
        <v>870</v>
      </c>
      <c r="K17" s="388" t="s">
        <v>871</v>
      </c>
      <c r="L17" s="388" t="s">
        <v>872</v>
      </c>
    </row>
    <row r="18" spans="2:12" ht="15.75" customHeight="1">
      <c r="B18" s="362">
        <v>1</v>
      </c>
      <c r="C18" s="650" t="s">
        <v>873</v>
      </c>
      <c r="D18" s="627"/>
      <c r="E18" s="363">
        <v>44988</v>
      </c>
      <c r="F18" s="389"/>
      <c r="G18" s="364"/>
      <c r="J18" s="387" t="s">
        <v>874</v>
      </c>
      <c r="K18" s="388" t="s">
        <v>875</v>
      </c>
      <c r="L18" s="388" t="s">
        <v>876</v>
      </c>
    </row>
    <row r="19" spans="2:12" ht="15.75" customHeight="1">
      <c r="B19" s="362">
        <v>2</v>
      </c>
      <c r="C19" s="647" t="s">
        <v>854</v>
      </c>
      <c r="D19" s="618"/>
      <c r="E19" s="366"/>
      <c r="F19" s="390">
        <v>507802800</v>
      </c>
      <c r="G19" s="369"/>
      <c r="J19" s="387" t="s">
        <v>877</v>
      </c>
      <c r="K19" s="388" t="s">
        <v>878</v>
      </c>
      <c r="L19" s="388" t="s">
        <v>879</v>
      </c>
    </row>
    <row r="20" spans="2:12" ht="15.75" customHeight="1">
      <c r="B20" s="362">
        <v>3</v>
      </c>
      <c r="C20" s="647" t="s">
        <v>855</v>
      </c>
      <c r="D20" s="618"/>
      <c r="E20" s="369"/>
      <c r="F20" s="391">
        <v>136520010</v>
      </c>
      <c r="G20" s="369"/>
      <c r="J20" s="387" t="s">
        <v>880</v>
      </c>
      <c r="K20" s="388" t="s">
        <v>881</v>
      </c>
      <c r="L20" s="388" t="s">
        <v>882</v>
      </c>
    </row>
    <row r="21" spans="2:12" ht="14.4">
      <c r="B21" s="362">
        <v>4</v>
      </c>
      <c r="C21" s="647" t="s">
        <v>856</v>
      </c>
      <c r="D21" s="618"/>
      <c r="E21" s="369"/>
      <c r="F21" s="392">
        <v>371282790</v>
      </c>
      <c r="G21" s="369"/>
      <c r="J21" s="393"/>
      <c r="K21" s="388"/>
      <c r="L21" s="388"/>
    </row>
    <row r="22" spans="2:12" ht="14.4">
      <c r="B22" s="362">
        <v>5</v>
      </c>
      <c r="C22" s="647" t="s">
        <v>857</v>
      </c>
      <c r="D22" s="618"/>
      <c r="E22" s="369"/>
      <c r="F22" s="391">
        <v>526063814</v>
      </c>
      <c r="G22" s="369"/>
      <c r="J22" s="393"/>
      <c r="K22" s="388" t="s">
        <v>883</v>
      </c>
      <c r="L22" s="388">
        <f>SUM(L15:L20)</f>
        <v>396182267</v>
      </c>
    </row>
    <row r="23" spans="2:12" ht="13.2">
      <c r="B23" s="362">
        <v>6</v>
      </c>
      <c r="C23" s="647" t="s">
        <v>858</v>
      </c>
      <c r="D23" s="618"/>
      <c r="E23" s="372"/>
      <c r="F23" s="390">
        <f>F22+F21</f>
        <v>897346604</v>
      </c>
      <c r="G23" s="372"/>
    </row>
    <row r="24" spans="2:12" ht="13.2">
      <c r="B24" s="362">
        <v>7</v>
      </c>
      <c r="C24" s="648" t="s">
        <v>859</v>
      </c>
      <c r="D24" s="643"/>
      <c r="E24" s="374"/>
      <c r="F24" s="394">
        <v>253901400</v>
      </c>
      <c r="G24" s="376" t="s">
        <v>860</v>
      </c>
    </row>
    <row r="25" spans="2:12" ht="13.2">
      <c r="B25" s="362">
        <v>8</v>
      </c>
      <c r="C25" s="648" t="s">
        <v>861</v>
      </c>
      <c r="D25" s="643"/>
      <c r="E25" s="377"/>
      <c r="F25" s="394">
        <v>618055064</v>
      </c>
      <c r="G25" s="360" t="s">
        <v>884</v>
      </c>
    </row>
    <row r="26" spans="2:12" ht="13.2">
      <c r="B26" s="362">
        <v>9</v>
      </c>
      <c r="C26" s="648" t="s">
        <v>862</v>
      </c>
      <c r="D26" s="643"/>
      <c r="E26" s="377"/>
      <c r="F26" s="394">
        <v>25390140</v>
      </c>
      <c r="G26" s="360" t="s">
        <v>884</v>
      </c>
    </row>
    <row r="27" spans="2:12" ht="13.2">
      <c r="F27" s="395"/>
    </row>
    <row r="29" spans="2:12" ht="13.2">
      <c r="B29" s="655" t="s">
        <v>885</v>
      </c>
      <c r="C29" s="642"/>
      <c r="D29" s="642"/>
      <c r="E29" s="642"/>
      <c r="F29" s="642"/>
      <c r="G29" s="643"/>
    </row>
    <row r="30" spans="2:12" ht="13.2">
      <c r="B30" s="360" t="s">
        <v>2</v>
      </c>
      <c r="C30" s="649" t="s">
        <v>849</v>
      </c>
      <c r="D30" s="643"/>
      <c r="E30" s="361" t="s">
        <v>850</v>
      </c>
      <c r="F30" s="360" t="s">
        <v>851</v>
      </c>
      <c r="G30" s="360" t="s">
        <v>852</v>
      </c>
    </row>
    <row r="31" spans="2:12" ht="13.2">
      <c r="B31" s="362">
        <v>1</v>
      </c>
      <c r="C31" s="653" t="s">
        <v>886</v>
      </c>
      <c r="D31" s="627"/>
      <c r="E31" s="363">
        <v>44986</v>
      </c>
      <c r="F31" s="389"/>
      <c r="G31" s="364"/>
    </row>
    <row r="32" spans="2:12" ht="13.2">
      <c r="B32" s="362">
        <v>2</v>
      </c>
      <c r="C32" s="647" t="s">
        <v>854</v>
      </c>
      <c r="D32" s="618"/>
      <c r="E32" s="366"/>
      <c r="F32" s="390">
        <v>287646066</v>
      </c>
      <c r="G32" s="369"/>
    </row>
    <row r="33" spans="2:7" ht="13.2">
      <c r="B33" s="362">
        <v>7</v>
      </c>
      <c r="C33" s="648" t="s">
        <v>859</v>
      </c>
      <c r="D33" s="643"/>
      <c r="E33" s="374"/>
      <c r="F33" s="394">
        <v>143823033</v>
      </c>
      <c r="G33" s="376" t="s">
        <v>860</v>
      </c>
    </row>
    <row r="34" spans="2:7" ht="13.2">
      <c r="B34" s="362">
        <v>8</v>
      </c>
      <c r="C34" s="648" t="s">
        <v>861</v>
      </c>
      <c r="D34" s="643"/>
      <c r="E34" s="377"/>
      <c r="F34" s="394">
        <v>143823033</v>
      </c>
      <c r="G34" s="376" t="s">
        <v>860</v>
      </c>
    </row>
    <row r="37" spans="2:7" ht="13.2">
      <c r="B37" s="655" t="s">
        <v>887</v>
      </c>
      <c r="C37" s="642"/>
      <c r="D37" s="642"/>
      <c r="E37" s="642"/>
      <c r="F37" s="642"/>
      <c r="G37" s="643"/>
    </row>
    <row r="38" spans="2:7" ht="13.2">
      <c r="B38" s="360" t="s">
        <v>2</v>
      </c>
      <c r="C38" s="649" t="s">
        <v>849</v>
      </c>
      <c r="D38" s="643"/>
      <c r="E38" s="361" t="s">
        <v>850</v>
      </c>
      <c r="F38" s="360" t="s">
        <v>851</v>
      </c>
      <c r="G38" s="360" t="s">
        <v>852</v>
      </c>
    </row>
    <row r="39" spans="2:7" ht="13.2">
      <c r="B39" s="362">
        <v>1</v>
      </c>
      <c r="C39" s="653" t="s">
        <v>888</v>
      </c>
      <c r="D39" s="627"/>
      <c r="E39" s="363">
        <v>45005</v>
      </c>
      <c r="F39" s="389"/>
      <c r="G39" s="364"/>
    </row>
    <row r="40" spans="2:7" ht="13.2">
      <c r="B40" s="362">
        <v>2</v>
      </c>
      <c r="C40" s="647" t="s">
        <v>854</v>
      </c>
      <c r="D40" s="618"/>
      <c r="E40" s="366"/>
      <c r="F40" s="390">
        <v>511007925</v>
      </c>
      <c r="G40" s="369"/>
    </row>
    <row r="41" spans="2:7" ht="13.2">
      <c r="B41" s="362">
        <v>7</v>
      </c>
      <c r="C41" s="648" t="s">
        <v>859</v>
      </c>
      <c r="D41" s="643"/>
      <c r="E41" s="374"/>
      <c r="F41" s="394">
        <v>511007925</v>
      </c>
      <c r="G41" s="396" t="s">
        <v>889</v>
      </c>
    </row>
    <row r="44" spans="2:7" ht="13.2">
      <c r="B44" s="654" t="s">
        <v>890</v>
      </c>
      <c r="C44" s="642"/>
      <c r="D44" s="642"/>
      <c r="E44" s="642"/>
      <c r="F44" s="642"/>
      <c r="G44" s="643"/>
    </row>
    <row r="45" spans="2:7" ht="13.2">
      <c r="B45" s="360" t="s">
        <v>2</v>
      </c>
      <c r="C45" s="649" t="s">
        <v>849</v>
      </c>
      <c r="D45" s="643"/>
      <c r="E45" s="361" t="s">
        <v>850</v>
      </c>
      <c r="F45" s="360" t="s">
        <v>851</v>
      </c>
      <c r="G45" s="360" t="s">
        <v>852</v>
      </c>
    </row>
    <row r="46" spans="2:7" ht="13.2">
      <c r="B46" s="362">
        <v>1</v>
      </c>
      <c r="C46" s="650" t="s">
        <v>504</v>
      </c>
      <c r="D46" s="627"/>
      <c r="E46" s="363">
        <v>45051</v>
      </c>
      <c r="F46" s="389"/>
      <c r="G46" s="364"/>
    </row>
    <row r="47" spans="2:7" ht="13.2">
      <c r="B47" s="362">
        <v>2</v>
      </c>
      <c r="C47" s="647" t="s">
        <v>854</v>
      </c>
      <c r="D47" s="618"/>
      <c r="E47" s="366"/>
      <c r="F47" s="390">
        <v>694527000</v>
      </c>
      <c r="G47" s="369"/>
    </row>
    <row r="48" spans="2:7" ht="13.2">
      <c r="B48" s="362">
        <v>3</v>
      </c>
      <c r="C48" s="647" t="s">
        <v>855</v>
      </c>
      <c r="D48" s="618"/>
      <c r="E48" s="369"/>
      <c r="F48" s="391">
        <v>274136700</v>
      </c>
      <c r="G48" s="369"/>
    </row>
    <row r="49" spans="2:7" ht="13.2">
      <c r="B49" s="362">
        <v>4</v>
      </c>
      <c r="C49" s="647" t="s">
        <v>856</v>
      </c>
      <c r="D49" s="618"/>
      <c r="E49" s="369"/>
      <c r="F49" s="392">
        <f>F47-F48</f>
        <v>420390300</v>
      </c>
      <c r="G49" s="369"/>
    </row>
    <row r="50" spans="2:7" ht="13.2">
      <c r="B50" s="362">
        <v>5</v>
      </c>
      <c r="C50" s="647" t="s">
        <v>857</v>
      </c>
      <c r="D50" s="618"/>
      <c r="E50" s="369"/>
      <c r="F50" s="391">
        <v>645727771</v>
      </c>
      <c r="G50" s="369"/>
    </row>
    <row r="51" spans="2:7" ht="13.2">
      <c r="B51" s="362">
        <v>6</v>
      </c>
      <c r="C51" s="647" t="s">
        <v>858</v>
      </c>
      <c r="D51" s="618"/>
      <c r="E51" s="372"/>
      <c r="F51" s="390">
        <f>F50+F49</f>
        <v>1066118071</v>
      </c>
      <c r="G51" s="372"/>
    </row>
    <row r="52" spans="2:7" ht="13.2">
      <c r="B52" s="362">
        <v>7</v>
      </c>
      <c r="C52" s="648" t="s">
        <v>859</v>
      </c>
      <c r="D52" s="643"/>
      <c r="E52" s="374"/>
      <c r="F52" s="394">
        <v>347263500</v>
      </c>
      <c r="G52" s="376" t="s">
        <v>860</v>
      </c>
    </row>
    <row r="53" spans="2:7" ht="13.2">
      <c r="B53" s="362">
        <v>8</v>
      </c>
      <c r="C53" s="648" t="s">
        <v>861</v>
      </c>
      <c r="D53" s="643"/>
      <c r="E53" s="377"/>
      <c r="F53" s="394">
        <v>684198221</v>
      </c>
      <c r="G53" s="360" t="s">
        <v>884</v>
      </c>
    </row>
    <row r="54" spans="2:7" ht="13.2">
      <c r="B54" s="362">
        <v>9</v>
      </c>
      <c r="C54" s="648" t="s">
        <v>862</v>
      </c>
      <c r="D54" s="643"/>
      <c r="E54" s="377"/>
      <c r="F54" s="394">
        <v>34726350</v>
      </c>
      <c r="G54" s="360" t="s">
        <v>884</v>
      </c>
    </row>
    <row r="57" spans="2:7" ht="13.2">
      <c r="B57" s="652" t="s">
        <v>891</v>
      </c>
      <c r="C57" s="642"/>
      <c r="D57" s="642"/>
      <c r="E57" s="642"/>
      <c r="F57" s="642"/>
      <c r="G57" s="643"/>
    </row>
    <row r="58" spans="2:7" ht="13.2">
      <c r="B58" s="360" t="s">
        <v>2</v>
      </c>
      <c r="C58" s="649" t="s">
        <v>849</v>
      </c>
      <c r="D58" s="643"/>
      <c r="E58" s="361" t="s">
        <v>850</v>
      </c>
      <c r="F58" s="360" t="s">
        <v>851</v>
      </c>
      <c r="G58" s="360" t="s">
        <v>852</v>
      </c>
    </row>
    <row r="59" spans="2:7" ht="13.2">
      <c r="B59" s="362">
        <v>1</v>
      </c>
      <c r="C59" s="650" t="s">
        <v>532</v>
      </c>
      <c r="D59" s="627"/>
      <c r="E59" s="363">
        <v>45084</v>
      </c>
      <c r="F59" s="389"/>
      <c r="G59" s="364"/>
    </row>
    <row r="60" spans="2:7" ht="13.2">
      <c r="B60" s="362">
        <v>2</v>
      </c>
      <c r="C60" s="647" t="s">
        <v>854</v>
      </c>
      <c r="D60" s="618"/>
      <c r="E60" s="366"/>
      <c r="F60" s="390">
        <v>509521635</v>
      </c>
      <c r="G60" s="369"/>
    </row>
    <row r="61" spans="2:7" ht="13.2">
      <c r="B61" s="362">
        <v>3</v>
      </c>
      <c r="C61" s="647" t="s">
        <v>855</v>
      </c>
      <c r="D61" s="618"/>
      <c r="E61" s="369"/>
      <c r="F61" s="391">
        <v>232820000</v>
      </c>
      <c r="G61" s="369"/>
    </row>
    <row r="62" spans="2:7" ht="13.2">
      <c r="B62" s="362">
        <v>4</v>
      </c>
      <c r="C62" s="647" t="s">
        <v>856</v>
      </c>
      <c r="D62" s="618"/>
      <c r="E62" s="369"/>
      <c r="F62" s="392">
        <f>F60-F61</f>
        <v>276701635</v>
      </c>
      <c r="G62" s="369"/>
    </row>
    <row r="63" spans="2:7" ht="13.2">
      <c r="B63" s="362">
        <v>5</v>
      </c>
      <c r="C63" s="647" t="s">
        <v>857</v>
      </c>
      <c r="D63" s="618"/>
      <c r="E63" s="369"/>
      <c r="F63" s="391">
        <v>424145652</v>
      </c>
      <c r="G63" s="369"/>
    </row>
    <row r="64" spans="2:7" ht="13.2">
      <c r="B64" s="362">
        <v>6</v>
      </c>
      <c r="C64" s="647" t="s">
        <v>858</v>
      </c>
      <c r="D64" s="618"/>
      <c r="E64" s="372"/>
      <c r="F64" s="390">
        <f>F63+F62</f>
        <v>700847287</v>
      </c>
      <c r="G64" s="372"/>
    </row>
    <row r="65" spans="2:7" ht="13.2">
      <c r="B65" s="362">
        <v>7</v>
      </c>
      <c r="C65" s="648" t="s">
        <v>859</v>
      </c>
      <c r="D65" s="643"/>
      <c r="E65" s="374"/>
      <c r="F65" s="394">
        <v>254760817</v>
      </c>
      <c r="G65" s="376" t="s">
        <v>860</v>
      </c>
    </row>
    <row r="66" spans="2:7" ht="13.2">
      <c r="B66" s="362">
        <v>8</v>
      </c>
      <c r="C66" s="648" t="s">
        <v>861</v>
      </c>
      <c r="D66" s="643"/>
      <c r="E66" s="377"/>
      <c r="F66" s="394">
        <v>420610388</v>
      </c>
      <c r="G66" s="360" t="s">
        <v>884</v>
      </c>
    </row>
    <row r="67" spans="2:7" ht="13.2">
      <c r="B67" s="362">
        <v>9</v>
      </c>
      <c r="C67" s="648" t="s">
        <v>862</v>
      </c>
      <c r="D67" s="643"/>
      <c r="E67" s="377"/>
      <c r="F67" s="394">
        <v>25476082</v>
      </c>
      <c r="G67" s="360" t="s">
        <v>884</v>
      </c>
    </row>
    <row r="70" spans="2:7" ht="13.2">
      <c r="B70" s="651" t="s">
        <v>892</v>
      </c>
      <c r="C70" s="642"/>
      <c r="D70" s="642"/>
      <c r="E70" s="642"/>
      <c r="F70" s="642"/>
      <c r="G70" s="643"/>
    </row>
    <row r="71" spans="2:7" ht="13.2">
      <c r="B71" s="360" t="s">
        <v>2</v>
      </c>
      <c r="C71" s="649" t="s">
        <v>849</v>
      </c>
      <c r="D71" s="643"/>
      <c r="E71" s="361" t="s">
        <v>850</v>
      </c>
      <c r="F71" s="360" t="s">
        <v>851</v>
      </c>
      <c r="G71" s="360" t="s">
        <v>852</v>
      </c>
    </row>
    <row r="72" spans="2:7" ht="13.2">
      <c r="B72" s="362">
        <v>1</v>
      </c>
      <c r="C72" s="650" t="s">
        <v>603</v>
      </c>
      <c r="D72" s="627"/>
      <c r="E72" s="363">
        <v>45107</v>
      </c>
      <c r="F72" s="389"/>
      <c r="G72" s="364"/>
    </row>
    <row r="73" spans="2:7" ht="13.2">
      <c r="B73" s="362">
        <v>2</v>
      </c>
      <c r="C73" s="647" t="s">
        <v>854</v>
      </c>
      <c r="D73" s="618"/>
      <c r="E73" s="366"/>
      <c r="F73" s="390">
        <v>566327550</v>
      </c>
      <c r="G73" s="369"/>
    </row>
    <row r="74" spans="2:7" ht="13.2">
      <c r="B74" s="362">
        <v>3</v>
      </c>
      <c r="C74" s="647" t="s">
        <v>855</v>
      </c>
      <c r="D74" s="618"/>
      <c r="E74" s="369"/>
      <c r="F74" s="392" t="s">
        <v>94</v>
      </c>
      <c r="G74" s="369"/>
    </row>
    <row r="75" spans="2:7" ht="13.2">
      <c r="B75" s="362">
        <v>4</v>
      </c>
      <c r="C75" s="647" t="s">
        <v>856</v>
      </c>
      <c r="D75" s="618"/>
      <c r="E75" s="369"/>
      <c r="F75" s="392" t="s">
        <v>94</v>
      </c>
      <c r="G75" s="369"/>
    </row>
    <row r="76" spans="2:7" ht="13.2">
      <c r="B76" s="362">
        <v>5</v>
      </c>
      <c r="C76" s="647" t="s">
        <v>857</v>
      </c>
      <c r="D76" s="618"/>
      <c r="E76" s="369"/>
      <c r="F76" s="392" t="s">
        <v>94</v>
      </c>
      <c r="G76" s="369"/>
    </row>
    <row r="77" spans="2:7" ht="13.2">
      <c r="B77" s="362">
        <v>6</v>
      </c>
      <c r="C77" s="647" t="s">
        <v>858</v>
      </c>
      <c r="D77" s="618"/>
      <c r="E77" s="372"/>
      <c r="F77" s="392" t="s">
        <v>94</v>
      </c>
      <c r="G77" s="372"/>
    </row>
    <row r="78" spans="2:7" ht="13.2">
      <c r="B78" s="362">
        <v>7</v>
      </c>
      <c r="C78" s="648" t="s">
        <v>859</v>
      </c>
      <c r="D78" s="643"/>
      <c r="E78" s="374"/>
      <c r="F78" s="394">
        <v>283163775</v>
      </c>
      <c r="G78" s="376" t="s">
        <v>860</v>
      </c>
    </row>
    <row r="79" spans="2:7" ht="13.2">
      <c r="B79" s="362">
        <v>8</v>
      </c>
      <c r="C79" s="648" t="s">
        <v>861</v>
      </c>
      <c r="D79" s="643"/>
      <c r="E79" s="377"/>
      <c r="F79" s="394"/>
      <c r="G79" s="396" t="s">
        <v>893</v>
      </c>
    </row>
    <row r="80" spans="2:7" ht="13.2">
      <c r="B80" s="362">
        <v>9</v>
      </c>
      <c r="C80" s="648" t="s">
        <v>862</v>
      </c>
      <c r="D80" s="643"/>
      <c r="E80" s="377"/>
      <c r="F80" s="394"/>
      <c r="G80" s="396" t="s">
        <v>893</v>
      </c>
    </row>
    <row r="83" spans="2:8" ht="13.2">
      <c r="B83" s="657" t="s">
        <v>894</v>
      </c>
      <c r="C83" s="642"/>
      <c r="D83" s="642"/>
      <c r="E83" s="642"/>
      <c r="F83" s="642"/>
      <c r="G83" s="643"/>
      <c r="H83" s="61" t="s">
        <v>359</v>
      </c>
    </row>
    <row r="84" spans="2:8" ht="13.2">
      <c r="B84" s="360" t="s">
        <v>2</v>
      </c>
      <c r="C84" s="649" t="s">
        <v>849</v>
      </c>
      <c r="D84" s="643"/>
      <c r="E84" s="361" t="s">
        <v>850</v>
      </c>
      <c r="F84" s="360" t="s">
        <v>851</v>
      </c>
      <c r="G84" s="360" t="s">
        <v>852</v>
      </c>
    </row>
    <row r="85" spans="2:8" ht="13.2">
      <c r="B85" s="362">
        <v>1</v>
      </c>
      <c r="C85" s="650" t="s">
        <v>734</v>
      </c>
      <c r="D85" s="627"/>
      <c r="E85" s="397">
        <v>45120</v>
      </c>
      <c r="F85" s="398"/>
      <c r="G85" s="364"/>
    </row>
    <row r="86" spans="2:8" ht="13.2">
      <c r="B86" s="362">
        <v>2</v>
      </c>
      <c r="C86" s="647" t="s">
        <v>854</v>
      </c>
      <c r="D86" s="618"/>
      <c r="E86" s="366"/>
      <c r="F86" s="399">
        <v>506515650</v>
      </c>
      <c r="G86" s="369"/>
    </row>
    <row r="87" spans="2:8" ht="13.2">
      <c r="B87" s="362">
        <v>3</v>
      </c>
      <c r="C87" s="647" t="s">
        <v>855</v>
      </c>
      <c r="D87" s="618"/>
      <c r="E87" s="369"/>
      <c r="F87" s="392" t="s">
        <v>94</v>
      </c>
      <c r="G87" s="369"/>
    </row>
    <row r="88" spans="2:8" ht="13.2">
      <c r="B88" s="362">
        <v>4</v>
      </c>
      <c r="C88" s="647" t="s">
        <v>856</v>
      </c>
      <c r="D88" s="618"/>
      <c r="E88" s="369"/>
      <c r="F88" s="392" t="s">
        <v>94</v>
      </c>
      <c r="G88" s="369"/>
    </row>
    <row r="89" spans="2:8" ht="13.2">
      <c r="B89" s="362">
        <v>5</v>
      </c>
      <c r="C89" s="647" t="s">
        <v>857</v>
      </c>
      <c r="D89" s="618"/>
      <c r="E89" s="369"/>
      <c r="F89" s="392" t="s">
        <v>94</v>
      </c>
      <c r="G89" s="369"/>
    </row>
    <row r="90" spans="2:8" ht="13.2">
      <c r="B90" s="362">
        <v>6</v>
      </c>
      <c r="C90" s="647" t="s">
        <v>858</v>
      </c>
      <c r="D90" s="618"/>
      <c r="E90" s="372"/>
      <c r="F90" s="392" t="s">
        <v>94</v>
      </c>
      <c r="G90" s="372"/>
    </row>
    <row r="91" spans="2:8" ht="13.2">
      <c r="B91" s="362">
        <v>7</v>
      </c>
      <c r="C91" s="648" t="s">
        <v>859</v>
      </c>
      <c r="D91" s="643"/>
      <c r="E91" s="374"/>
      <c r="F91" s="394">
        <v>253257825</v>
      </c>
      <c r="G91" s="400" t="s">
        <v>895</v>
      </c>
    </row>
    <row r="92" spans="2:8" ht="13.2">
      <c r="B92" s="362">
        <v>8</v>
      </c>
      <c r="C92" s="648" t="s">
        <v>861</v>
      </c>
      <c r="D92" s="643"/>
      <c r="E92" s="377"/>
      <c r="F92" s="394"/>
      <c r="G92" s="396" t="s">
        <v>893</v>
      </c>
    </row>
    <row r="93" spans="2:8" ht="13.2">
      <c r="B93" s="362">
        <v>9</v>
      </c>
      <c r="C93" s="648" t="s">
        <v>862</v>
      </c>
      <c r="D93" s="643"/>
      <c r="E93" s="377"/>
      <c r="F93" s="394"/>
      <c r="G93" s="396" t="s">
        <v>893</v>
      </c>
    </row>
    <row r="94" spans="2:8" ht="13.2">
      <c r="F94" s="395"/>
    </row>
  </sheetData>
  <mergeCells count="77">
    <mergeCell ref="C74:D74"/>
    <mergeCell ref="C75:D75"/>
    <mergeCell ref="C76:D76"/>
    <mergeCell ref="C77:D77"/>
    <mergeCell ref="C60:D60"/>
    <mergeCell ref="C61:D61"/>
    <mergeCell ref="C62:D62"/>
    <mergeCell ref="C63:D63"/>
    <mergeCell ref="C64:D64"/>
    <mergeCell ref="C93:D93"/>
    <mergeCell ref="C78:D78"/>
    <mergeCell ref="C79:D79"/>
    <mergeCell ref="C80:D80"/>
    <mergeCell ref="B83:G83"/>
    <mergeCell ref="C84:D84"/>
    <mergeCell ref="C85:D85"/>
    <mergeCell ref="C86:D86"/>
    <mergeCell ref="C88:D88"/>
    <mergeCell ref="C89:D89"/>
    <mergeCell ref="C90:D90"/>
    <mergeCell ref="C91:D91"/>
    <mergeCell ref="C92:D92"/>
    <mergeCell ref="C87:D87"/>
    <mergeCell ref="B2:G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6:G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9:G29"/>
    <mergeCell ref="C30:D30"/>
    <mergeCell ref="C31:D31"/>
    <mergeCell ref="C32:D32"/>
    <mergeCell ref="C33:D33"/>
    <mergeCell ref="C34:D34"/>
    <mergeCell ref="B37:G37"/>
    <mergeCell ref="C38:D38"/>
    <mergeCell ref="C39:D39"/>
    <mergeCell ref="C40:D40"/>
    <mergeCell ref="C41:D41"/>
    <mergeCell ref="B44:G44"/>
    <mergeCell ref="C45:D45"/>
    <mergeCell ref="C46:D46"/>
    <mergeCell ref="C47:D47"/>
    <mergeCell ref="C48:D48"/>
    <mergeCell ref="C49:D49"/>
    <mergeCell ref="C50:D50"/>
    <mergeCell ref="C51:D51"/>
    <mergeCell ref="C52:D52"/>
    <mergeCell ref="C71:D71"/>
    <mergeCell ref="C72:D72"/>
    <mergeCell ref="C73:D73"/>
    <mergeCell ref="C65:D65"/>
    <mergeCell ref="C66:D66"/>
    <mergeCell ref="C67:D67"/>
    <mergeCell ref="B70:G70"/>
    <mergeCell ref="C53:D53"/>
    <mergeCell ref="C54:D54"/>
    <mergeCell ref="B57:G57"/>
    <mergeCell ref="C58:D58"/>
    <mergeCell ref="C59:D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Prognosa (2)</vt:lpstr>
      <vt:lpstr>data Prognosa rutin real (2)</vt:lpstr>
      <vt:lpstr>data Prognosa rutin real</vt:lpstr>
      <vt:lpstr>Prognosa</vt:lpstr>
      <vt:lpstr>data Prognosa rutin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Beban Biaya Inv</vt:lpstr>
      <vt:lpstr>Rekap Pembayaran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irsan</cp:lastModifiedBy>
  <dcterms:created xsi:type="dcterms:W3CDTF">2024-08-11T13:40:04Z</dcterms:created>
  <dcterms:modified xsi:type="dcterms:W3CDTF">2025-10-14T08:25:16Z</dcterms:modified>
</cp:coreProperties>
</file>