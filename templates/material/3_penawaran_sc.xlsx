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<sst xmlns="http://schemas.openxmlformats.org/spreadsheetml/2006/main" count="19" uniqueCount="19">
  <si>
    <r>
      <rPr>
        <rFont val="Times New Roman"/>
        <color rgb="FF000000"/>
        <sz val="18.0"/>
      </rPr>
      <t xml:space="preserve">CV. C TIGA TUJUH
</t>
    </r>
    <r>
      <rPr>
        <rFont val="Times New Roman"/>
        <color rgb="FF000000"/>
        <sz val="11.0"/>
      </rPr>
      <t xml:space="preserve">Perumahan Bumi Tamalanrea Permai (BTP) Blok I, Jl. Kejayaan Timur 7, No. 351Kec. Tamalanrea,  Kota Makassar
</t>
    </r>
    <r>
      <rPr>
        <rFont val="Times New Roman"/>
        <color rgb="FF000000"/>
        <sz val="11.0"/>
      </rPr>
      <t xml:space="preserve">Telp. 082192427556, Email : </t>
    </r>
    <r>
      <rPr>
        <rFont val="Times New Roman"/>
        <color rgb="FF0000FF"/>
        <sz val="11.0"/>
        <u/>
      </rPr>
      <t>ctigatujuh37@gmail.com</t>
    </r>
  </si>
  <si>
    <r>
      <rPr>
        <rFont val="Arial"/>
        <b/>
        <color theme="1"/>
        <sz val="12.0"/>
      </rPr>
      <t xml:space="preserve">No : CTT/E/177/III/2026
Kepada Yth
PT. ASDP Indonesia Ferry ( Persero) Cabang Ternate
Di Tempat
Perihal : Pengadaan Suku Cadang KMP. Gorango Tahun 2026
</t>
    </r>
    <r>
      <rPr>
        <rFont val="Arial"/>
        <color theme="1"/>
        <sz val="12.0"/>
      </rPr>
      <t xml:space="preserve">Dengan Hormat
</t>
    </r>
    <r>
      <rPr>
        <rFont val="Arial"/>
        <b/>
        <color theme="1"/>
        <sz val="12.0"/>
      </rPr>
      <t>Bersamaan dengan ini kami sampaikan penawaran harga Pengadaan Suku Cadang KMP. Gorango Tahun 2026 sebagai berikut</t>
    </r>
  </si>
  <si>
    <r>
      <rPr>
        <rFont val="Arial"/>
        <b/>
        <color theme="1"/>
        <sz val="10.0"/>
      </rPr>
      <t>No.</t>
    </r>
  </si>
  <si>
    <r>
      <rPr>
        <rFont val="Arial"/>
        <b/>
        <color theme="1"/>
        <sz val="10.0"/>
      </rPr>
      <t>Jumlah</t>
    </r>
  </si>
  <si>
    <r>
      <rPr>
        <rFont val="Arial"/>
        <b/>
        <color theme="1"/>
        <sz val="10.0"/>
      </rPr>
      <t>Satuan</t>
    </r>
  </si>
  <si>
    <r>
      <rPr>
        <rFont val="Arial"/>
        <b/>
        <color theme="1"/>
        <sz val="10.0"/>
      </rPr>
      <t>Uraian Barang/Jasa</t>
    </r>
  </si>
  <si>
    <r>
      <rPr>
        <rFont val="Arial"/>
        <b/>
        <color theme="1"/>
        <sz val="10.0"/>
      </rPr>
      <t>Spesifikasi</t>
    </r>
  </si>
  <si>
    <r>
      <rPr>
        <rFont val="Arial"/>
        <b/>
        <color theme="1"/>
        <sz val="10.0"/>
      </rPr>
      <t>Harga Satuan</t>
    </r>
  </si>
  <si>
    <r>
      <rPr>
        <rFont val="Arial"/>
        <b/>
        <color theme="1"/>
        <sz val="10.0"/>
      </rPr>
      <t>Jumlah</t>
    </r>
  </si>
  <si>
    <t>Set</t>
  </si>
  <si>
    <t>Dynamo Starter</t>
  </si>
  <si>
    <t>Pcs</t>
  </si>
  <si>
    <t>Bolt</t>
  </si>
  <si>
    <t>Unit</t>
  </si>
  <si>
    <t>Filter FO</t>
  </si>
  <si>
    <r>
      <rPr>
        <rFont val="Arial"/>
        <b/>
        <color theme="1"/>
        <sz val="10.0"/>
      </rPr>
      <t>Total</t>
    </r>
  </si>
  <si>
    <t>PPn 11%</t>
  </si>
  <si>
    <t>Grand Total</t>
  </si>
  <si>
    <r>
      <rPr>
        <rFont val="Times New Roman"/>
        <color theme="1"/>
        <sz val="12.0"/>
      </rPr>
      <t xml:space="preserve">Demikian penawaran  harga ini kami sampaikan. Atas perhatian dan kerjasama yang baik kami ucapkan terimakasih.
</t>
    </r>
    <r>
      <rPr>
        <rFont val="Arial"/>
        <b/>
        <color theme="1"/>
        <sz val="12.0"/>
      </rPr>
      <t>CV. C TIGA TUJUH ALFAJRIN SYAWAL PIRDAUS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</si>
</sst>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Times New Roman"/>
      <scheme val="minor"/>
    </font>
    <font>
      <u/>
      <sz val="10.0"/>
      <color rgb="FF000000"/>
      <name val="Times New Roman"/>
    </font>
    <font>
      <sz val="10.0"/>
      <color rgb="FF000000"/>
      <name val="Times New Roman"/>
    </font>
    <font>
      <sz val="12.0"/>
      <color theme="1"/>
      <name val="Times New Roman"/>
    </font>
    <font>
      <b/>
      <sz val="10.0"/>
      <color theme="1"/>
      <name val="Arial"/>
    </font>
    <font/>
    <font>
      <sz val="8.0"/>
      <color rgb="FF000000"/>
      <name val="Arial"/>
    </font>
    <font>
      <sz val="8.0"/>
      <color theme="1"/>
      <name val="Arial"/>
    </font>
    <font>
      <b/>
      <sz val="9.0"/>
      <color theme="1"/>
      <name val="Arial"/>
    </font>
    <font>
      <sz val="9.0"/>
      <color rgb="FF000000"/>
      <name val="Times New Roman"/>
    </font>
    <font>
      <sz val="9.0"/>
      <color theme="1"/>
      <name val="Arial"/>
    </font>
    <font>
      <b/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6" numFmtId="3" xfId="0" applyAlignment="1" applyBorder="1" applyFont="1" applyNumberFormat="1">
      <alignment horizontal="center" readingOrder="0" shrinkToFit="1" vertical="center" wrapText="0"/>
    </xf>
    <xf borderId="2" fillId="0" fontId="9" numFmtId="3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6" numFmtId="3" xfId="0" applyAlignment="1" applyBorder="1" applyFont="1" applyNumberFormat="1">
      <alignment horizontal="center" shrinkToFit="1" vertical="center" wrapText="0"/>
    </xf>
    <xf borderId="2" fillId="0" fontId="2" numFmtId="3" xfId="0" applyAlignment="1" applyBorder="1" applyFont="1" applyNumberFormat="1">
      <alignment horizontal="center" shrinkToFit="0" vertical="center" wrapText="1"/>
    </xf>
    <xf borderId="3" fillId="0" fontId="2" numFmtId="3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2" fillId="0" fontId="6" numFmtId="3" xfId="0" applyAlignment="1" applyBorder="1" applyFont="1" applyNumberFormat="1">
      <alignment horizontal="center" shrinkToFit="1" vertical="center" wrapText="0"/>
    </xf>
    <xf borderId="2" fillId="0" fontId="2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vertical="top"/>
    </xf>
    <xf borderId="2" fillId="0" fontId="11" numFmtId="3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0</xdr:row>
      <xdr:rowOff>1104900</xdr:rowOff>
    </xdr:from>
    <xdr:ext cx="6924675" cy="85725"/>
    <xdr:sp>
      <xdr:nvSpPr>
        <xdr:cNvPr id="3" name="Shape 3"/>
        <xdr:cNvSpPr/>
      </xdr:nvSpPr>
      <xdr:spPr>
        <a:xfrm>
          <a:off x="1885250" y="3740630"/>
          <a:ext cx="6921500" cy="78740"/>
        </a:xfrm>
        <a:custGeom>
          <a:rect b="b" l="l" r="r" t="t"/>
          <a:pathLst>
            <a:path extrusionOk="0" h="78740" w="6921500">
              <a:moveTo>
                <a:pt x="6908800" y="78740"/>
              </a:moveTo>
              <a:lnTo>
                <a:pt x="12700" y="78740"/>
              </a:lnTo>
              <a:lnTo>
                <a:pt x="0" y="66040"/>
              </a:lnTo>
              <a:lnTo>
                <a:pt x="0" y="12700"/>
              </a:lnTo>
              <a:lnTo>
                <a:pt x="12700" y="0"/>
              </a:lnTo>
              <a:lnTo>
                <a:pt x="6908800" y="0"/>
              </a:lnTo>
              <a:lnTo>
                <a:pt x="6921500" y="12700"/>
              </a:lnTo>
              <a:lnTo>
                <a:pt x="6921500" y="66040"/>
              </a:lnTo>
              <a:lnTo>
                <a:pt x="6908800" y="7874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0</xdr:col>
      <xdr:colOff>85725</xdr:colOff>
      <xdr:row>21</xdr:row>
      <xdr:rowOff>1333500</xdr:rowOff>
    </xdr:from>
    <xdr:ext cx="1743075" cy="1114425"/>
    <xdr:grpSp>
      <xdr:nvGrpSpPr>
        <xdr:cNvPr id="2" name="Shape 2"/>
        <xdr:cNvGrpSpPr/>
      </xdr:nvGrpSpPr>
      <xdr:grpSpPr>
        <a:xfrm>
          <a:off x="4474272" y="3219528"/>
          <a:ext cx="1743456" cy="1120945"/>
          <a:chOff x="4474272" y="3219528"/>
          <a:chExt cx="1743456" cy="1120945"/>
        </a:xfrm>
      </xdr:grpSpPr>
      <xdr:grpSp>
        <xdr:nvGrpSpPr>
          <xdr:cNvPr id="4" name="Shape 4"/>
          <xdr:cNvGrpSpPr/>
        </xdr:nvGrpSpPr>
        <xdr:grpSpPr>
          <a:xfrm>
            <a:off x="4474272" y="3219528"/>
            <a:ext cx="1743456" cy="1120945"/>
            <a:chOff x="0" y="0"/>
            <a:chExt cx="1394460" cy="976630"/>
          </a:xfrm>
        </xdr:grpSpPr>
        <xdr:sp>
          <xdr:nvSpPr>
            <xdr:cNvPr id="5" name="Shape 5"/>
            <xdr:cNvSpPr/>
          </xdr:nvSpPr>
          <xdr:spPr>
            <a:xfrm>
              <a:off x="0" y="0"/>
              <a:ext cx="1394450" cy="976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6" name="Shape 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61544" y="115358"/>
              <a:ext cx="1098804" cy="861059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7" name="Shape 7"/>
            <xdr:cNvSpPr txBox="1"/>
          </xdr:nvSpPr>
          <xdr:spPr>
            <a:xfrm>
              <a:off x="0" y="0"/>
              <a:ext cx="1394460" cy="97663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Makassar, 20 Maret 2026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180975</xdr:colOff>
      <xdr:row>0</xdr:row>
      <xdr:rowOff>200025</xdr:rowOff>
    </xdr:from>
    <xdr:ext cx="1000125" cy="7905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21</xdr:row>
      <xdr:rowOff>1276350</xdr:rowOff>
    </xdr:from>
    <xdr:ext cx="1209675" cy="10572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tigatujuh37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0"/>
    <col customWidth="1" min="3" max="3" width="10.43"/>
    <col customWidth="1" min="4" max="4" width="11.57"/>
    <col customWidth="1" min="5" max="5" width="50.71"/>
    <col customWidth="1" min="6" max="6" width="23.71"/>
    <col customWidth="1" min="7" max="7" width="16.29"/>
    <col customWidth="1" min="8" max="8" width="12.71"/>
    <col customWidth="1" min="9" max="9" width="3.29"/>
  </cols>
  <sheetData>
    <row r="1" ht="98.25" customHeight="1">
      <c r="A1" s="1" t="s">
        <v>0</v>
      </c>
    </row>
    <row r="2" ht="141.0" customHeight="1">
      <c r="A2" s="2"/>
      <c r="B2" s="3" t="s">
        <v>1</v>
      </c>
    </row>
    <row r="3" ht="14.25" customHeight="1">
      <c r="A3" s="2"/>
      <c r="B3" s="4" t="s">
        <v>2</v>
      </c>
      <c r="C3" s="4" t="s">
        <v>3</v>
      </c>
      <c r="D3" s="4" t="s">
        <v>4</v>
      </c>
      <c r="E3" s="5" t="s">
        <v>5</v>
      </c>
      <c r="F3" s="5" t="s">
        <v>6</v>
      </c>
      <c r="G3" s="4" t="s">
        <v>7</v>
      </c>
      <c r="H3" s="6" t="s">
        <v>8</v>
      </c>
      <c r="I3" s="7"/>
    </row>
    <row r="4" ht="12.75" customHeight="1">
      <c r="A4" s="2"/>
      <c r="B4" s="8">
        <v>1.0</v>
      </c>
      <c r="C4" s="9">
        <v>1.0</v>
      </c>
      <c r="D4" s="10" t="s">
        <v>9</v>
      </c>
      <c r="E4" s="11" t="s">
        <v>10</v>
      </c>
      <c r="F4" s="12"/>
      <c r="G4" s="13">
        <v>1.2E7</v>
      </c>
      <c r="H4" s="14"/>
      <c r="I4" s="7"/>
    </row>
    <row r="5" ht="15.0" customHeight="1">
      <c r="A5" s="2"/>
      <c r="B5" s="9">
        <v>2.0</v>
      </c>
      <c r="C5" s="9">
        <v>2.0</v>
      </c>
      <c r="D5" s="10" t="s">
        <v>11</v>
      </c>
      <c r="E5" s="15" t="s">
        <v>12</v>
      </c>
      <c r="F5" s="12"/>
      <c r="G5" s="13">
        <v>450000.0</v>
      </c>
      <c r="H5" s="14">
        <f t="shared" ref="H5:H6" si="1">G5*C5</f>
        <v>900000</v>
      </c>
      <c r="I5" s="7"/>
    </row>
    <row r="6" ht="12.75" customHeight="1">
      <c r="A6" s="2"/>
      <c r="B6" s="8">
        <v>3.0</v>
      </c>
      <c r="C6" s="9">
        <v>2.0</v>
      </c>
      <c r="D6" s="16" t="s">
        <v>13</v>
      </c>
      <c r="E6" s="15" t="s">
        <v>14</v>
      </c>
      <c r="F6" s="12"/>
      <c r="G6" s="13">
        <v>1500000.0</v>
      </c>
      <c r="H6" s="14">
        <f t="shared" si="1"/>
        <v>3000000</v>
      </c>
      <c r="I6" s="7"/>
    </row>
    <row r="7" ht="12.75" customHeight="1">
      <c r="A7" s="2"/>
      <c r="B7" s="9"/>
      <c r="C7" s="9"/>
      <c r="D7" s="16"/>
      <c r="E7" s="17"/>
      <c r="F7" s="12"/>
      <c r="G7" s="18"/>
      <c r="H7" s="14"/>
      <c r="I7" s="7"/>
    </row>
    <row r="8" ht="12.75" customHeight="1">
      <c r="A8" s="2"/>
      <c r="B8" s="8"/>
      <c r="C8" s="9"/>
      <c r="D8" s="16"/>
      <c r="E8" s="17"/>
      <c r="F8" s="12"/>
      <c r="G8" s="18"/>
      <c r="H8" s="19"/>
      <c r="I8" s="7"/>
    </row>
    <row r="9" ht="12.75" customHeight="1">
      <c r="A9" s="2"/>
      <c r="B9" s="12"/>
      <c r="C9" s="9"/>
      <c r="D9" s="16"/>
      <c r="E9" s="17"/>
      <c r="F9" s="12"/>
      <c r="G9" s="18"/>
      <c r="H9" s="19"/>
      <c r="I9" s="20"/>
    </row>
    <row r="10" ht="12.75" customHeight="1">
      <c r="A10" s="2"/>
      <c r="B10" s="9"/>
      <c r="C10" s="9"/>
      <c r="D10" s="16"/>
      <c r="E10" s="21"/>
      <c r="F10" s="12"/>
      <c r="G10" s="18"/>
      <c r="H10" s="14"/>
      <c r="I10" s="7"/>
    </row>
    <row r="11" ht="12.75" customHeight="1">
      <c r="A11" s="2"/>
      <c r="B11" s="9"/>
      <c r="C11" s="9"/>
      <c r="D11" s="16"/>
      <c r="E11" s="17"/>
      <c r="F11" s="12"/>
      <c r="G11" s="18"/>
      <c r="H11" s="14"/>
      <c r="I11" s="7"/>
    </row>
    <row r="12" ht="12.75" customHeight="1">
      <c r="A12" s="2"/>
      <c r="B12" s="9"/>
      <c r="C12" s="9"/>
      <c r="D12" s="16"/>
      <c r="E12" s="17"/>
      <c r="F12" s="12"/>
      <c r="G12" s="18"/>
      <c r="H12" s="14"/>
      <c r="I12" s="7"/>
    </row>
    <row r="13" ht="12.75" customHeight="1">
      <c r="A13" s="2"/>
      <c r="B13" s="9"/>
      <c r="C13" s="9"/>
      <c r="D13" s="16"/>
      <c r="E13" s="17"/>
      <c r="F13" s="12"/>
      <c r="G13" s="18"/>
      <c r="H13" s="14"/>
      <c r="I13" s="7"/>
    </row>
    <row r="14" ht="12.75" customHeight="1">
      <c r="A14" s="2"/>
      <c r="B14" s="9"/>
      <c r="C14" s="9"/>
      <c r="D14" s="16"/>
      <c r="E14" s="17"/>
      <c r="F14" s="12"/>
      <c r="G14" s="18"/>
      <c r="H14" s="14"/>
      <c r="I14" s="7"/>
    </row>
    <row r="15" ht="12.75" customHeight="1">
      <c r="A15" s="2"/>
      <c r="B15" s="9"/>
      <c r="C15" s="9"/>
      <c r="D15" s="16"/>
      <c r="E15" s="17"/>
      <c r="F15" s="12"/>
      <c r="G15" s="18"/>
      <c r="H15" s="14"/>
      <c r="I15" s="7"/>
    </row>
    <row r="16" ht="12.75" customHeight="1">
      <c r="A16" s="2"/>
      <c r="B16" s="12"/>
      <c r="C16" s="9"/>
      <c r="D16" s="16"/>
      <c r="E16" s="17"/>
      <c r="F16" s="12"/>
      <c r="G16" s="18"/>
      <c r="H16" s="19"/>
      <c r="I16" s="7"/>
    </row>
    <row r="17" ht="12.75" customHeight="1">
      <c r="A17" s="2"/>
      <c r="B17" s="12"/>
      <c r="C17" s="9"/>
      <c r="D17" s="16"/>
      <c r="E17" s="17"/>
      <c r="F17" s="12"/>
      <c r="G17" s="18"/>
      <c r="H17" s="22"/>
      <c r="I17" s="7"/>
    </row>
    <row r="18" ht="12.75" customHeight="1">
      <c r="A18" s="2"/>
      <c r="B18" s="12"/>
      <c r="C18" s="9"/>
      <c r="D18" s="16"/>
      <c r="E18" s="17"/>
      <c r="F18" s="12"/>
      <c r="G18" s="18"/>
      <c r="H18" s="22"/>
      <c r="I18" s="7"/>
    </row>
    <row r="19" ht="12.75" customHeight="1">
      <c r="A19" s="2"/>
      <c r="B19" s="23"/>
      <c r="C19" s="24"/>
      <c r="D19" s="24"/>
      <c r="E19" s="24"/>
      <c r="F19" s="7"/>
      <c r="G19" s="4" t="s">
        <v>15</v>
      </c>
      <c r="H19" s="25">
        <f>SUM(H4:I15)</f>
        <v>3900000</v>
      </c>
      <c r="I19" s="7"/>
    </row>
    <row r="20" ht="12.75" customHeight="1">
      <c r="A20" s="2"/>
      <c r="B20" s="23"/>
      <c r="C20" s="24"/>
      <c r="D20" s="24"/>
      <c r="E20" s="24"/>
      <c r="F20" s="7"/>
      <c r="G20" s="4" t="s">
        <v>16</v>
      </c>
      <c r="H20" s="25">
        <f>11%*H19</f>
        <v>429000</v>
      </c>
      <c r="I20" s="7"/>
    </row>
    <row r="21" ht="14.25" customHeight="1">
      <c r="A21" s="2"/>
      <c r="B21" s="23"/>
      <c r="C21" s="24"/>
      <c r="D21" s="24"/>
      <c r="E21" s="24"/>
      <c r="F21" s="7"/>
      <c r="G21" s="4" t="s">
        <v>17</v>
      </c>
      <c r="H21" s="25">
        <f>H19+H20</f>
        <v>4329000</v>
      </c>
      <c r="I21" s="7"/>
    </row>
    <row r="22" ht="144.0" customHeight="1">
      <c r="A22" s="26" t="s">
        <v>18</v>
      </c>
      <c r="I22" s="27"/>
    </row>
    <row r="23" ht="12.75" customHeight="1">
      <c r="A23" s="27"/>
      <c r="B23" s="27"/>
      <c r="C23" s="27"/>
      <c r="D23" s="27"/>
      <c r="E23" s="27"/>
      <c r="F23" s="27"/>
      <c r="G23" s="27"/>
      <c r="H23" s="27"/>
      <c r="I23" s="27"/>
    </row>
    <row r="24" ht="12.75" customHeight="1">
      <c r="A24" s="27"/>
      <c r="B24" s="27"/>
      <c r="C24" s="27"/>
      <c r="D24" s="27"/>
      <c r="E24" s="27"/>
      <c r="F24" s="27"/>
      <c r="G24" s="27"/>
      <c r="H24" s="27"/>
      <c r="I24" s="27"/>
    </row>
    <row r="25" ht="12.75" customHeight="1">
      <c r="A25" s="27"/>
      <c r="B25" s="27"/>
      <c r="C25" s="27"/>
      <c r="D25" s="27"/>
      <c r="E25" s="27"/>
      <c r="F25" s="27"/>
      <c r="G25" s="27"/>
      <c r="H25" s="27"/>
      <c r="I25" s="27"/>
    </row>
    <row r="26" ht="12.75" customHeight="1">
      <c r="A26" s="27"/>
      <c r="B26" s="27"/>
      <c r="C26" s="27"/>
      <c r="D26" s="27"/>
      <c r="E26" s="27"/>
      <c r="F26" s="27"/>
      <c r="G26" s="27"/>
      <c r="H26" s="27"/>
      <c r="I26" s="27"/>
    </row>
    <row r="27" ht="12.75" customHeight="1">
      <c r="A27" s="27"/>
      <c r="B27" s="27"/>
      <c r="C27" s="27"/>
      <c r="D27" s="27"/>
      <c r="E27" s="27"/>
      <c r="F27" s="27"/>
      <c r="G27" s="27"/>
      <c r="H27" s="27"/>
      <c r="I27" s="27"/>
    </row>
    <row r="28" ht="12.75" customHeight="1">
      <c r="A28" s="27"/>
      <c r="B28" s="27"/>
      <c r="C28" s="27"/>
      <c r="D28" s="27"/>
      <c r="E28" s="27"/>
      <c r="F28" s="27"/>
      <c r="G28" s="27"/>
      <c r="H28" s="27"/>
      <c r="I28" s="27"/>
    </row>
  </sheetData>
  <mergeCells count="24">
    <mergeCell ref="H3:I3"/>
    <mergeCell ref="H4:I4"/>
    <mergeCell ref="H5:I5"/>
    <mergeCell ref="H6:I6"/>
    <mergeCell ref="H7:I7"/>
    <mergeCell ref="A1:I1"/>
    <mergeCell ref="B2:I2"/>
    <mergeCell ref="H8:I8"/>
    <mergeCell ref="H10:I10"/>
    <mergeCell ref="H11:I11"/>
    <mergeCell ref="H12:I12"/>
    <mergeCell ref="H13:I13"/>
    <mergeCell ref="H14:I14"/>
    <mergeCell ref="H15:I15"/>
    <mergeCell ref="H20:I20"/>
    <mergeCell ref="H21:I21"/>
    <mergeCell ref="H16:I16"/>
    <mergeCell ref="H17:I17"/>
    <mergeCell ref="H18:I18"/>
    <mergeCell ref="B19:F19"/>
    <mergeCell ref="H19:I19"/>
    <mergeCell ref="B20:F20"/>
    <mergeCell ref="B21:F21"/>
    <mergeCell ref="A22:H22"/>
  </mergeCells>
  <hyperlinks>
    <hyperlink r:id="rId1" ref="A1"/>
  </hyperlinks>
  <printOptions/>
  <pageMargins bottom="0.75" footer="0.0" header="0.0" left="0.7" right="0.7" top="0.75"/>
  <pageSetup paperSize="9" scale="64" orientation="portrait"/>
  <drawing r:id="rId2"/>
</worksheet>
</file>