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<sst xmlns="http://schemas.openxmlformats.org/spreadsheetml/2006/main" count="22" uniqueCount="22">
  <si>
    <r>
      <rPr>
        <rFont val="Arial"/>
        <b/>
        <color theme="1"/>
        <sz val="11.0"/>
        <u/>
      </rPr>
      <t>RINCIAN PENAWARAN HARGA</t>
    </r>
  </si>
  <si>
    <t>Nama Pengadaan</t>
  </si>
  <si>
    <t>Pengadaan Alat Kerja Kapal Juni 2026</t>
  </si>
  <si>
    <t>Cabang</t>
  </si>
  <si>
    <t>: Ternate</t>
  </si>
  <si>
    <r>
      <rPr>
        <rFont val="Tahoma"/>
        <color theme="1"/>
        <sz val="9.0"/>
      </rPr>
      <t>No.</t>
    </r>
  </si>
  <si>
    <r>
      <rPr>
        <rFont val="Tahoma"/>
        <color theme="1"/>
        <sz val="9.0"/>
      </rPr>
      <t>Jumlah</t>
    </r>
  </si>
  <si>
    <r>
      <rPr>
        <rFont val="Tahoma"/>
        <color theme="1"/>
        <sz val="9.0"/>
      </rPr>
      <t>Satuan</t>
    </r>
  </si>
  <si>
    <r>
      <rPr>
        <rFont val="Tahoma"/>
        <color theme="1"/>
        <sz val="9.0"/>
      </rPr>
      <t>Nama Barang</t>
    </r>
  </si>
  <si>
    <r>
      <rPr>
        <rFont val="Tahoma"/>
        <color theme="1"/>
        <sz val="9.0"/>
      </rPr>
      <t>Spesifikasi</t>
    </r>
  </si>
  <si>
    <r>
      <rPr>
        <rFont val="Tahoma"/>
        <color theme="1"/>
        <sz val="9.0"/>
      </rPr>
      <t>Penawaran Harga</t>
    </r>
  </si>
  <si>
    <r>
      <rPr>
        <rFont val="Tahoma"/>
        <color theme="1"/>
        <sz val="9.0"/>
      </rPr>
      <t>Harga Satuan</t>
    </r>
  </si>
  <si>
    <r>
      <rPr>
        <rFont val="Tahoma"/>
        <color theme="1"/>
        <sz val="9.0"/>
      </rPr>
      <t>Jumlah</t>
    </r>
  </si>
  <si>
    <t>Unit</t>
  </si>
  <si>
    <t>Accu</t>
  </si>
  <si>
    <t>Kg</t>
  </si>
  <si>
    <t>Majun</t>
  </si>
  <si>
    <r>
      <rPr>
        <rFont val="Tahoma"/>
        <color theme="1"/>
        <sz val="9.0"/>
      </rPr>
      <t>(A)   Jumlah Harga Pekerjaan</t>
    </r>
  </si>
  <si>
    <r>
      <rPr>
        <rFont val="Tahoma"/>
        <color theme="1"/>
        <sz val="9.0"/>
      </rPr>
      <t>(B)   Pajak Pertambahan Nilai ( PPN ) = 11% x (A)</t>
    </r>
  </si>
  <si>
    <r>
      <rPr>
        <rFont val="Tahoma"/>
        <color theme="1"/>
        <sz val="9.0"/>
      </rPr>
      <t>(C)   JUMLAH TOTAL HARGA PEKERJAAN = (A) + (B)</t>
    </r>
  </si>
  <si>
    <r>
      <rPr>
        <rFont val="Arial"/>
        <i/>
        <color theme="1"/>
        <sz val="9.0"/>
      </rPr>
      <t xml:space="preserve">Terbilang :
</t>
    </r>
    <r>
      <rPr>
        <rFont val="Arial"/>
        <b/>
        <i/>
        <color theme="1"/>
        <sz val="9.0"/>
      </rPr>
      <t>TUJUH PULUH LIMA JUTA DUA RATUS TUJUH PULUH LIMA RIBU TUJUH RATUS ENAM PULUH RUPIAH</t>
    </r>
  </si>
  <si>
    <r>
      <rPr>
        <rFont val="Microsoft Sans Serif"/>
        <color theme="1"/>
        <sz val="10.0"/>
      </rPr>
      <t xml:space="preserve">Ternate, 15 April 2026
</t>
    </r>
    <r>
      <rPr>
        <rFont val="Arial"/>
        <b/>
        <color theme="1"/>
        <sz val="10.0"/>
      </rPr>
      <t>CV. ASRI SEJAHTERA ABADI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</si>
</sst>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&quot;Rp&quot;#,##0.00"/>
  </numFmts>
  <fonts count="9">
    <font>
      <sz val="10.0"/>
      <color rgb="FF000000"/>
      <name val="Times New Roman"/>
      <scheme val="minor"/>
    </font>
    <font>
      <b/>
      <sz val="11.0"/>
      <color theme="1"/>
      <name val="Arial"/>
    </font>
    <font>
      <sz val="10.0"/>
      <color rgb="FF000000"/>
      <name val="Times New Roman"/>
    </font>
    <font>
      <sz val="9.0"/>
      <color theme="1"/>
      <name val="Tahoma"/>
    </font>
    <font/>
    <font>
      <b/>
      <sz val="10.0"/>
      <color rgb="FF000000"/>
      <name val="Times New Roman"/>
    </font>
    <font>
      <sz val="11.0"/>
      <color rgb="FF000000"/>
      <name val="Times New Roman"/>
    </font>
    <font>
      <i/>
      <sz val="9.0"/>
      <color theme="1"/>
      <name val="Arial"/>
    </font>
    <font>
      <sz val="10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BCD6ED"/>
        <bgColor rgb="FFBCD6ED"/>
      </patternFill>
    </fill>
  </fills>
  <borders count="17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bottom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bottom" wrapText="1"/>
    </xf>
    <xf borderId="1" fillId="2" fontId="3" numFmtId="0" xfId="0" applyAlignment="1" applyBorder="1" applyFill="1" applyFont="1">
      <alignment horizontal="center" shrinkToFit="0" vertical="top" wrapText="1"/>
    </xf>
    <xf borderId="2" fillId="2" fontId="3" numFmtId="0" xfId="0" applyAlignment="1" applyBorder="1" applyFont="1">
      <alignment horizontal="center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left" vertical="top"/>
    </xf>
    <xf borderId="5" fillId="0" fontId="4" numFmtId="0" xfId="0" applyAlignment="1" applyBorder="1" applyFont="1">
      <alignment horizontal="left" vertical="top"/>
    </xf>
    <xf borderId="6" fillId="0" fontId="4" numFmtId="0" xfId="0" applyAlignment="1" applyBorder="1" applyFont="1">
      <alignment horizontal="left" vertical="top"/>
    </xf>
    <xf borderId="7" fillId="2" fontId="3" numFmtId="0" xfId="0" applyAlignment="1" applyBorder="1" applyFont="1">
      <alignment horizontal="center" shrinkToFit="0" vertical="top" wrapText="1"/>
    </xf>
    <xf borderId="8" fillId="2" fontId="3" numFmtId="0" xfId="0" applyAlignment="1" applyBorder="1" applyFont="1">
      <alignment horizontal="center" shrinkToFit="0" vertical="top" wrapText="1"/>
    </xf>
    <xf borderId="9" fillId="0" fontId="2" numFmtId="0" xfId="0" applyAlignment="1" applyBorder="1" applyFont="1">
      <alignment horizontal="center" shrinkToFit="0" vertical="bottom" wrapText="1"/>
    </xf>
    <xf borderId="7" fillId="0" fontId="2" numFmtId="0" xfId="0" applyAlignment="1" applyBorder="1" applyFont="1">
      <alignment horizontal="center" readingOrder="0" shrinkToFit="0" vertical="bottom" wrapText="1"/>
    </xf>
    <xf borderId="7" fillId="0" fontId="2" numFmtId="0" xfId="0" applyAlignment="1" applyBorder="1" applyFont="1">
      <alignment horizontal="left" readingOrder="0" shrinkToFit="0" vertical="bottom" wrapText="1"/>
    </xf>
    <xf borderId="7" fillId="0" fontId="2" numFmtId="0" xfId="0" applyAlignment="1" applyBorder="1" applyFont="1">
      <alignment horizontal="center" shrinkToFit="0" vertical="bottom" wrapText="1"/>
    </xf>
    <xf borderId="7" fillId="0" fontId="2" numFmtId="164" xfId="0" applyAlignment="1" applyBorder="1" applyFont="1" applyNumberFormat="1">
      <alignment horizontal="center" shrinkToFit="0" vertical="bottom" wrapText="1"/>
    </xf>
    <xf borderId="8" fillId="0" fontId="2" numFmtId="164" xfId="0" applyAlignment="1" applyBorder="1" applyFont="1" applyNumberFormat="1">
      <alignment horizontal="center" shrinkToFit="0" vertical="bottom" wrapText="1"/>
    </xf>
    <xf borderId="7" fillId="0" fontId="2" numFmtId="0" xfId="0" applyAlignment="1" applyBorder="1" applyFont="1">
      <alignment horizontal="left" shrinkToFit="0" vertical="bottom" wrapText="1"/>
    </xf>
    <xf borderId="7" fillId="0" fontId="5" numFmtId="0" xfId="0" applyAlignment="1" applyBorder="1" applyFont="1">
      <alignment horizontal="left" shrinkToFit="0" vertical="bottom" wrapText="1"/>
    </xf>
    <xf borderId="7" fillId="0" fontId="2" numFmtId="165" xfId="0" applyAlignment="1" applyBorder="1" applyFont="1" applyNumberFormat="1">
      <alignment horizontal="center" shrinkToFit="0" vertical="bottom" wrapText="1"/>
    </xf>
    <xf borderId="9" fillId="0" fontId="2" numFmtId="0" xfId="0" applyAlignment="1" applyBorder="1" applyFont="1">
      <alignment horizontal="left" shrinkToFit="0" vertical="bottom" wrapText="1"/>
    </xf>
    <xf borderId="8" fillId="0" fontId="2" numFmtId="0" xfId="0" applyAlignment="1" applyBorder="1" applyFont="1">
      <alignment horizontal="left" shrinkToFit="0" vertical="bottom" wrapText="1"/>
    </xf>
    <xf borderId="10" fillId="0" fontId="3" numFmtId="0" xfId="0" applyAlignment="1" applyBorder="1" applyFont="1">
      <alignment horizontal="left" shrinkToFit="0" vertical="top" wrapText="1"/>
    </xf>
    <xf borderId="11" fillId="0" fontId="4" numFmtId="0" xfId="0" applyAlignment="1" applyBorder="1" applyFont="1">
      <alignment horizontal="left" vertical="top"/>
    </xf>
    <xf borderId="12" fillId="0" fontId="4" numFmtId="0" xfId="0" applyAlignment="1" applyBorder="1" applyFont="1">
      <alignment horizontal="left" vertical="top"/>
    </xf>
    <xf borderId="8" fillId="0" fontId="6" numFmtId="164" xfId="0" applyAlignment="1" applyBorder="1" applyFont="1" applyNumberFormat="1">
      <alignment horizontal="center" shrinkToFit="0" vertical="bottom" wrapText="1"/>
    </xf>
    <xf borderId="13" fillId="0" fontId="3" numFmtId="0" xfId="0" applyAlignment="1" applyBorder="1" applyFont="1">
      <alignment horizontal="left" shrinkToFit="0" vertical="top" wrapText="1"/>
    </xf>
    <xf borderId="14" fillId="0" fontId="4" numFmtId="0" xfId="0" applyAlignment="1" applyBorder="1" applyFont="1">
      <alignment horizontal="left" vertical="top"/>
    </xf>
    <xf borderId="15" fillId="0" fontId="4" numFmtId="0" xfId="0" applyAlignment="1" applyBorder="1" applyFont="1">
      <alignment horizontal="left" vertical="top"/>
    </xf>
    <xf borderId="16" fillId="0" fontId="6" numFmtId="164" xfId="0" applyAlignment="1" applyBorder="1" applyFont="1" applyNumberFormat="1">
      <alignment horizontal="center" shrinkToFit="0" vertical="bottom" wrapText="1"/>
    </xf>
    <xf borderId="0" fillId="0" fontId="2" numFmtId="0" xfId="0" applyAlignment="1" applyFont="1">
      <alignment horizontal="left" shrinkToFit="0" vertical="top" wrapText="1"/>
    </xf>
    <xf borderId="0" fillId="0" fontId="7" numFmtId="0" xfId="0" applyAlignment="1" applyFont="1">
      <alignment horizontal="center" shrinkToFit="0" vertical="top" wrapText="1"/>
    </xf>
    <xf borderId="0" fillId="0" fontId="8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295275</xdr:colOff>
      <xdr:row>0</xdr:row>
      <xdr:rowOff>152400</xdr:rowOff>
    </xdr:from>
    <xdr:ext cx="6477000" cy="12477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35</xdr:row>
      <xdr:rowOff>476250</xdr:rowOff>
    </xdr:from>
    <xdr:ext cx="2533650" cy="16478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4.71"/>
    <col customWidth="1" min="3" max="3" width="9.29"/>
    <col customWidth="1" min="4" max="4" width="8.0"/>
    <col customWidth="1" min="5" max="5" width="34.86"/>
    <col customWidth="1" min="6" max="6" width="18.71"/>
    <col customWidth="1" min="7" max="7" width="16.29"/>
    <col customWidth="1" min="8" max="8" width="19.71"/>
    <col customWidth="1" min="9" max="9" width="4.71"/>
  </cols>
  <sheetData>
    <row r="1" ht="141.75" customHeight="1">
      <c r="A1" s="1" t="s">
        <v>0</v>
      </c>
    </row>
    <row r="2" ht="31.5" customHeight="1">
      <c r="A2" s="2"/>
      <c r="B2" s="2" t="s">
        <v>1</v>
      </c>
      <c r="E2" s="3" t="s">
        <v>2</v>
      </c>
    </row>
    <row r="3" ht="19.5" customHeight="1">
      <c r="A3" s="2"/>
      <c r="B3" s="2" t="s">
        <v>3</v>
      </c>
      <c r="E3" s="2" t="s">
        <v>4</v>
      </c>
    </row>
    <row r="4" ht="15.75" customHeight="1">
      <c r="A4" s="4"/>
      <c r="B4" s="5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7" t="s">
        <v>10</v>
      </c>
      <c r="H4" s="8"/>
      <c r="I4" s="4"/>
    </row>
    <row r="5" ht="14.25" customHeight="1">
      <c r="A5" s="4"/>
      <c r="B5" s="9"/>
      <c r="C5" s="10"/>
      <c r="D5" s="10"/>
      <c r="E5" s="10"/>
      <c r="F5" s="10"/>
      <c r="G5" s="11" t="s">
        <v>11</v>
      </c>
      <c r="H5" s="12" t="s">
        <v>12</v>
      </c>
      <c r="I5" s="4"/>
    </row>
    <row r="6" ht="13.5" customHeight="1">
      <c r="A6" s="4"/>
      <c r="B6" s="13">
        <v>1.0</v>
      </c>
      <c r="C6" s="14">
        <v>1.0</v>
      </c>
      <c r="D6" s="14" t="s">
        <v>13</v>
      </c>
      <c r="E6" s="15" t="s">
        <v>14</v>
      </c>
      <c r="F6" s="16"/>
      <c r="G6" s="17">
        <v>350000.0</v>
      </c>
      <c r="H6" s="18">
        <f t="shared" ref="H6:H7" si="1">G6*C6</f>
        <v>350000</v>
      </c>
      <c r="I6" s="4"/>
    </row>
    <row r="7" ht="13.5" customHeight="1">
      <c r="A7" s="4"/>
      <c r="B7" s="13">
        <v>2.0</v>
      </c>
      <c r="C7" s="14">
        <v>2.0</v>
      </c>
      <c r="D7" s="14" t="s">
        <v>15</v>
      </c>
      <c r="E7" s="15" t="s">
        <v>16</v>
      </c>
      <c r="F7" s="16"/>
      <c r="G7" s="17">
        <v>228000.0</v>
      </c>
      <c r="H7" s="18">
        <f t="shared" si="1"/>
        <v>456000</v>
      </c>
      <c r="I7" s="4"/>
    </row>
    <row r="8" ht="13.5" customHeight="1">
      <c r="A8" s="4"/>
      <c r="B8" s="13"/>
      <c r="C8" s="16"/>
      <c r="D8" s="16"/>
      <c r="E8" s="19"/>
      <c r="F8" s="16"/>
      <c r="G8" s="17"/>
      <c r="H8" s="18"/>
      <c r="I8" s="4"/>
    </row>
    <row r="9" ht="13.5" customHeight="1">
      <c r="A9" s="4"/>
      <c r="B9" s="13"/>
      <c r="C9" s="16"/>
      <c r="D9" s="16"/>
      <c r="E9" s="20"/>
      <c r="F9" s="16"/>
      <c r="G9" s="17"/>
      <c r="H9" s="18"/>
      <c r="I9" s="4"/>
    </row>
    <row r="10" ht="13.5" customHeight="1">
      <c r="A10" s="4"/>
      <c r="B10" s="13"/>
      <c r="C10" s="16"/>
      <c r="D10" s="16"/>
      <c r="E10" s="19"/>
      <c r="F10" s="16"/>
      <c r="G10" s="17"/>
      <c r="H10" s="18"/>
      <c r="I10" s="4"/>
    </row>
    <row r="11" ht="13.5" customHeight="1">
      <c r="A11" s="4"/>
      <c r="B11" s="13"/>
      <c r="C11" s="16"/>
      <c r="D11" s="16"/>
      <c r="E11" s="19"/>
      <c r="F11" s="16"/>
      <c r="G11" s="17"/>
      <c r="H11" s="18"/>
      <c r="I11" s="4"/>
    </row>
    <row r="12" ht="13.5" customHeight="1">
      <c r="A12" s="4"/>
      <c r="B12" s="13"/>
      <c r="C12" s="16"/>
      <c r="D12" s="16"/>
      <c r="E12" s="19"/>
      <c r="F12" s="16"/>
      <c r="G12" s="17"/>
      <c r="H12" s="18"/>
      <c r="I12" s="4"/>
    </row>
    <row r="13" ht="13.5" customHeight="1">
      <c r="A13" s="4"/>
      <c r="B13" s="13"/>
      <c r="C13" s="16"/>
      <c r="D13" s="16"/>
      <c r="E13" s="20"/>
      <c r="F13" s="16"/>
      <c r="G13" s="17"/>
      <c r="H13" s="18"/>
      <c r="I13" s="4"/>
    </row>
    <row r="14" ht="13.5" customHeight="1">
      <c r="A14" s="4"/>
      <c r="B14" s="13"/>
      <c r="C14" s="16"/>
      <c r="D14" s="16"/>
      <c r="E14" s="19"/>
      <c r="F14" s="16"/>
      <c r="G14" s="17"/>
      <c r="H14" s="18"/>
      <c r="I14" s="4"/>
    </row>
    <row r="15" ht="13.5" customHeight="1">
      <c r="A15" s="4"/>
      <c r="B15" s="13"/>
      <c r="C15" s="16"/>
      <c r="D15" s="16"/>
      <c r="E15" s="19"/>
      <c r="F15" s="16"/>
      <c r="G15" s="17"/>
      <c r="H15" s="18"/>
      <c r="I15" s="4"/>
    </row>
    <row r="16" ht="13.5" customHeight="1">
      <c r="A16" s="4"/>
      <c r="B16" s="13"/>
      <c r="C16" s="16"/>
      <c r="D16" s="16"/>
      <c r="E16" s="19"/>
      <c r="F16" s="16"/>
      <c r="G16" s="17"/>
      <c r="H16" s="18"/>
      <c r="I16" s="4"/>
    </row>
    <row r="17" ht="13.5" customHeight="1">
      <c r="A17" s="4"/>
      <c r="B17" s="13"/>
      <c r="C17" s="16"/>
      <c r="D17" s="16"/>
      <c r="E17" s="20"/>
      <c r="F17" s="16"/>
      <c r="G17" s="17"/>
      <c r="H17" s="18"/>
      <c r="I17" s="4"/>
    </row>
    <row r="18" ht="13.5" customHeight="1">
      <c r="A18" s="4"/>
      <c r="B18" s="13"/>
      <c r="C18" s="16"/>
      <c r="D18" s="16"/>
      <c r="E18" s="19"/>
      <c r="F18" s="16"/>
      <c r="G18" s="17"/>
      <c r="H18" s="18"/>
      <c r="I18" s="4"/>
    </row>
    <row r="19" ht="13.5" customHeight="1">
      <c r="A19" s="4"/>
      <c r="B19" s="13"/>
      <c r="C19" s="16"/>
      <c r="D19" s="16"/>
      <c r="E19" s="19"/>
      <c r="F19" s="16"/>
      <c r="G19" s="17"/>
      <c r="H19" s="18"/>
      <c r="I19" s="4"/>
    </row>
    <row r="20" ht="13.5" customHeight="1">
      <c r="A20" s="4"/>
      <c r="B20" s="13"/>
      <c r="C20" s="16"/>
      <c r="D20" s="16"/>
      <c r="E20" s="19"/>
      <c r="F20" s="16"/>
      <c r="G20" s="17"/>
      <c r="H20" s="18"/>
      <c r="I20" s="4"/>
    </row>
    <row r="21" ht="13.5" customHeight="1">
      <c r="A21" s="4"/>
      <c r="B21" s="13"/>
      <c r="C21" s="16"/>
      <c r="D21" s="16"/>
      <c r="E21" s="20"/>
      <c r="F21" s="16"/>
      <c r="G21" s="17"/>
      <c r="H21" s="18"/>
      <c r="I21" s="4"/>
    </row>
    <row r="22" ht="13.5" customHeight="1">
      <c r="A22" s="4"/>
      <c r="B22" s="13"/>
      <c r="C22" s="16"/>
      <c r="D22" s="16"/>
      <c r="E22" s="19"/>
      <c r="F22" s="16"/>
      <c r="G22" s="17"/>
      <c r="H22" s="18"/>
      <c r="I22" s="4"/>
    </row>
    <row r="23" ht="13.5" customHeight="1">
      <c r="A23" s="4"/>
      <c r="B23" s="13"/>
      <c r="C23" s="16"/>
      <c r="D23" s="16"/>
      <c r="E23" s="19"/>
      <c r="F23" s="16"/>
      <c r="G23" s="17"/>
      <c r="H23" s="18"/>
      <c r="I23" s="4"/>
    </row>
    <row r="24" ht="13.5" customHeight="1">
      <c r="A24" s="4"/>
      <c r="B24" s="13"/>
      <c r="C24" s="16"/>
      <c r="D24" s="16"/>
      <c r="E24" s="19"/>
      <c r="F24" s="16"/>
      <c r="G24" s="17"/>
      <c r="H24" s="18"/>
      <c r="I24" s="4"/>
    </row>
    <row r="25" ht="13.5" customHeight="1">
      <c r="A25" s="4"/>
      <c r="B25" s="13"/>
      <c r="C25" s="16"/>
      <c r="D25" s="16"/>
      <c r="E25" s="19"/>
      <c r="F25" s="16"/>
      <c r="G25" s="17"/>
      <c r="H25" s="18"/>
      <c r="I25" s="4"/>
    </row>
    <row r="26" ht="13.5" customHeight="1">
      <c r="A26" s="4"/>
      <c r="B26" s="13"/>
      <c r="C26" s="16"/>
      <c r="D26" s="16"/>
      <c r="E26" s="19"/>
      <c r="F26" s="16"/>
      <c r="G26" s="17"/>
      <c r="H26" s="18"/>
      <c r="I26" s="4"/>
    </row>
    <row r="27" ht="13.5" customHeight="1">
      <c r="A27" s="4"/>
      <c r="B27" s="13"/>
      <c r="C27" s="16"/>
      <c r="D27" s="16"/>
      <c r="E27" s="19"/>
      <c r="F27" s="16"/>
      <c r="G27" s="17"/>
      <c r="H27" s="18"/>
      <c r="I27" s="4"/>
    </row>
    <row r="28" ht="13.5" customHeight="1">
      <c r="A28" s="4"/>
      <c r="B28" s="13"/>
      <c r="C28" s="16"/>
      <c r="D28" s="16"/>
      <c r="E28" s="19"/>
      <c r="F28" s="16"/>
      <c r="G28" s="17"/>
      <c r="H28" s="18"/>
      <c r="I28" s="4"/>
    </row>
    <row r="29" ht="13.5" customHeight="1">
      <c r="A29" s="4"/>
      <c r="B29" s="13"/>
      <c r="C29" s="16"/>
      <c r="D29" s="16"/>
      <c r="E29" s="19"/>
      <c r="F29" s="16"/>
      <c r="G29" s="17"/>
      <c r="H29" s="18"/>
      <c r="I29" s="4"/>
    </row>
    <row r="30" ht="13.5" customHeight="1">
      <c r="A30" s="4"/>
      <c r="B30" s="13"/>
      <c r="C30" s="16"/>
      <c r="D30" s="16"/>
      <c r="E30" s="19"/>
      <c r="F30" s="19"/>
      <c r="G30" s="21"/>
      <c r="H30" s="18"/>
      <c r="I30" s="4"/>
    </row>
    <row r="31" ht="13.5" customHeight="1">
      <c r="A31" s="4"/>
      <c r="B31" s="22"/>
      <c r="C31" s="19"/>
      <c r="D31" s="19"/>
      <c r="E31" s="19"/>
      <c r="F31" s="19"/>
      <c r="G31" s="19"/>
      <c r="H31" s="23"/>
      <c r="I31" s="4"/>
    </row>
    <row r="32" ht="15.0" customHeight="1">
      <c r="A32" s="4"/>
      <c r="B32" s="24" t="s">
        <v>17</v>
      </c>
      <c r="C32" s="25"/>
      <c r="D32" s="25"/>
      <c r="E32" s="25"/>
      <c r="F32" s="25"/>
      <c r="G32" s="26"/>
      <c r="H32" s="27">
        <f>SUM(H6:H31)</f>
        <v>806000</v>
      </c>
      <c r="I32" s="4"/>
    </row>
    <row r="33" ht="14.25" customHeight="1">
      <c r="A33" s="4"/>
      <c r="B33" s="24" t="s">
        <v>18</v>
      </c>
      <c r="C33" s="25"/>
      <c r="D33" s="25"/>
      <c r="E33" s="25"/>
      <c r="F33" s="25"/>
      <c r="G33" s="26"/>
      <c r="H33" s="27">
        <f>H32*11%</f>
        <v>88660</v>
      </c>
      <c r="I33" s="4"/>
    </row>
    <row r="34" ht="14.25" customHeight="1">
      <c r="A34" s="4"/>
      <c r="B34" s="28" t="s">
        <v>19</v>
      </c>
      <c r="C34" s="29"/>
      <c r="D34" s="29"/>
      <c r="E34" s="29"/>
      <c r="F34" s="29"/>
      <c r="G34" s="30"/>
      <c r="H34" s="31">
        <f>H33+H32</f>
        <v>894660</v>
      </c>
      <c r="I34" s="4"/>
    </row>
    <row r="35" ht="42.75" customHeight="1">
      <c r="A35" s="32"/>
      <c r="B35" s="33" t="s">
        <v>20</v>
      </c>
      <c r="I35" s="32"/>
    </row>
    <row r="36" ht="45.0" customHeight="1">
      <c r="A36" s="34" t="s">
        <v>21</v>
      </c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</sheetData>
  <mergeCells count="16">
    <mergeCell ref="D4:D5"/>
    <mergeCell ref="E4:E5"/>
    <mergeCell ref="B32:G32"/>
    <mergeCell ref="B33:G33"/>
    <mergeCell ref="B34:G34"/>
    <mergeCell ref="B35:H35"/>
    <mergeCell ref="A36:I36"/>
    <mergeCell ref="F4:F5"/>
    <mergeCell ref="G4:H4"/>
    <mergeCell ref="A1:I1"/>
    <mergeCell ref="B2:D2"/>
    <mergeCell ref="E2:I2"/>
    <mergeCell ref="B3:D3"/>
    <mergeCell ref="E3:I3"/>
    <mergeCell ref="B4:B5"/>
    <mergeCell ref="C4:C5"/>
  </mergeCells>
  <printOptions/>
  <pageMargins bottom="0.7480314960629921" footer="0.0" header="0.0" left="0.7086614173228347" right="0.7086614173228347" top="0.7480314960629921"/>
  <pageSetup paperSize="9" scale="75" orientation="portrait"/>
  <drawing r:id="rId1"/>
</worksheet>
</file>