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PPB" sheetId="2" r:id="rId6"/>
    <sheet state="visible" name="spkh" sheetId="3" r:id="rId7"/>
    <sheet state="visible" name="BSTB" sheetId="4" r:id="rId8"/>
    <sheet state="visible" name="Foto" sheetId="5" r:id="rId9"/>
  </sheets>
  <definedNames/>
  <calcPr/>
</workbook>
</file>

<file path=xl/sharedStrings.xml><?xml version="1.0" encoding="utf-8"?>
<sst xmlns="http://schemas.openxmlformats.org/spreadsheetml/2006/main" count="253" uniqueCount="161">
  <si>
    <t>Mata Anggaran</t>
  </si>
  <si>
    <t>5010403003 (Kapal Ro-Ro)</t>
  </si>
  <si>
    <t>5010403100 (Permesinan &amp; Kelistrikan Kapal)</t>
  </si>
  <si>
    <t>5010403009 (Akomodasi, Peralatan &amp; Perlengkapan Kapal)</t>
  </si>
  <si>
    <t>5010317000 (Biaya Sertifikasi Alat Produksi Docking)</t>
  </si>
  <si>
    <t>5010302006 (Fumigasi)</t>
  </si>
  <si>
    <t>5010302004 (Mobilisasi Docking)</t>
  </si>
  <si>
    <t>1020604003 (Investasi Kapal Ro-Ro)</t>
  </si>
  <si>
    <t>1020604009 (Investasi Akomodasi, Peralatan &amp; Perlengkapan Kapal)</t>
  </si>
  <si>
    <t>1020604010 (Investasi Permesinan dan Kelistrikan)</t>
  </si>
  <si>
    <t>NAKHODA</t>
  </si>
  <si>
    <t>KMP. TUNA</t>
  </si>
  <si>
    <t>CECEP KOSWARA</t>
  </si>
  <si>
    <t>KMP. MAMING</t>
  </si>
  <si>
    <t>MUHADI</t>
  </si>
  <si>
    <t>KMP. PULAU SAGORI</t>
  </si>
  <si>
    <t>SARPUDIN SANDUAN</t>
  </si>
  <si>
    <t>KMP. PORTLINK VIII</t>
  </si>
  <si>
    <t>SARAFUDIN HAYALE</t>
  </si>
  <si>
    <t>KMP. LOMPA</t>
  </si>
  <si>
    <t>YONDI U SAKTI</t>
  </si>
  <si>
    <t>KMP. NGAFI</t>
  </si>
  <si>
    <t>ASMIN</t>
  </si>
  <si>
    <t>KMP. KOLORAI</t>
  </si>
  <si>
    <t>REZKY LOLO PAYUNG</t>
  </si>
  <si>
    <t>KMP. BARONANG</t>
  </si>
  <si>
    <t>SAMSON TINUNGKI</t>
  </si>
  <si>
    <t>KMP. KERAPU II</t>
  </si>
  <si>
    <t>FAHRIL</t>
  </si>
  <si>
    <t>KMP. GORANGO</t>
  </si>
  <si>
    <t>ANTON WAHYUDI</t>
  </si>
  <si>
    <t>KMP. BOBARA</t>
  </si>
  <si>
    <t>PHILIPUS MAHUBESSY</t>
  </si>
  <si>
    <t>KMP. ARIWANGAN</t>
  </si>
  <si>
    <t>ERIEK PUTRA NEGARA</t>
  </si>
  <si>
    <t>KMP. LEMA</t>
  </si>
  <si>
    <t>BUDI PRIYANTO</t>
  </si>
  <si>
    <t>KKM/MASINIS I</t>
  </si>
  <si>
    <t>RUSLI</t>
  </si>
  <si>
    <t>ARIEF SETYAWAN</t>
  </si>
  <si>
    <t>SLAMET DAHRONI</t>
  </si>
  <si>
    <t>PAWIT SUTRISNO</t>
  </si>
  <si>
    <t>SURYADI WIJAYA</t>
  </si>
  <si>
    <t>FAIZAL</t>
  </si>
  <si>
    <t>REZKY</t>
  </si>
  <si>
    <t>DENY SETYAWAN</t>
  </si>
  <si>
    <t>MUHAMMAD ARIF</t>
  </si>
  <si>
    <t>SELSIUS C PONTO</t>
  </si>
  <si>
    <t>PIERE GEORGE H. REHATTA</t>
  </si>
  <si>
    <t>SISWANTO</t>
  </si>
  <si>
    <t>HENDRA RUDOLF SOUMOKIL</t>
  </si>
  <si>
    <t>Nama Vendor</t>
  </si>
  <si>
    <t>Nomor Telepon</t>
  </si>
  <si>
    <t>CV. Multi Karya Jasa</t>
  </si>
  <si>
    <t>082153148837</t>
  </si>
  <si>
    <t>CV. Leon Pratama</t>
  </si>
  <si>
    <t>087754384412</t>
  </si>
  <si>
    <t>Bengkel Buana Karya</t>
  </si>
  <si>
    <t>082177650201</t>
  </si>
  <si>
    <t>No. Dokumen</t>
  </si>
  <si>
    <t>:</t>
  </si>
  <si>
    <t>FC-107.00.07</t>
  </si>
  <si>
    <t xml:space="preserve">FORMULIR PERSETUJUAN PENGADAAN                                                                   </t>
  </si>
  <si>
    <t>Revisi</t>
  </si>
  <si>
    <t>00</t>
  </si>
  <si>
    <t xml:space="preserve">BARANG/JASA NON PURCHASE ORDER    </t>
  </si>
  <si>
    <t>Berlaku efektif</t>
  </si>
  <si>
    <t>Halaman</t>
  </si>
  <si>
    <t>1 dari 1</t>
  </si>
  <si>
    <t xml:space="preserve">No.SPPB/J  </t>
  </si>
  <si>
    <t>051/SPPB/TTE/V/ASDP-2026</t>
  </si>
  <si>
    <t xml:space="preserve">Tanggal     </t>
  </si>
  <si>
    <t>12 Juni 2026</t>
  </si>
  <si>
    <t>Klasifikasi</t>
  </si>
  <si>
    <t xml:space="preserve"> normal</t>
  </si>
  <si>
    <t>Emergency</t>
  </si>
  <si>
    <t>urgent</t>
  </si>
  <si>
    <t xml:space="preserve">Dasar Pelimpahan* (jika ada)             </t>
  </si>
  <si>
    <t>Nama Pengadaan</t>
  </si>
  <si>
    <t>Jasa Perbaikan Cas ACCU KMP Kolorai Mei 2026</t>
  </si>
  <si>
    <t xml:space="preserve">Tanggal dibutuhkan   </t>
  </si>
  <si>
    <t>SEGERA</t>
  </si>
  <si>
    <t>No</t>
  </si>
  <si>
    <t>Jumlah</t>
  </si>
  <si>
    <t>Satuan</t>
  </si>
  <si>
    <t>Nama Barang</t>
  </si>
  <si>
    <t>Spesifikasi</t>
  </si>
  <si>
    <t>Estimasi Harga</t>
  </si>
  <si>
    <t>Harga Satuan</t>
  </si>
  <si>
    <t>Au</t>
  </si>
  <si>
    <t xml:space="preserve">Perbaikan Cas ACCU </t>
  </si>
  <si>
    <t>Jumlah  Rp.</t>
  </si>
  <si>
    <t>Pajak Rp.</t>
  </si>
  <si>
    <t>Total   Rp.</t>
  </si>
  <si>
    <t>Catatan Peminta Barang &amp; Jasa :</t>
  </si>
  <si>
    <t>Kupang,</t>
  </si>
  <si>
    <t>Peminta Barang</t>
  </si>
  <si>
    <t xml:space="preserve"> </t>
  </si>
  <si>
    <t>IRSAN ANUGRAH</t>
  </si>
  <si>
    <t xml:space="preserve">Staf Teknik Armada dan Fasilitas </t>
  </si>
  <si>
    <t>Catatan :</t>
  </si>
  <si>
    <t xml:space="preserve">Tgl,     </t>
  </si>
  <si>
    <t>ERYANTO SIDABALOK</t>
  </si>
  <si>
    <t>Dept. Head Operasional dan Teknik</t>
  </si>
  <si>
    <t>Disetujui Oleh</t>
  </si>
  <si>
    <t>MUSHAR USMAN</t>
  </si>
  <si>
    <t>General Manager</t>
  </si>
  <si>
    <t>SURAT PERNYATAAN KEBENARAN HARGA</t>
  </si>
  <si>
    <t>: FC-107.00.06</t>
  </si>
  <si>
    <t>: 00</t>
  </si>
  <si>
    <t>Berlaku Efektif</t>
  </si>
  <si>
    <t>: 1 dari 6</t>
  </si>
  <si>
    <t>DENGAN NILAI DIBAWAH Rp. 50 Juta</t>
  </si>
  <si>
    <t>Saya yang bertanda tangan dibawah ini :</t>
  </si>
  <si>
    <t>Nama</t>
  </si>
  <si>
    <t>Jabatan</t>
  </si>
  <si>
    <t>NIK</t>
  </si>
  <si>
    <t>KKP_738</t>
  </si>
  <si>
    <t>Selanjutnya dinyatakan sebagai ”Pembuat Pernyataan”</t>
  </si>
  <si>
    <t>Dengan ini menyatakan dengan sebenar-benarnya hal-hal sebagai berikut :</t>
  </si>
  <si>
    <t>1.</t>
  </si>
  <si>
    <t>Bahwa Pemberi Pernyataan menyatakan dengan sesungguhnya dan sejujur-jujurnya Bahwa harga yang tertera di Bawah ini  benar adanya dan dapat dikonfirmasi di CV. Multi Karya Jasa - Ternate dinomor telepon (082153148837)</t>
  </si>
  <si>
    <t>No.</t>
  </si>
  <si>
    <t>Uraian Barang/ Spesifikasi</t>
  </si>
  <si>
    <t>Harga Awal</t>
  </si>
  <si>
    <t>Harga Negosiasi</t>
  </si>
  <si>
    <t>Keterangan</t>
  </si>
  <si>
    <t>Ppn. 11%</t>
  </si>
  <si>
    <t xml:space="preserve">Jumlah Total </t>
  </si>
  <si>
    <t>2.</t>
  </si>
  <si>
    <t>Demikian Surat Pernyataan ini di buat  untuk digunakan untuk pendukung pengadaan dan dijamin kebenarannya dan siap  untuk dibuktikan kebenarannya.</t>
  </si>
  <si>
    <t xml:space="preserve">Ternate, </t>
  </si>
  <si>
    <t>Mengetahui :</t>
  </si>
  <si>
    <t>Pembuat Pernyataan</t>
  </si>
  <si>
    <t>HP-105.00.07</t>
  </si>
  <si>
    <t xml:space="preserve"> BUKTI SERAH TERIMA BARANG</t>
  </si>
  <si>
    <t>04</t>
  </si>
  <si>
    <t>25 April 2022</t>
  </si>
  <si>
    <t>Kepada Yth</t>
  </si>
  <si>
    <t>KKM KMP. Kolorai</t>
  </si>
  <si>
    <t>Nomor</t>
  </si>
  <si>
    <t>027/BPB-TNK/TTE/V/ASDP-2026</t>
  </si>
  <si>
    <t>Alamat Tujuan</t>
  </si>
  <si>
    <t>Tanggal</t>
  </si>
  <si>
    <t>Dasar Pengiriman No.</t>
  </si>
  <si>
    <t>Bersama ini dikirimkan barang  dengan detail sebagai berikut :</t>
  </si>
  <si>
    <t>Nama/Uraian Barang</t>
  </si>
  <si>
    <t>Jenis/ Type/ Part Number</t>
  </si>
  <si>
    <t>Harga Barang Satuan</t>
  </si>
  <si>
    <t>Kondisi*)</t>
  </si>
  <si>
    <t>(Rp)</t>
  </si>
  <si>
    <t>(Baru/Bekas,Baik/Rusak)</t>
  </si>
  <si>
    <t>Baik</t>
  </si>
  <si>
    <t>Catatan   :</t>
  </si>
  <si>
    <t>Setelah ditanda tangan dan distempel agar dikirim kembali ke Teknik PT.ASDP Indonesia Ferry (Persero) Kantor Cabang</t>
  </si>
  <si>
    <t>*)</t>
  </si>
  <si>
    <t>Kondisi : Baru, Bekas, Baik atau Rusak</t>
  </si>
  <si>
    <t>Penerima,</t>
  </si>
  <si>
    <t>Pengirim</t>
  </si>
  <si>
    <t>RIZKI</t>
  </si>
  <si>
    <t xml:space="preserve">DOKUMENTASI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</si>
</sst>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_(* #,##0_);_(* \(#,##0\);_(* &quot;-&quot;_);_(@_)"/>
    <numFmt numFmtId="166" formatCode="_(* #,##0_);_(* \(#,##0\);_(* &quot;-&quot;??_);_(@_)"/>
  </numFmts>
  <fonts count="41"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Arial"/>
    </font>
    <font/>
    <font>
      <b/>
      <sz val="14.0"/>
      <color theme="1"/>
      <name val="Arial"/>
    </font>
    <font>
      <sz val="10.0"/>
      <color theme="1"/>
      <name val="Arial"/>
    </font>
    <font>
      <sz val="14.0"/>
      <color theme="1"/>
      <name val="Comic Sans MS"/>
    </font>
    <font>
      <sz val="11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Calibri"/>
    </font>
    <font>
      <b/>
      <u/>
      <sz val="10.0"/>
      <color theme="1"/>
      <name val="Calibri"/>
    </font>
    <font>
      <b/>
      <u/>
      <sz val="12.0"/>
      <color theme="1"/>
      <name val="Arial"/>
    </font>
    <font>
      <sz val="12.0"/>
      <color theme="1"/>
      <name val="Calibri"/>
    </font>
    <font>
      <sz val="11.0"/>
      <color theme="1"/>
      <name val="Tahoma"/>
    </font>
    <font>
      <b/>
      <sz val="11.0"/>
      <color theme="1"/>
      <name val="Calibri"/>
    </font>
    <font>
      <i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4.0"/>
      <color theme="1"/>
      <name val="Arial"/>
    </font>
    <font>
      <sz val="8.0"/>
      <color theme="1"/>
      <name val="Arial"/>
    </font>
    <font>
      <b/>
      <sz val="11.0"/>
      <color theme="1"/>
      <name val="Arial"/>
    </font>
    <font>
      <b/>
      <u/>
      <sz val="10.0"/>
      <color theme="1"/>
      <name val="Arial"/>
    </font>
    <font>
      <i/>
      <sz val="11.0"/>
      <color theme="1"/>
      <name val="Arial"/>
    </font>
    <font>
      <u/>
      <sz val="11.0"/>
      <color theme="1"/>
      <name val="Arial"/>
    </font>
    <font>
      <sz val="13.0"/>
      <color theme="1"/>
      <name val="Comic Sans MS"/>
    </font>
    <font>
      <sz val="10.0"/>
      <color theme="1"/>
      <name val="Times New Roman"/>
    </font>
    <font>
      <sz val="10.0"/>
      <color theme="1"/>
      <name val="Comic Sans MS"/>
    </font>
    <font>
      <b/>
      <sz val="13.0"/>
      <color theme="1"/>
      <name val="Times New Roman"/>
    </font>
    <font>
      <sz val="12.0"/>
      <color theme="1"/>
      <name val="Times New Roman"/>
    </font>
    <font>
      <u/>
      <sz val="10.0"/>
      <color theme="1"/>
      <name val="Arial"/>
    </font>
    <font>
      <u/>
      <sz val="10.0"/>
      <color theme="1"/>
      <name val="Arial"/>
    </font>
    <font>
      <b/>
      <i/>
      <u/>
      <sz val="10.0"/>
      <color theme="1"/>
      <name val="Arial"/>
    </font>
    <font>
      <u/>
      <sz val="10.0"/>
      <color theme="1"/>
      <name val="Arial"/>
    </font>
    <font>
      <b/>
      <u/>
      <sz val="16.0"/>
      <color theme="1"/>
      <name val="Arial"/>
    </font>
  </fonts>
  <fills count="2">
    <fill>
      <patternFill patternType="none"/>
    </fill>
    <fill>
      <patternFill patternType="lightGray"/>
    </fill>
  </fills>
  <borders count="71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double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bottom style="double">
        <color rgb="FF000000"/>
      </bottom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vertical="bottom" wrapText="0"/>
    </xf>
    <xf quotePrefix="1" borderId="0" fillId="0" fontId="1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2" fillId="0" fontId="6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quotePrefix="1" borderId="9" fillId="0" fontId="7" numFmtId="0" xfId="0" applyAlignment="1" applyBorder="1" applyFont="1">
      <alignment vertical="center"/>
    </xf>
    <xf borderId="9" fillId="0" fontId="7" numFmtId="15" xfId="0" applyAlignment="1" applyBorder="1" applyFont="1" applyNumberFormat="1">
      <alignment vertical="center"/>
    </xf>
    <xf borderId="10" fillId="0" fontId="5" numFmtId="0" xfId="0" applyBorder="1" applyFont="1"/>
    <xf borderId="11" fillId="0" fontId="5" numFmtId="0" xfId="0" applyBorder="1" applyFont="1"/>
    <xf borderId="11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quotePrefix="1" borderId="14" fillId="0" fontId="7" numFmtId="0" xfId="0" applyAlignment="1" applyBorder="1" applyFont="1">
      <alignment vertical="center"/>
    </xf>
    <xf borderId="15" fillId="0" fontId="8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18" fillId="0" fontId="7" numFmtId="0" xfId="0" applyAlignment="1" applyBorder="1" applyFont="1">
      <alignment vertical="center"/>
    </xf>
    <xf borderId="19" fillId="0" fontId="5" numFmtId="0" xfId="0" applyBorder="1" applyFont="1"/>
    <xf borderId="19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vertical="center"/>
    </xf>
    <xf borderId="19" fillId="0" fontId="9" numFmtId="0" xfId="0" applyBorder="1" applyFont="1"/>
    <xf borderId="20" fillId="0" fontId="7" numFmtId="0" xfId="0" applyAlignment="1" applyBorder="1" applyFont="1">
      <alignment vertical="center"/>
    </xf>
    <xf borderId="21" fillId="0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vertical="center"/>
    </xf>
    <xf borderId="22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1" fillId="0" fontId="7" numFmtId="0" xfId="0" applyAlignment="1" applyBorder="1" applyFont="1">
      <alignment horizontal="left" readingOrder="0" vertical="center"/>
    </xf>
    <xf borderId="18" fillId="0" fontId="7" numFmtId="0" xfId="0" applyAlignment="1" applyBorder="1" applyFont="1">
      <alignment horizontal="left" vertical="center"/>
    </xf>
    <xf borderId="19" fillId="0" fontId="7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left" vertical="center"/>
    </xf>
    <xf borderId="21" fillId="0" fontId="7" numFmtId="15" xfId="0" applyAlignment="1" applyBorder="1" applyFont="1" applyNumberFormat="1">
      <alignment horizontal="left" vertical="center"/>
    </xf>
    <xf borderId="18" fillId="0" fontId="7" numFmtId="0" xfId="0" applyAlignment="1" applyBorder="1" applyFont="1">
      <alignment horizontal="left" shrinkToFit="0" vertical="center" wrapText="1"/>
    </xf>
    <xf borderId="11" fillId="0" fontId="11" numFmtId="0" xfId="0" applyAlignment="1" applyBorder="1" applyFont="1">
      <alignment horizontal="left" shrinkToFit="0" vertical="center" wrapText="1"/>
    </xf>
    <xf borderId="24" fillId="0" fontId="5" numFmtId="0" xfId="0" applyBorder="1" applyFont="1"/>
    <xf borderId="19" fillId="0" fontId="11" numFmtId="0" xfId="0" applyAlignment="1" applyBorder="1" applyFont="1">
      <alignment horizontal="left" shrinkToFit="0" vertical="center" wrapText="1"/>
    </xf>
    <xf borderId="21" fillId="0" fontId="5" numFmtId="0" xfId="0" applyBorder="1" applyFont="1"/>
    <xf borderId="25" fillId="0" fontId="7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vertical="center"/>
    </xf>
    <xf borderId="26" fillId="0" fontId="7" numFmtId="0" xfId="0" applyAlignment="1" applyBorder="1" applyFont="1">
      <alignment horizontal="center"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9" fillId="0" fontId="5" numFmtId="0" xfId="0" applyBorder="1" applyFont="1"/>
    <xf borderId="20" fillId="0" fontId="7" numFmtId="0" xfId="0" applyAlignment="1" applyBorder="1" applyFont="1">
      <alignment horizontal="center" shrinkToFit="0" vertical="center" wrapText="1"/>
    </xf>
    <xf borderId="30" fillId="0" fontId="5" numFmtId="0" xfId="0" applyBorder="1" applyFont="1"/>
    <xf borderId="31" fillId="0" fontId="5" numFmtId="0" xfId="0" applyBorder="1" applyFont="1"/>
    <xf borderId="22" fillId="0" fontId="5" numFmtId="0" xfId="0" applyBorder="1" applyFont="1"/>
    <xf borderId="32" fillId="0" fontId="5" numFmtId="0" xfId="0" applyBorder="1" applyFont="1"/>
    <xf borderId="20" fillId="0" fontId="7" numFmtId="0" xfId="0" applyAlignment="1" applyBorder="1" applyFont="1">
      <alignment horizontal="center" shrinkToFit="0" vertical="top" wrapText="1"/>
    </xf>
    <xf borderId="33" fillId="0" fontId="5" numFmtId="0" xfId="0" applyBorder="1" applyFont="1"/>
    <xf borderId="34" fillId="0" fontId="7" numFmtId="0" xfId="0" applyAlignment="1" applyBorder="1" applyFont="1">
      <alignment horizontal="center" shrinkToFit="0" vertical="top" wrapText="1"/>
    </xf>
    <xf borderId="26" fillId="0" fontId="12" numFmtId="0" xfId="0" applyAlignment="1" applyBorder="1" applyFont="1">
      <alignment horizontal="center" shrinkToFit="0" vertical="center" wrapText="1"/>
    </xf>
    <xf borderId="27" fillId="0" fontId="13" numFmtId="0" xfId="0" applyAlignment="1" applyBorder="1" applyFont="1">
      <alignment shrinkToFit="0" vertical="center" wrapText="1"/>
    </xf>
    <xf borderId="27" fillId="0" fontId="11" numFmtId="0" xfId="0" applyBorder="1" applyFont="1"/>
    <xf borderId="35" fillId="0" fontId="14" numFmtId="0" xfId="0" applyAlignment="1" applyBorder="1" applyFont="1">
      <alignment horizontal="left" shrinkToFit="0" vertical="center" wrapText="1"/>
    </xf>
    <xf borderId="36" fillId="0" fontId="5" numFmtId="0" xfId="0" applyBorder="1" applyFont="1"/>
    <xf borderId="37" fillId="0" fontId="5" numFmtId="0" xfId="0" applyBorder="1" applyFont="1"/>
    <xf borderId="28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top" wrapText="1"/>
    </xf>
    <xf borderId="29" fillId="0" fontId="7" numFmtId="0" xfId="0" applyAlignment="1" applyBorder="1" applyFont="1">
      <alignment horizontal="center" shrinkToFit="0" vertical="top" wrapText="1"/>
    </xf>
    <xf borderId="38" fillId="0" fontId="7" numFmtId="0" xfId="0" applyAlignment="1" applyBorder="1" applyFont="1">
      <alignment horizontal="center" shrinkToFit="0" vertical="top" wrapText="1"/>
    </xf>
    <xf borderId="39" fillId="0" fontId="15" numFmtId="0" xfId="0" applyAlignment="1" applyBorder="1" applyFont="1">
      <alignment horizontal="center" shrinkToFit="0" vertical="center" wrapText="1"/>
    </xf>
    <xf borderId="40" fillId="0" fontId="16" numFmtId="0" xfId="0" applyAlignment="1" applyBorder="1" applyFont="1">
      <alignment horizontal="center" vertical="center"/>
    </xf>
    <xf borderId="41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vertical="center"/>
    </xf>
    <xf borderId="8" fillId="0" fontId="9" numFmtId="0" xfId="0" applyBorder="1" applyFont="1"/>
    <xf borderId="41" fillId="0" fontId="9" numFmtId="0" xfId="0" applyBorder="1" applyFont="1"/>
    <xf borderId="42" fillId="0" fontId="15" numFmtId="0" xfId="0" applyAlignment="1" applyBorder="1" applyFont="1">
      <alignment horizontal="center" vertical="center"/>
    </xf>
    <xf borderId="43" fillId="0" fontId="5" numFmtId="0" xfId="0" applyBorder="1" applyFont="1"/>
    <xf borderId="44" fillId="0" fontId="5" numFmtId="0" xfId="0" applyBorder="1" applyFont="1"/>
    <xf borderId="7" fillId="0" fontId="15" numFmtId="164" xfId="0" applyAlignment="1" applyBorder="1" applyFont="1" applyNumberFormat="1">
      <alignment horizontal="right" shrinkToFit="0" vertical="center" wrapText="1"/>
    </xf>
    <xf borderId="41" fillId="0" fontId="15" numFmtId="0" xfId="0" applyAlignment="1" applyBorder="1" applyFont="1">
      <alignment horizontal="center" shrinkToFit="0" vertical="top" wrapText="1"/>
    </xf>
    <xf borderId="45" fillId="0" fontId="15" numFmtId="164" xfId="0" applyAlignment="1" applyBorder="1" applyFont="1" applyNumberFormat="1">
      <alignment horizontal="center" shrinkToFit="0" vertical="center" wrapText="1"/>
    </xf>
    <xf borderId="46" fillId="0" fontId="15" numFmtId="0" xfId="0" applyAlignment="1" applyBorder="1" applyFont="1">
      <alignment shrinkToFit="0" vertical="center" wrapText="1"/>
    </xf>
    <xf borderId="47" fillId="0" fontId="15" numFmtId="0" xfId="0" applyAlignment="1" applyBorder="1" applyFont="1">
      <alignment shrinkToFit="0" vertical="center" wrapText="1"/>
    </xf>
    <xf borderId="48" fillId="0" fontId="15" numFmtId="0" xfId="0" applyAlignment="1" applyBorder="1" applyFont="1">
      <alignment shrinkToFit="0" vertical="center" wrapText="1"/>
    </xf>
    <xf borderId="0" fillId="0" fontId="16" numFmtId="0" xfId="0" applyAlignment="1" applyFont="1">
      <alignment horizontal="left" vertical="center"/>
    </xf>
    <xf borderId="7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/>
    </xf>
    <xf borderId="41" fillId="0" fontId="15" numFmtId="0" xfId="0" applyBorder="1" applyFont="1"/>
    <xf borderId="7" fillId="0" fontId="16" numFmtId="0" xfId="0" applyAlignment="1" applyBorder="1" applyFont="1">
      <alignment horizontal="left" vertical="center"/>
    </xf>
    <xf borderId="8" fillId="0" fontId="16" numFmtId="0" xfId="0" applyAlignment="1" applyBorder="1" applyFont="1">
      <alignment horizontal="left" vertical="center"/>
    </xf>
    <xf borderId="8" fillId="0" fontId="15" numFmtId="0" xfId="0" applyBorder="1" applyFont="1"/>
    <xf borderId="39" fillId="0" fontId="11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right" vertical="center"/>
    </xf>
    <xf borderId="34" fillId="0" fontId="17" numFmtId="165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vertical="center"/>
    </xf>
    <xf borderId="16" fillId="0" fontId="7" numFmtId="0" xfId="0" applyAlignment="1" applyBorder="1" applyFont="1">
      <alignment vertical="center"/>
    </xf>
    <xf borderId="28" fillId="0" fontId="7" numFmtId="0" xfId="0" applyBorder="1" applyFont="1"/>
    <xf borderId="16" fillId="0" fontId="7" numFmtId="15" xfId="0" applyAlignment="1" applyBorder="1" applyFont="1" applyNumberFormat="1">
      <alignment horizontal="left"/>
    </xf>
    <xf borderId="6" fillId="0" fontId="7" numFmtId="0" xfId="0" applyBorder="1" applyFont="1"/>
    <xf borderId="0" fillId="0" fontId="18" numFmtId="0" xfId="0" applyAlignment="1" applyFont="1">
      <alignment horizontal="left"/>
    </xf>
    <xf borderId="0" fillId="0" fontId="7" numFmtId="0" xfId="0" applyFont="1"/>
    <xf borderId="49" fillId="0" fontId="7" numFmtId="0" xfId="0" applyAlignment="1" applyBorder="1" applyFont="1">
      <alignment horizontal="center"/>
    </xf>
    <xf borderId="50" fillId="0" fontId="5" numFmtId="0" xfId="0" applyBorder="1" applyFont="1"/>
    <xf borderId="49" fillId="0" fontId="7" numFmtId="0" xfId="0" applyBorder="1" applyFont="1"/>
    <xf borderId="50" fillId="0" fontId="7" numFmtId="0" xfId="0" applyBorder="1" applyFont="1"/>
    <xf borderId="49" fillId="0" fontId="19" numFmtId="0" xfId="0" applyAlignment="1" applyBorder="1" applyFont="1">
      <alignment horizontal="center"/>
    </xf>
    <xf borderId="10" fillId="0" fontId="7" numFmtId="0" xfId="0" applyBorder="1" applyFont="1"/>
    <xf borderId="11" fillId="0" fontId="7" numFmtId="0" xfId="0" applyBorder="1" applyFont="1"/>
    <xf borderId="22" fillId="0" fontId="7" numFmtId="0" xfId="0" applyAlignment="1" applyBorder="1" applyFont="1">
      <alignment horizontal="center"/>
    </xf>
    <xf borderId="16" fillId="0" fontId="7" numFmtId="15" xfId="0" applyAlignment="1" applyBorder="1" applyFont="1" applyNumberFormat="1">
      <alignment vertical="center"/>
    </xf>
    <xf borderId="16" fillId="0" fontId="7" numFmtId="0" xfId="0" applyBorder="1" applyFont="1"/>
    <xf borderId="16" fillId="0" fontId="7" numFmtId="15" xfId="0" applyBorder="1" applyFont="1" applyNumberFormat="1"/>
    <xf borderId="28" fillId="0" fontId="7" numFmtId="0" xfId="0" applyAlignment="1" applyBorder="1" applyFont="1">
      <alignment shrinkToFit="0" wrapText="1"/>
    </xf>
    <xf borderId="16" fillId="0" fontId="7" numFmtId="15" xfId="0" applyAlignment="1" applyBorder="1" applyFont="1" applyNumberFormat="1">
      <alignment horizontal="left" shrinkToFit="0" wrapText="1"/>
    </xf>
    <xf borderId="0" fillId="0" fontId="7" numFmtId="0" xfId="0" applyAlignment="1" applyFont="1">
      <alignment horizontal="center"/>
    </xf>
    <xf borderId="0" fillId="0" fontId="20" numFmtId="0" xfId="0" applyAlignment="1" applyFont="1">
      <alignment horizontal="center" shrinkToFit="0" wrapText="1"/>
    </xf>
    <xf borderId="50" fillId="0" fontId="21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49" fillId="0" fontId="24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/>
    </xf>
    <xf borderId="51" fillId="0" fontId="7" numFmtId="0" xfId="0" applyBorder="1" applyFont="1"/>
    <xf borderId="52" fillId="0" fontId="7" numFmtId="0" xfId="0" applyAlignment="1" applyBorder="1" applyFont="1">
      <alignment horizontal="center"/>
    </xf>
    <xf borderId="52" fillId="0" fontId="5" numFmtId="0" xfId="0" applyBorder="1" applyFont="1"/>
    <xf borderId="52" fillId="0" fontId="7" numFmtId="0" xfId="0" applyBorder="1" applyFont="1"/>
    <xf borderId="53" fillId="0" fontId="7" numFmtId="0" xfId="0" applyAlignment="1" applyBorder="1" applyFont="1">
      <alignment horizontal="center"/>
    </xf>
    <xf borderId="54" fillId="0" fontId="5" numFmtId="0" xfId="0" applyBorder="1" applyFont="1"/>
    <xf borderId="55" fillId="0" fontId="9" numFmtId="0" xfId="0" applyBorder="1" applyFont="1"/>
    <xf borderId="0" fillId="0" fontId="9" numFmtId="0" xfId="0" applyFont="1"/>
    <xf borderId="28" fillId="0" fontId="9" numFmtId="0" xfId="0" applyAlignment="1" applyBorder="1" applyFont="1">
      <alignment horizontal="center"/>
    </xf>
    <xf borderId="16" fillId="0" fontId="9" numFmtId="0" xfId="0" applyAlignment="1" applyBorder="1" applyFont="1">
      <alignment horizontal="center"/>
    </xf>
    <xf borderId="16" fillId="0" fontId="25" numFmtId="0" xfId="0" applyAlignment="1" applyBorder="1" applyFont="1">
      <alignment horizontal="center" shrinkToFit="0" vertical="center" wrapText="1"/>
    </xf>
    <xf borderId="20" fillId="0" fontId="26" numFmtId="0" xfId="0" applyAlignment="1" applyBorder="1" applyFont="1">
      <alignment vertical="center"/>
    </xf>
    <xf borderId="19" fillId="0" fontId="26" numFmtId="0" xfId="0" applyAlignment="1" applyBorder="1" applyFont="1">
      <alignment horizontal="left" shrinkToFit="0" vertical="center" wrapText="1"/>
    </xf>
    <xf borderId="49" fillId="0" fontId="9" numFmtId="0" xfId="0" applyBorder="1" applyFont="1"/>
    <xf borderId="56" fillId="0" fontId="5" numFmtId="0" xfId="0" applyBorder="1" applyFont="1"/>
    <xf quotePrefix="1" borderId="19" fillId="0" fontId="26" numFmtId="0" xfId="0" applyAlignment="1" applyBorder="1" applyFont="1">
      <alignment horizontal="left" shrinkToFit="0" vertical="center" wrapText="1"/>
    </xf>
    <xf borderId="22" fillId="0" fontId="9" numFmtId="0" xfId="0" applyBorder="1" applyFont="1"/>
    <xf borderId="11" fillId="0" fontId="9" numFmtId="0" xfId="0" applyBorder="1" applyFont="1"/>
    <xf borderId="0" fillId="0" fontId="27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vertical="center"/>
    </xf>
    <xf quotePrefix="1"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vertical="top"/>
    </xf>
    <xf borderId="11" fillId="0" fontId="9" numFmtId="0" xfId="0" applyAlignment="1" applyBorder="1" applyFont="1">
      <alignment horizontal="left" shrinkToFit="0" vertical="top" wrapText="1"/>
    </xf>
    <xf borderId="5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57" fillId="0" fontId="5" numFmtId="0" xfId="0" applyBorder="1" applyFont="1"/>
    <xf borderId="58" fillId="0" fontId="5" numFmtId="0" xfId="0" applyBorder="1" applyFont="1"/>
    <xf borderId="59" fillId="0" fontId="5" numFmtId="0" xfId="0" applyBorder="1" applyFont="1"/>
    <xf borderId="60" fillId="0" fontId="10" numFmtId="0" xfId="0" applyAlignment="1" applyBorder="1" applyFont="1">
      <alignment horizontal="center" vertical="center"/>
    </xf>
    <xf borderId="59" fillId="0" fontId="10" numFmtId="0" xfId="0" applyAlignment="1" applyBorder="1" applyFont="1">
      <alignment horizontal="center" vertical="center"/>
    </xf>
    <xf borderId="61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0" fontId="28" numFmtId="0" xfId="0" applyAlignment="1" applyBorder="1" applyFont="1">
      <alignment horizontal="left" shrinkToFit="0" vertical="center" wrapText="1"/>
    </xf>
    <xf borderId="62" fillId="0" fontId="5" numFmtId="0" xfId="0" applyBorder="1" applyFont="1"/>
    <xf borderId="62" fillId="0" fontId="10" numFmtId="0" xfId="0" applyAlignment="1" applyBorder="1" applyFont="1">
      <alignment horizontal="center" vertical="center"/>
    </xf>
    <xf borderId="56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vertical="center"/>
    </xf>
    <xf borderId="41" fillId="0" fontId="5" numFmtId="0" xfId="0" applyBorder="1" applyFont="1"/>
    <xf borderId="41" fillId="0" fontId="7" numFmtId="165" xfId="0" applyAlignment="1" applyBorder="1" applyFont="1" applyNumberFormat="1">
      <alignment horizontal="center" vertical="center"/>
    </xf>
    <xf borderId="40" fillId="0" fontId="7" numFmtId="166" xfId="0" applyAlignment="1" applyBorder="1" applyFont="1" applyNumberFormat="1">
      <alignment shrinkToFit="0" vertical="center" wrapText="1"/>
    </xf>
    <xf borderId="7" fillId="0" fontId="7" numFmtId="166" xfId="0" applyAlignment="1" applyBorder="1" applyFont="1" applyNumberFormat="1">
      <alignment horizontal="left" vertical="center"/>
    </xf>
    <xf borderId="41" fillId="0" fontId="7" numFmtId="166" xfId="0" applyAlignment="1" applyBorder="1" applyFont="1" applyNumberFormat="1">
      <alignment vertical="center"/>
    </xf>
    <xf borderId="56" fillId="0" fontId="7" numFmtId="0" xfId="0" applyAlignment="1" applyBorder="1" applyFont="1">
      <alignment horizontal="center"/>
    </xf>
    <xf borderId="63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left"/>
    </xf>
    <xf borderId="64" fillId="0" fontId="7" numFmtId="0" xfId="0" applyAlignment="1" applyBorder="1" applyFont="1">
      <alignment horizontal="left"/>
    </xf>
    <xf borderId="64" fillId="0" fontId="7" numFmtId="165" xfId="0" applyAlignment="1" applyBorder="1" applyFont="1" applyNumberFormat="1">
      <alignment horizontal="center"/>
    </xf>
    <xf borderId="63" fillId="0" fontId="7" numFmtId="165" xfId="0" applyAlignment="1" applyBorder="1" applyFont="1" applyNumberFormat="1">
      <alignment horizontal="center"/>
    </xf>
    <xf borderId="63" fillId="0" fontId="7" numFmtId="165" xfId="0" applyAlignment="1" applyBorder="1" applyFont="1" applyNumberFormat="1">
      <alignment horizontal="right"/>
    </xf>
    <xf borderId="12" fillId="0" fontId="7" numFmtId="166" xfId="0" applyAlignment="1" applyBorder="1" applyFont="1" applyNumberFormat="1">
      <alignment horizontal="right"/>
    </xf>
    <xf borderId="64" fillId="0" fontId="7" numFmtId="166" xfId="0" applyBorder="1" applyFont="1" applyNumberFormat="1"/>
    <xf borderId="65" fillId="0" fontId="7" numFmtId="0" xfId="0" applyAlignment="1" applyBorder="1" applyFont="1">
      <alignment horizontal="center"/>
    </xf>
    <xf borderId="46" fillId="0" fontId="7" numFmtId="0" xfId="0" applyAlignment="1" applyBorder="1" applyFont="1">
      <alignment horizontal="center"/>
    </xf>
    <xf borderId="65" fillId="0" fontId="7" numFmtId="0" xfId="0" applyAlignment="1" applyBorder="1" applyFont="1">
      <alignment horizontal="left"/>
    </xf>
    <xf borderId="46" fillId="0" fontId="7" numFmtId="0" xfId="0" applyAlignment="1" applyBorder="1" applyFont="1">
      <alignment horizontal="right"/>
    </xf>
    <xf borderId="48" fillId="0" fontId="10" numFmtId="0" xfId="0" applyAlignment="1" applyBorder="1" applyFont="1">
      <alignment horizontal="right"/>
    </xf>
    <xf borderId="48" fillId="0" fontId="10" numFmtId="0" xfId="0" applyAlignment="1" applyBorder="1" applyFont="1">
      <alignment horizontal="center"/>
    </xf>
    <xf borderId="48" fillId="0" fontId="7" numFmtId="165" xfId="0" applyAlignment="1" applyBorder="1" applyFont="1" applyNumberFormat="1">
      <alignment horizontal="center"/>
    </xf>
    <xf borderId="65" fillId="0" fontId="10" numFmtId="0" xfId="0" applyAlignment="1" applyBorder="1" applyFont="1">
      <alignment horizontal="center"/>
    </xf>
    <xf borderId="46" fillId="0" fontId="10" numFmtId="166" xfId="0" applyAlignment="1" applyBorder="1" applyFont="1" applyNumberFormat="1">
      <alignment horizontal="center"/>
    </xf>
    <xf borderId="48" fillId="0" fontId="5" numFmtId="0" xfId="0" applyBorder="1" applyFont="1"/>
    <xf borderId="40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40" fillId="0" fontId="7" numFmtId="0" xfId="0" applyAlignment="1" applyBorder="1" applyFont="1">
      <alignment horizontal="left"/>
    </xf>
    <xf borderId="7" fillId="0" fontId="7" numFmtId="0" xfId="0" applyAlignment="1" applyBorder="1" applyFont="1">
      <alignment horizontal="right"/>
    </xf>
    <xf borderId="41" fillId="0" fontId="10" numFmtId="0" xfId="0" applyAlignment="1" applyBorder="1" applyFont="1">
      <alignment horizontal="right"/>
    </xf>
    <xf borderId="41" fillId="0" fontId="10" numFmtId="0" xfId="0" applyAlignment="1" applyBorder="1" applyFont="1">
      <alignment horizontal="center"/>
    </xf>
    <xf borderId="40" fillId="0" fontId="7" numFmtId="166" xfId="0" applyAlignment="1" applyBorder="1" applyFont="1" applyNumberFormat="1">
      <alignment horizontal="right"/>
    </xf>
    <xf borderId="40" fillId="0" fontId="10" numFmtId="0" xfId="0" applyAlignment="1" applyBorder="1" applyFont="1">
      <alignment horizontal="center"/>
    </xf>
    <xf borderId="7" fillId="0" fontId="10" numFmtId="166" xfId="0" applyAlignment="1" applyBorder="1" applyFont="1" applyNumberFormat="1">
      <alignment horizontal="center"/>
    </xf>
    <xf borderId="63" fillId="0" fontId="7" numFmtId="0" xfId="0" applyAlignment="1" applyBorder="1" applyFont="1">
      <alignment horizontal="left"/>
    </xf>
    <xf borderId="12" fillId="0" fontId="7" numFmtId="0" xfId="0" applyAlignment="1" applyBorder="1" applyFont="1">
      <alignment horizontal="right"/>
    </xf>
    <xf borderId="64" fillId="0" fontId="10" numFmtId="0" xfId="0" applyAlignment="1" applyBorder="1" applyFont="1">
      <alignment horizontal="right"/>
    </xf>
    <xf borderId="64" fillId="0" fontId="10" numFmtId="0" xfId="0" applyAlignment="1" applyBorder="1" applyFont="1">
      <alignment horizontal="center"/>
    </xf>
    <xf borderId="63" fillId="0" fontId="10" numFmtId="0" xfId="0" applyAlignment="1" applyBorder="1" applyFont="1">
      <alignment horizontal="center"/>
    </xf>
    <xf borderId="12" fillId="0" fontId="10" numFmtId="166" xfId="0" applyAlignment="1" applyBorder="1" applyFont="1" applyNumberFormat="1">
      <alignment horizontal="center"/>
    </xf>
    <xf borderId="64" fillId="0" fontId="5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7" numFmtId="166" xfId="0" applyAlignment="1" applyFont="1" applyNumberFormat="1">
      <alignment horizontal="right"/>
    </xf>
    <xf borderId="0" fillId="0" fontId="7" numFmtId="166" xfId="0" applyFont="1" applyNumberFormat="1"/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right" shrinkToFit="0" vertical="center" wrapText="1"/>
    </xf>
    <xf borderId="0" fillId="0" fontId="9" numFmtId="166" xfId="0" applyAlignment="1" applyFont="1" applyNumberFormat="1">
      <alignment vertical="center"/>
    </xf>
    <xf borderId="0" fillId="0" fontId="29" numFmtId="0" xfId="0" applyAlignment="1" applyFont="1">
      <alignment shrinkToFit="0" wrapText="1"/>
    </xf>
    <xf borderId="0" fillId="0" fontId="9" numFmtId="0" xfId="0" applyAlignment="1" applyFont="1">
      <alignment horizontal="right"/>
    </xf>
    <xf borderId="0" fillId="0" fontId="9" numFmtId="15" xfId="0" applyFont="1" applyNumberFormat="1"/>
    <xf borderId="0" fillId="0" fontId="9" numFmtId="0" xfId="0" applyAlignment="1" applyFont="1">
      <alignment horizontal="center"/>
    </xf>
    <xf borderId="0" fillId="0" fontId="9" numFmtId="165" xfId="0" applyAlignment="1" applyFont="1" applyNumberFormat="1">
      <alignment horizontal="center"/>
    </xf>
    <xf borderId="0" fillId="0" fontId="30" numFmtId="0" xfId="0" applyAlignment="1" applyFont="1">
      <alignment horizontal="center" vertical="top"/>
    </xf>
    <xf borderId="28" fillId="0" fontId="31" numFmtId="0" xfId="0" applyAlignment="1" applyBorder="1" applyFont="1">
      <alignment horizontal="center" vertical="center"/>
    </xf>
    <xf borderId="16" fillId="0" fontId="6" numFmtId="0" xfId="0" applyAlignment="1" applyBorder="1" applyFont="1">
      <alignment shrinkToFit="0" vertical="center" wrapText="1"/>
    </xf>
    <xf borderId="29" fillId="0" fontId="6" numFmtId="0" xfId="0" applyAlignment="1" applyBorder="1" applyFont="1">
      <alignment shrinkToFit="0" vertical="center" wrapText="1"/>
    </xf>
    <xf borderId="35" fillId="0" fontId="7" numFmtId="0" xfId="0" applyAlignment="1" applyBorder="1" applyFont="1">
      <alignment vertical="center"/>
    </xf>
    <xf borderId="36" fillId="0" fontId="32" numFmtId="0" xfId="0" applyAlignment="1" applyBorder="1" applyFont="1">
      <alignment vertical="center"/>
    </xf>
    <xf borderId="16" fillId="0" fontId="12" numFmtId="0" xfId="0" applyAlignment="1" applyBorder="1" applyFont="1">
      <alignment horizontal="center" vertical="center"/>
    </xf>
    <xf borderId="37" fillId="0" fontId="7" numFmtId="0" xfId="0" applyBorder="1" applyFont="1"/>
    <xf borderId="49" fillId="0" fontId="5" numFmtId="0" xfId="0" applyBorder="1" applyFont="1"/>
    <xf borderId="47" fillId="0" fontId="33" numFmtId="0" xfId="0" applyAlignment="1" applyBorder="1" applyFont="1">
      <alignment vertical="center"/>
    </xf>
    <xf borderId="8" fillId="0" fontId="12" numFmtId="0" xfId="0" applyAlignment="1" applyBorder="1" applyFont="1">
      <alignment horizontal="center" vertical="center"/>
    </xf>
    <xf quotePrefix="1" borderId="41" fillId="0" fontId="7" numFmtId="0" xfId="0" applyBorder="1" applyFont="1"/>
    <xf borderId="32" fillId="0" fontId="6" numFmtId="0" xfId="0" applyAlignment="1" applyBorder="1" applyFont="1">
      <alignment shrinkToFit="0" vertical="center" wrapText="1"/>
    </xf>
    <xf borderId="13" fillId="0" fontId="33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quotePrefix="1" borderId="64" fillId="0" fontId="7" numFmtId="0" xfId="0" applyAlignment="1" applyBorder="1" applyFont="1">
      <alignment vertical="center"/>
    </xf>
    <xf borderId="0" fillId="0" fontId="31" numFmtId="0" xfId="0" applyAlignment="1" applyFont="1">
      <alignment horizontal="center" vertical="center"/>
    </xf>
    <xf borderId="0" fillId="0" fontId="34" numFmtId="0" xfId="0" applyAlignment="1" applyFont="1">
      <alignment horizontal="center" shrinkToFit="0" vertical="center" wrapText="1"/>
    </xf>
    <xf borderId="0" fillId="0" fontId="33" numFmtId="0" xfId="0" applyAlignment="1" applyFont="1">
      <alignment vertical="center"/>
    </xf>
    <xf borderId="0" fillId="0" fontId="35" numFmtId="0" xfId="0" applyAlignment="1" applyFont="1">
      <alignment vertical="center"/>
    </xf>
    <xf borderId="0" fillId="0" fontId="32" numFmtId="0" xfId="0" applyAlignment="1" applyFont="1">
      <alignment vertical="center"/>
    </xf>
    <xf borderId="20" fillId="0" fontId="7" numFmtId="0" xfId="0" applyAlignment="1" applyBorder="1" applyFont="1">
      <alignment horizontal="left" vertical="center"/>
    </xf>
    <xf borderId="19" fillId="0" fontId="7" numFmtId="0" xfId="0" applyBorder="1" applyFont="1"/>
    <xf borderId="49" fillId="0" fontId="7" numFmtId="0" xfId="0" applyAlignment="1" applyBorder="1" applyFont="1">
      <alignment horizontal="left"/>
    </xf>
    <xf borderId="16" fillId="0" fontId="7" numFmtId="0" xfId="0" applyAlignment="1" applyBorder="1" applyFont="1">
      <alignment horizontal="left" vertical="center"/>
    </xf>
    <xf borderId="49" fillId="0" fontId="7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0" fillId="0" fontId="7" numFmtId="15" xfId="0" applyAlignment="1" applyFont="1" applyNumberFormat="1">
      <alignment horizontal="left" vertical="center"/>
    </xf>
    <xf borderId="49" fillId="0" fontId="18" numFmtId="0" xfId="0" applyAlignment="1" applyBorder="1" applyFont="1">
      <alignment horizontal="left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left" vertical="center"/>
    </xf>
    <xf borderId="49" fillId="0" fontId="18" numFmtId="0" xfId="0" applyAlignment="1" applyBorder="1" applyFont="1">
      <alignment vertical="center"/>
    </xf>
    <xf borderId="0" fillId="0" fontId="18" numFmtId="0" xfId="0" applyFont="1"/>
    <xf borderId="56" fillId="0" fontId="18" numFmtId="0" xfId="0" applyAlignment="1" applyBorder="1" applyFont="1">
      <alignment horizontal="left" vertical="center"/>
    </xf>
    <xf borderId="20" fillId="0" fontId="18" numFmtId="0" xfId="0" applyAlignment="1" applyBorder="1" applyFont="1">
      <alignment vertical="center"/>
    </xf>
    <xf borderId="19" fillId="0" fontId="18" numFmtId="0" xfId="0" applyAlignment="1" applyBorder="1" applyFont="1">
      <alignment vertical="center"/>
    </xf>
    <xf borderId="19" fillId="0" fontId="18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/>
    </xf>
    <xf borderId="19" fillId="0" fontId="36" numFmtId="0" xfId="0" applyBorder="1" applyFont="1"/>
    <xf borderId="33" fillId="0" fontId="37" numFmtId="0" xfId="0" applyBorder="1" applyFont="1"/>
    <xf borderId="19" fillId="0" fontId="18" numFmtId="0" xfId="0" applyAlignment="1" applyBorder="1" applyFont="1">
      <alignment horizontal="left" vertical="center"/>
    </xf>
    <xf borderId="27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readingOrder="1" shrinkToFit="0" vertical="center" wrapText="1"/>
    </xf>
    <xf borderId="2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31" fillId="0" fontId="7" numFmtId="0" xfId="0" applyAlignment="1" applyBorder="1" applyFont="1">
      <alignment horizontal="center"/>
    </xf>
    <xf borderId="66" fillId="0" fontId="7" numFmtId="0" xfId="0" applyAlignment="1" applyBorder="1" applyFont="1">
      <alignment horizontal="center"/>
    </xf>
    <xf borderId="35" fillId="0" fontId="38" numFmtId="0" xfId="0" applyAlignment="1" applyBorder="1" applyFont="1">
      <alignment horizontal="left" shrinkToFit="0" vertical="center" wrapText="1"/>
    </xf>
    <xf borderId="35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center"/>
    </xf>
    <xf borderId="41" fillId="0" fontId="7" numFmtId="165" xfId="0" applyAlignment="1" applyBorder="1" applyFont="1" applyNumberFormat="1">
      <alignment horizontal="center"/>
    </xf>
    <xf borderId="40" fillId="0" fontId="7" numFmtId="165" xfId="0" applyAlignment="1" applyBorder="1" applyFont="1" applyNumberFormat="1">
      <alignment horizontal="center"/>
    </xf>
    <xf borderId="6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46" fillId="0" fontId="7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40" fillId="0" fontId="10" numFmtId="165" xfId="0" applyAlignment="1" applyBorder="1" applyFont="1" applyNumberFormat="1">
      <alignment horizontal="center" vertical="center"/>
    </xf>
    <xf borderId="46" fillId="0" fontId="7" numFmtId="0" xfId="0" applyAlignment="1" applyBorder="1" applyFont="1">
      <alignment horizontal="center" vertical="center"/>
    </xf>
    <xf borderId="67" fillId="0" fontId="7" numFmtId="0" xfId="0" applyAlignment="1" applyBorder="1" applyFont="1">
      <alignment horizontal="center" vertical="center"/>
    </xf>
    <xf borderId="49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shrinkToFit="0" vertical="top" wrapText="1"/>
    </xf>
    <xf borderId="13" fillId="0" fontId="5" numFmtId="0" xfId="0" applyBorder="1" applyFont="1"/>
    <xf borderId="64" fillId="0" fontId="9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13" fillId="0" fontId="7" numFmtId="3" xfId="0" applyAlignment="1" applyBorder="1" applyFont="1" applyNumberFormat="1">
      <alignment horizontal="center"/>
    </xf>
    <xf borderId="0" fillId="0" fontId="10" numFmtId="0" xfId="0" applyFont="1"/>
    <xf borderId="0" fillId="0" fontId="4" numFmtId="0" xfId="0" applyFont="1"/>
    <xf borderId="0" fillId="0" fontId="39" numFmtId="0" xfId="0" applyAlignment="1" applyFont="1">
      <alignment horizontal="center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vertical="top"/>
    </xf>
    <xf borderId="0" fillId="0" fontId="35" numFmtId="0" xfId="0" applyFont="1"/>
    <xf borderId="68" fillId="0" fontId="9" numFmtId="0" xfId="0" applyBorder="1" applyFont="1"/>
    <xf borderId="0" fillId="0" fontId="11" numFmtId="0" xfId="0" applyFont="1"/>
    <xf borderId="1" fillId="0" fontId="11" numFmtId="0" xfId="0" applyBorder="1" applyFont="1"/>
    <xf borderId="69" fillId="0" fontId="9" numFmtId="0" xfId="0" applyBorder="1" applyFont="1"/>
    <xf borderId="50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50" fillId="0" fontId="9" numFmtId="0" xfId="0" applyBorder="1" applyFont="1"/>
    <xf borderId="0" fillId="0" fontId="11" numFmtId="0" xfId="0" applyAlignment="1" applyFont="1">
      <alignment vertical="center"/>
    </xf>
    <xf borderId="70" fillId="0" fontId="9" numFmtId="0" xfId="0" applyBorder="1" applyFont="1"/>
    <xf borderId="68" fillId="0" fontId="11" numFmtId="0" xfId="0" applyAlignment="1" applyBorder="1" applyFont="1">
      <alignment vertical="center"/>
    </xf>
    <xf borderId="6" fillId="0" fontId="11" numFmtId="0" xfId="0" applyBorder="1" applyFont="1"/>
    <xf borderId="0" fillId="0" fontId="4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38</xdr:row>
      <xdr:rowOff>0</xdr:rowOff>
    </xdr:from>
    <xdr:ext cx="228600" cy="0"/>
    <xdr:pic>
      <xdr:nvPicPr>
        <xdr:cNvPr descr="logo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</xdr:row>
      <xdr:rowOff>0</xdr:rowOff>
    </xdr:from>
    <xdr:ext cx="228600" cy="0"/>
    <xdr:pic>
      <xdr:nvPicPr>
        <xdr:cNvPr descr="logo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</xdr:row>
      <xdr:rowOff>0</xdr:rowOff>
    </xdr:from>
    <xdr:ext cx="228600" cy="0"/>
    <xdr:pic>
      <xdr:nvPicPr>
        <xdr:cNvPr descr="logo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</xdr:row>
      <xdr:rowOff>0</xdr:rowOff>
    </xdr:from>
    <xdr:ext cx="228600" cy="0"/>
    <xdr:pic>
      <xdr:nvPicPr>
        <xdr:cNvPr descr="logo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104775</xdr:rowOff>
    </xdr:from>
    <xdr:ext cx="1485900" cy="704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28575</xdr:rowOff>
    </xdr:from>
    <xdr:ext cx="1219200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257300" cy="714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17</xdr:row>
      <xdr:rowOff>0</xdr:rowOff>
    </xdr:from>
    <xdr:ext cx="314325" cy="314325"/>
    <xdr:sp>
      <xdr:nvSpPr>
        <xdr:cNvPr descr="blob:https://web.whatsapp.com/761cd3d5-3fc2-4336-a501-1af5139d14b0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2</xdr:row>
      <xdr:rowOff>47625</xdr:rowOff>
    </xdr:from>
    <xdr:ext cx="6905625" cy="33528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5.63"/>
    <col customWidth="1" min="3" max="3" width="18.75"/>
    <col customWidth="1" min="4" max="4" width="7.63"/>
    <col customWidth="1" min="5" max="5" width="15.25"/>
    <col customWidth="1" min="6" max="6" width="29.25"/>
    <col customWidth="1" min="7" max="7" width="7.63"/>
    <col customWidth="1" min="8" max="8" width="27.5"/>
    <col customWidth="1" min="9" max="9" width="9.13"/>
    <col customWidth="1" min="10" max="11" width="21.63"/>
    <col customWidth="1" min="12" max="12" width="12.25"/>
    <col customWidth="1" min="13" max="13" width="22.63"/>
  </cols>
  <sheetData>
    <row r="1" ht="15.75" customHeight="1"/>
    <row r="2" ht="15.75" customHeight="1"/>
    <row r="3" ht="15.75" customHeight="1">
      <c r="B3" s="1" t="s">
        <v>0</v>
      </c>
      <c r="C3" s="2" t="s">
        <v>1</v>
      </c>
    </row>
    <row r="4" ht="15.75" customHeight="1">
      <c r="B4" s="1" t="s">
        <v>0</v>
      </c>
      <c r="C4" s="2" t="s">
        <v>2</v>
      </c>
    </row>
    <row r="5" ht="15.75" customHeight="1">
      <c r="B5" s="1" t="s">
        <v>0</v>
      </c>
      <c r="C5" s="2" t="s">
        <v>3</v>
      </c>
    </row>
    <row r="6" ht="15.75" customHeight="1">
      <c r="B6" s="1" t="s">
        <v>0</v>
      </c>
      <c r="C6" s="2" t="s">
        <v>4</v>
      </c>
    </row>
    <row r="7" ht="15.75" customHeight="1">
      <c r="B7" s="1" t="s">
        <v>0</v>
      </c>
      <c r="C7" s="2" t="s">
        <v>5</v>
      </c>
    </row>
    <row r="8" ht="15.75" customHeight="1">
      <c r="B8" s="1" t="s">
        <v>0</v>
      </c>
      <c r="C8" s="2" t="s">
        <v>6</v>
      </c>
    </row>
    <row r="9" ht="15.75" customHeight="1">
      <c r="B9" s="1" t="s">
        <v>0</v>
      </c>
      <c r="C9" s="2" t="s">
        <v>7</v>
      </c>
    </row>
    <row r="10" ht="15.75" customHeight="1">
      <c r="B10" s="1" t="s">
        <v>0</v>
      </c>
      <c r="C10" s="2" t="s">
        <v>8</v>
      </c>
    </row>
    <row r="11" ht="15.75" customHeight="1">
      <c r="B11" s="1" t="s">
        <v>0</v>
      </c>
      <c r="C11" s="2" t="s">
        <v>9</v>
      </c>
    </row>
    <row r="12" ht="15.75" customHeight="1"/>
    <row r="13" ht="15.75" customHeight="1"/>
    <row r="14" ht="15.75" customHeight="1">
      <c r="A14" s="3"/>
      <c r="B14" s="3" t="s">
        <v>10</v>
      </c>
      <c r="C14" s="2" t="s">
        <v>11</v>
      </c>
      <c r="D14" s="4" t="s">
        <v>12</v>
      </c>
    </row>
    <row r="15" ht="15.75" customHeight="1">
      <c r="A15" s="3"/>
      <c r="B15" s="3" t="s">
        <v>10</v>
      </c>
      <c r="C15" s="2" t="s">
        <v>13</v>
      </c>
      <c r="D15" s="4" t="s">
        <v>14</v>
      </c>
    </row>
    <row r="16" ht="15.75" customHeight="1">
      <c r="A16" s="3"/>
      <c r="B16" s="3" t="s">
        <v>10</v>
      </c>
      <c r="C16" s="2" t="s">
        <v>15</v>
      </c>
      <c r="D16" s="4" t="s">
        <v>16</v>
      </c>
    </row>
    <row r="17" ht="15.75" customHeight="1">
      <c r="A17" s="3"/>
      <c r="B17" s="3" t="s">
        <v>10</v>
      </c>
      <c r="C17" s="2" t="s">
        <v>17</v>
      </c>
      <c r="D17" s="4" t="s">
        <v>18</v>
      </c>
    </row>
    <row r="18" ht="15.75" customHeight="1">
      <c r="A18" s="3"/>
      <c r="B18" s="3" t="s">
        <v>10</v>
      </c>
      <c r="C18" s="2" t="s">
        <v>19</v>
      </c>
      <c r="D18" s="4" t="s">
        <v>20</v>
      </c>
    </row>
    <row r="19" ht="15.75" customHeight="1">
      <c r="A19" s="3"/>
      <c r="B19" s="3" t="s">
        <v>10</v>
      </c>
      <c r="C19" s="2" t="s">
        <v>21</v>
      </c>
      <c r="D19" s="4" t="s">
        <v>22</v>
      </c>
    </row>
    <row r="20" ht="15.75" customHeight="1">
      <c r="A20" s="3"/>
      <c r="B20" s="3" t="s">
        <v>10</v>
      </c>
      <c r="C20" s="2" t="s">
        <v>23</v>
      </c>
      <c r="D20" s="4" t="s">
        <v>24</v>
      </c>
    </row>
    <row r="21" ht="15.75" customHeight="1">
      <c r="A21" s="3"/>
      <c r="B21" s="3" t="s">
        <v>10</v>
      </c>
      <c r="C21" s="2" t="s">
        <v>25</v>
      </c>
      <c r="D21" s="4" t="s">
        <v>26</v>
      </c>
    </row>
    <row r="22" ht="15.75" customHeight="1">
      <c r="A22" s="3"/>
      <c r="B22" s="3" t="s">
        <v>10</v>
      </c>
      <c r="C22" s="2" t="s">
        <v>27</v>
      </c>
      <c r="D22" s="4" t="s">
        <v>28</v>
      </c>
    </row>
    <row r="23" ht="15.75" customHeight="1">
      <c r="A23" s="3"/>
      <c r="B23" s="3" t="s">
        <v>10</v>
      </c>
      <c r="C23" s="2" t="s">
        <v>29</v>
      </c>
      <c r="D23" s="4" t="s">
        <v>30</v>
      </c>
    </row>
    <row r="24" ht="15.75" customHeight="1">
      <c r="A24" s="3"/>
      <c r="B24" s="3" t="s">
        <v>10</v>
      </c>
      <c r="C24" s="2" t="s">
        <v>31</v>
      </c>
      <c r="D24" s="4" t="s">
        <v>32</v>
      </c>
    </row>
    <row r="25" ht="15.75" customHeight="1">
      <c r="A25" s="3"/>
      <c r="B25" s="3" t="s">
        <v>10</v>
      </c>
      <c r="C25" s="2" t="s">
        <v>33</v>
      </c>
      <c r="D25" s="4" t="s">
        <v>34</v>
      </c>
    </row>
    <row r="26" ht="15.75" customHeight="1">
      <c r="A26" s="3"/>
      <c r="B26" s="3" t="s">
        <v>10</v>
      </c>
      <c r="C26" s="2" t="s">
        <v>35</v>
      </c>
      <c r="D26" s="4" t="s">
        <v>36</v>
      </c>
    </row>
    <row r="27" ht="15.75" customHeight="1">
      <c r="A27" s="3"/>
      <c r="B27" s="3" t="s">
        <v>37</v>
      </c>
      <c r="C27" s="2" t="s">
        <v>11</v>
      </c>
      <c r="D27" s="4" t="s">
        <v>38</v>
      </c>
    </row>
    <row r="28" ht="15.75" customHeight="1">
      <c r="A28" s="3"/>
      <c r="B28" s="3" t="s">
        <v>37</v>
      </c>
      <c r="C28" s="2" t="s">
        <v>13</v>
      </c>
      <c r="D28" s="4" t="s">
        <v>39</v>
      </c>
    </row>
    <row r="29" ht="15.75" customHeight="1">
      <c r="A29" s="3"/>
      <c r="B29" s="3" t="s">
        <v>37</v>
      </c>
      <c r="C29" s="2" t="s">
        <v>15</v>
      </c>
      <c r="D29" s="4" t="s">
        <v>40</v>
      </c>
    </row>
    <row r="30" ht="15.75" customHeight="1">
      <c r="A30" s="3"/>
      <c r="B30" s="3" t="s">
        <v>37</v>
      </c>
      <c r="C30" s="2" t="s">
        <v>17</v>
      </c>
      <c r="D30" s="4" t="s">
        <v>41</v>
      </c>
    </row>
    <row r="31" ht="15.75" customHeight="1">
      <c r="A31" s="3"/>
      <c r="B31" s="3" t="s">
        <v>37</v>
      </c>
      <c r="C31" s="2" t="s">
        <v>19</v>
      </c>
      <c r="D31" s="4" t="s">
        <v>42</v>
      </c>
    </row>
    <row r="32" ht="15.75" customHeight="1">
      <c r="A32" s="3"/>
      <c r="B32" s="3" t="s">
        <v>37</v>
      </c>
      <c r="C32" s="2" t="s">
        <v>21</v>
      </c>
      <c r="D32" s="4" t="s">
        <v>43</v>
      </c>
    </row>
    <row r="33" ht="15.75" customHeight="1">
      <c r="A33" s="3"/>
      <c r="B33" s="3" t="s">
        <v>37</v>
      </c>
      <c r="C33" s="2" t="s">
        <v>23</v>
      </c>
      <c r="D33" s="4" t="s">
        <v>44</v>
      </c>
    </row>
    <row r="34" ht="15.75" customHeight="1">
      <c r="A34" s="3"/>
      <c r="B34" s="3" t="s">
        <v>37</v>
      </c>
      <c r="C34" s="2" t="s">
        <v>25</v>
      </c>
      <c r="D34" s="4" t="s">
        <v>45</v>
      </c>
    </row>
    <row r="35" ht="15.75" customHeight="1">
      <c r="A35" s="3"/>
      <c r="B35" s="3" t="s">
        <v>37</v>
      </c>
      <c r="C35" s="2" t="s">
        <v>27</v>
      </c>
      <c r="D35" s="4" t="s">
        <v>46</v>
      </c>
    </row>
    <row r="36" ht="15.75" customHeight="1">
      <c r="A36" s="3"/>
      <c r="B36" s="3" t="s">
        <v>37</v>
      </c>
      <c r="C36" s="2" t="s">
        <v>29</v>
      </c>
      <c r="D36" s="4" t="s">
        <v>47</v>
      </c>
    </row>
    <row r="37" ht="15.75" customHeight="1">
      <c r="A37" s="3"/>
      <c r="B37" s="3" t="s">
        <v>37</v>
      </c>
      <c r="C37" s="2" t="s">
        <v>31</v>
      </c>
      <c r="D37" s="4" t="s">
        <v>48</v>
      </c>
    </row>
    <row r="38" ht="15.75" customHeight="1">
      <c r="A38" s="3"/>
      <c r="B38" s="3" t="s">
        <v>37</v>
      </c>
      <c r="C38" s="2" t="s">
        <v>33</v>
      </c>
      <c r="D38" s="4" t="s">
        <v>49</v>
      </c>
    </row>
    <row r="39" ht="15.75" customHeight="1">
      <c r="A39" s="3"/>
      <c r="B39" s="3" t="s">
        <v>37</v>
      </c>
      <c r="C39" s="2" t="s">
        <v>35</v>
      </c>
      <c r="D39" s="4" t="s">
        <v>50</v>
      </c>
    </row>
    <row r="40" ht="15.75" customHeight="1"/>
    <row r="41" ht="15.75" customHeight="1"/>
    <row r="42" ht="15.75" customHeight="1">
      <c r="B42" s="1" t="s">
        <v>51</v>
      </c>
      <c r="C42" s="1" t="s">
        <v>52</v>
      </c>
    </row>
    <row r="43" ht="15.75" customHeight="1">
      <c r="B43" s="1" t="s">
        <v>53</v>
      </c>
      <c r="C43" s="5" t="s">
        <v>54</v>
      </c>
    </row>
    <row r="44" ht="15.75" customHeight="1">
      <c r="B44" s="1" t="s">
        <v>55</v>
      </c>
      <c r="C44" s="5" t="s">
        <v>56</v>
      </c>
    </row>
    <row r="45" ht="15.75" customHeight="1">
      <c r="B45" s="1" t="s">
        <v>57</v>
      </c>
      <c r="C45" s="5" t="s">
        <v>58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7.0"/>
    <col customWidth="1" min="3" max="3" width="6.25"/>
    <col customWidth="1" min="4" max="4" width="5.75"/>
    <col customWidth="1" min="5" max="5" width="4.25"/>
    <col customWidth="1" min="6" max="6" width="3.63"/>
    <col customWidth="1" min="7" max="7" width="3.5"/>
    <col customWidth="1" min="8" max="8" width="3.63"/>
    <col customWidth="1" min="9" max="9" width="4.13"/>
    <col customWidth="1" min="10" max="10" width="2.75"/>
    <col customWidth="1" min="11" max="11" width="3.5"/>
    <col customWidth="1" min="12" max="13" width="4.13"/>
    <col customWidth="1" min="14" max="14" width="14.5"/>
    <col customWidth="1" min="15" max="15" width="3.75"/>
    <col customWidth="1" min="16" max="16" width="4.63"/>
    <col customWidth="1" min="17" max="17" width="3.13"/>
    <col customWidth="1" min="18" max="18" width="12.75"/>
    <col customWidth="1" min="19" max="19" width="1.63"/>
    <col customWidth="1" min="20" max="20" width="25.13"/>
  </cols>
  <sheetData>
    <row r="1">
      <c r="A1" s="6"/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9" t="s">
        <v>59</v>
      </c>
      <c r="S1" s="10" t="s">
        <v>60</v>
      </c>
      <c r="T1" s="11" t="s">
        <v>61</v>
      </c>
    </row>
    <row r="2" ht="18.0" customHeight="1">
      <c r="A2" s="12"/>
      <c r="F2" s="13" t="s">
        <v>62</v>
      </c>
      <c r="R2" s="14" t="s">
        <v>63</v>
      </c>
      <c r="S2" s="15" t="s">
        <v>60</v>
      </c>
      <c r="T2" s="16" t="s">
        <v>64</v>
      </c>
    </row>
    <row r="3" ht="18.0" customHeight="1">
      <c r="A3" s="12"/>
      <c r="F3" s="13" t="s">
        <v>65</v>
      </c>
      <c r="R3" s="14" t="s">
        <v>66</v>
      </c>
      <c r="S3" s="15" t="s">
        <v>60</v>
      </c>
      <c r="T3" s="17"/>
    </row>
    <row r="4">
      <c r="A4" s="18"/>
      <c r="B4" s="19"/>
      <c r="C4" s="19"/>
      <c r="D4" s="19"/>
      <c r="E4" s="19"/>
      <c r="F4" s="20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1" t="s">
        <v>67</v>
      </c>
      <c r="S4" s="22" t="s">
        <v>60</v>
      </c>
      <c r="T4" s="23" t="s">
        <v>68</v>
      </c>
    </row>
    <row r="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</row>
    <row r="6">
      <c r="A6" s="27"/>
      <c r="B6" s="28"/>
      <c r="C6" s="28"/>
      <c r="D6" s="28"/>
      <c r="E6" s="29"/>
      <c r="F6" s="30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 t="s">
        <v>69</v>
      </c>
      <c r="S6" s="30" t="s">
        <v>60</v>
      </c>
      <c r="T6" s="33" t="s">
        <v>70</v>
      </c>
    </row>
    <row r="7">
      <c r="A7" s="27"/>
      <c r="B7" s="28"/>
      <c r="C7" s="28"/>
      <c r="D7" s="28"/>
      <c r="E7" s="34"/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5" t="s">
        <v>71</v>
      </c>
      <c r="S7" s="36" t="s">
        <v>60</v>
      </c>
      <c r="T7" s="37" t="s">
        <v>72</v>
      </c>
    </row>
    <row r="8">
      <c r="A8" s="38" t="s">
        <v>73</v>
      </c>
      <c r="B8" s="39"/>
      <c r="C8" s="39"/>
      <c r="D8" s="39"/>
      <c r="E8" s="40" t="s">
        <v>60</v>
      </c>
      <c r="F8" s="39"/>
      <c r="G8" s="41"/>
      <c r="H8" s="39" t="s">
        <v>74</v>
      </c>
      <c r="I8" s="39"/>
      <c r="J8" s="39"/>
      <c r="K8" s="42"/>
      <c r="L8" s="39" t="s">
        <v>75</v>
      </c>
      <c r="M8" s="39"/>
      <c r="N8" s="39"/>
      <c r="O8" s="41"/>
      <c r="P8" s="39" t="s">
        <v>76</v>
      </c>
      <c r="Q8" s="39"/>
      <c r="R8" s="30"/>
      <c r="S8" s="30"/>
      <c r="T8" s="43"/>
    </row>
    <row r="9" ht="25.5" customHeight="1">
      <c r="A9" s="44" t="s">
        <v>77</v>
      </c>
      <c r="B9" s="28"/>
      <c r="C9" s="28"/>
      <c r="D9" s="28"/>
      <c r="E9" s="29" t="s">
        <v>60</v>
      </c>
      <c r="F9" s="45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46"/>
    </row>
    <row r="10" ht="21.0" customHeight="1">
      <c r="A10" s="44" t="s">
        <v>78</v>
      </c>
      <c r="B10" s="28"/>
      <c r="C10" s="28"/>
      <c r="D10" s="28"/>
      <c r="E10" s="29" t="s">
        <v>60</v>
      </c>
      <c r="F10" s="47" t="s">
        <v>79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48"/>
    </row>
    <row r="11">
      <c r="A11" s="38" t="s">
        <v>0</v>
      </c>
      <c r="B11" s="49"/>
      <c r="C11" s="50"/>
      <c r="D11" s="29"/>
      <c r="E11" s="29" t="s">
        <v>60</v>
      </c>
      <c r="F11" s="39">
        <v>5.0104031E9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48"/>
    </row>
    <row r="12">
      <c r="A12" s="38" t="s">
        <v>80</v>
      </c>
      <c r="B12" s="30"/>
      <c r="C12" s="30"/>
      <c r="D12" s="30"/>
      <c r="E12" s="51" t="s">
        <v>60</v>
      </c>
      <c r="F12" s="30" t="s">
        <v>81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52"/>
    </row>
    <row r="13" ht="15.0" customHeight="1">
      <c r="A13" s="53" t="s">
        <v>82</v>
      </c>
      <c r="B13" s="54" t="s">
        <v>83</v>
      </c>
      <c r="C13" s="54" t="s">
        <v>84</v>
      </c>
      <c r="D13" s="55" t="s">
        <v>85</v>
      </c>
      <c r="E13" s="25"/>
      <c r="F13" s="25"/>
      <c r="G13" s="25"/>
      <c r="H13" s="25"/>
      <c r="I13" s="25"/>
      <c r="J13" s="25"/>
      <c r="K13" s="25"/>
      <c r="L13" s="25"/>
      <c r="M13" s="25"/>
      <c r="N13" s="56"/>
      <c r="O13" s="55" t="s">
        <v>86</v>
      </c>
      <c r="P13" s="25"/>
      <c r="Q13" s="56"/>
      <c r="R13" s="57" t="s">
        <v>87</v>
      </c>
      <c r="S13" s="28"/>
      <c r="T13" s="48"/>
    </row>
    <row r="14">
      <c r="A14" s="58"/>
      <c r="B14" s="59"/>
      <c r="C14" s="59"/>
      <c r="D14" s="60"/>
      <c r="E14" s="19"/>
      <c r="F14" s="19"/>
      <c r="G14" s="19"/>
      <c r="H14" s="19"/>
      <c r="I14" s="19"/>
      <c r="J14" s="19"/>
      <c r="K14" s="19"/>
      <c r="L14" s="19"/>
      <c r="M14" s="19"/>
      <c r="N14" s="61"/>
      <c r="O14" s="60"/>
      <c r="P14" s="19"/>
      <c r="Q14" s="61"/>
      <c r="R14" s="62" t="s">
        <v>88</v>
      </c>
      <c r="S14" s="63"/>
      <c r="T14" s="64" t="s">
        <v>83</v>
      </c>
    </row>
    <row r="15" ht="20.25" customHeight="1">
      <c r="A15" s="65"/>
      <c r="B15" s="66"/>
      <c r="C15" s="67"/>
      <c r="D15" s="68" t="s">
        <v>23</v>
      </c>
      <c r="E15" s="69"/>
      <c r="F15" s="69"/>
      <c r="G15" s="69"/>
      <c r="H15" s="69"/>
      <c r="I15" s="69"/>
      <c r="J15" s="69"/>
      <c r="K15" s="69"/>
      <c r="L15" s="69"/>
      <c r="M15" s="69"/>
      <c r="N15" s="70"/>
      <c r="O15" s="71"/>
      <c r="P15" s="25"/>
      <c r="Q15" s="56"/>
      <c r="R15" s="72"/>
      <c r="S15" s="73"/>
      <c r="T15" s="74"/>
    </row>
    <row r="16" ht="15.0" customHeight="1">
      <c r="A16" s="75">
        <v>1.0</v>
      </c>
      <c r="B16" s="76">
        <v>1.0</v>
      </c>
      <c r="C16" s="77" t="s">
        <v>89</v>
      </c>
      <c r="D16" s="78" t="s">
        <v>90</v>
      </c>
      <c r="E16" s="79"/>
      <c r="F16" s="79"/>
      <c r="G16" s="79"/>
      <c r="H16" s="79"/>
      <c r="I16" s="79"/>
      <c r="J16" s="79"/>
      <c r="K16" s="79"/>
      <c r="L16" s="79"/>
      <c r="M16" s="79"/>
      <c r="N16" s="80"/>
      <c r="O16" s="81"/>
      <c r="P16" s="82"/>
      <c r="Q16" s="83"/>
      <c r="R16" s="84">
        <v>1750000.0</v>
      </c>
      <c r="S16" s="85"/>
      <c r="T16" s="86">
        <f t="shared" ref="T16:T17" si="1">+R16*B16</f>
        <v>1750000</v>
      </c>
    </row>
    <row r="17">
      <c r="A17" s="75"/>
      <c r="B17" s="76"/>
      <c r="C17" s="77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80"/>
      <c r="O17" s="87"/>
      <c r="P17" s="88"/>
      <c r="Q17" s="89"/>
      <c r="R17" s="84"/>
      <c r="S17" s="85"/>
      <c r="T17" s="86">
        <f t="shared" si="1"/>
        <v>0</v>
      </c>
    </row>
    <row r="18" ht="17.25" customHeight="1">
      <c r="A18" s="75"/>
      <c r="B18" s="76"/>
      <c r="C18" s="77"/>
      <c r="D18" s="90"/>
      <c r="E18" s="79"/>
      <c r="F18" s="79"/>
      <c r="G18" s="79"/>
      <c r="H18" s="79"/>
      <c r="I18" s="79"/>
      <c r="J18" s="79"/>
      <c r="K18" s="79"/>
      <c r="L18" s="79"/>
      <c r="M18" s="79"/>
      <c r="N18" s="80"/>
      <c r="O18" s="91"/>
      <c r="P18" s="92"/>
      <c r="Q18" s="93"/>
      <c r="R18" s="84"/>
      <c r="S18" s="85"/>
      <c r="T18" s="86"/>
    </row>
    <row r="19" ht="17.25" customHeight="1">
      <c r="A19" s="75"/>
      <c r="B19" s="76"/>
      <c r="C19" s="77"/>
      <c r="D19" s="90"/>
      <c r="E19" s="79"/>
      <c r="F19" s="79"/>
      <c r="G19" s="79"/>
      <c r="H19" s="79"/>
      <c r="I19" s="79"/>
      <c r="J19" s="79"/>
      <c r="K19" s="79"/>
      <c r="L19" s="79"/>
      <c r="M19" s="79"/>
      <c r="N19" s="80"/>
      <c r="O19" s="91"/>
      <c r="P19" s="92"/>
      <c r="Q19" s="93"/>
      <c r="R19" s="84"/>
      <c r="S19" s="85"/>
      <c r="T19" s="86"/>
    </row>
    <row r="20" ht="17.25" customHeight="1">
      <c r="A20" s="75"/>
      <c r="B20" s="76"/>
      <c r="C20" s="77"/>
      <c r="D20" s="90"/>
      <c r="E20" s="79"/>
      <c r="F20" s="79"/>
      <c r="G20" s="79"/>
      <c r="H20" s="79"/>
      <c r="I20" s="79"/>
      <c r="J20" s="79"/>
      <c r="K20" s="79"/>
      <c r="L20" s="79"/>
      <c r="M20" s="79"/>
      <c r="N20" s="80"/>
      <c r="O20" s="91"/>
      <c r="P20" s="92"/>
      <c r="Q20" s="93"/>
      <c r="R20" s="84"/>
      <c r="S20" s="85"/>
      <c r="T20" s="86"/>
    </row>
    <row r="21" ht="15.0" customHeight="1">
      <c r="A21" s="75"/>
      <c r="B21" s="77"/>
      <c r="C21" s="77"/>
      <c r="D21" s="94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1"/>
      <c r="P21" s="96"/>
      <c r="Q21" s="93"/>
      <c r="R21" s="84"/>
      <c r="S21" s="85"/>
      <c r="T21" s="86"/>
    </row>
    <row r="22" ht="15.0" customHeight="1">
      <c r="A22" s="97"/>
      <c r="B22" s="77"/>
      <c r="C22" s="77"/>
      <c r="D22" s="9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1"/>
      <c r="P22" s="96"/>
      <c r="Q22" s="93"/>
      <c r="R22" s="84"/>
      <c r="S22" s="85"/>
      <c r="T22" s="86"/>
    </row>
    <row r="23" ht="15.0" customHeight="1">
      <c r="A23" s="98" t="s">
        <v>91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63"/>
      <c r="T23" s="99">
        <f>SUM(T16:T22)</f>
        <v>1750000</v>
      </c>
    </row>
    <row r="24" ht="15.0" customHeight="1">
      <c r="A24" s="98" t="s">
        <v>92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63"/>
      <c r="T24" s="99"/>
    </row>
    <row r="25" ht="15.0" customHeight="1">
      <c r="A25" s="98" t="s">
        <v>93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63"/>
      <c r="T25" s="99">
        <f>+T23+T24</f>
        <v>1750000</v>
      </c>
    </row>
    <row r="26" ht="15.75" customHeight="1">
      <c r="A26" s="100" t="s">
        <v>94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2" t="s">
        <v>95</v>
      </c>
      <c r="S26" s="103" t="str">
        <f>T7</f>
        <v>12 Juni 2026</v>
      </c>
      <c r="T26" s="26"/>
    </row>
    <row r="27" ht="15.75" customHeight="1">
      <c r="A27" s="104"/>
      <c r="B27" s="105"/>
      <c r="Q27" s="106"/>
      <c r="R27" s="107" t="s">
        <v>96</v>
      </c>
      <c r="T27" s="108"/>
    </row>
    <row r="28" ht="15.75" customHeight="1">
      <c r="A28" s="104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9"/>
      <c r="S28" s="106"/>
      <c r="T28" s="110"/>
    </row>
    <row r="29" ht="25.5" customHeight="1">
      <c r="A29" s="104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9"/>
      <c r="S29" s="106"/>
      <c r="T29" s="110"/>
    </row>
    <row r="30" ht="30.0" customHeight="1">
      <c r="A30" s="104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 t="s">
        <v>97</v>
      </c>
      <c r="Q30" s="106"/>
      <c r="R30" s="109"/>
      <c r="S30" s="106"/>
      <c r="T30" s="110"/>
    </row>
    <row r="31" ht="15.75" customHeight="1">
      <c r="A31" s="104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11" t="s">
        <v>98</v>
      </c>
      <c r="T31" s="108"/>
    </row>
    <row r="32" ht="15.75" customHeight="1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4" t="s">
        <v>99</v>
      </c>
      <c r="S32" s="19"/>
      <c r="T32" s="46"/>
    </row>
    <row r="33" ht="15.75" customHeight="1">
      <c r="A33" s="104" t="s">
        <v>100</v>
      </c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16"/>
      <c r="P33" s="117"/>
      <c r="Q33" s="116"/>
      <c r="R33" s="118" t="s">
        <v>101</v>
      </c>
      <c r="S33" s="119" t="str">
        <f>S26</f>
        <v>12 Juni 2026</v>
      </c>
      <c r="T33" s="26"/>
    </row>
    <row r="34" ht="15.75" customHeight="1">
      <c r="A34" s="104"/>
      <c r="B34" s="120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9"/>
      <c r="S34" s="106"/>
      <c r="T34" s="110"/>
    </row>
    <row r="35" ht="27.0" customHeight="1">
      <c r="A35" s="104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9"/>
      <c r="S35" s="106"/>
      <c r="T35" s="110"/>
    </row>
    <row r="36" ht="27.0" customHeight="1">
      <c r="A36" s="104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9"/>
      <c r="S36" s="121"/>
      <c r="T36" s="122"/>
    </row>
    <row r="37" ht="15.75" customHeight="1">
      <c r="A37" s="123"/>
      <c r="B37" s="124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25"/>
      <c r="R37" s="126" t="s">
        <v>102</v>
      </c>
      <c r="T37" s="108"/>
    </row>
    <row r="38" ht="15.75" customHeight="1">
      <c r="A38" s="112"/>
      <c r="B38" s="127"/>
      <c r="C38" s="19"/>
      <c r="D38" s="19"/>
      <c r="E38" s="19"/>
      <c r="F38" s="19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4" t="s">
        <v>103</v>
      </c>
      <c r="S38" s="19"/>
      <c r="T38" s="46"/>
    </row>
    <row r="39" ht="15.0" customHeight="1">
      <c r="A39" s="104" t="s">
        <v>100</v>
      </c>
      <c r="B39" s="115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16"/>
      <c r="P39" s="117"/>
      <c r="Q39" s="116"/>
      <c r="R39" s="118" t="s">
        <v>101</v>
      </c>
      <c r="S39" s="119" t="str">
        <f>S33</f>
        <v>12 Juni 2026</v>
      </c>
      <c r="T39" s="26"/>
    </row>
    <row r="40" ht="15.0" customHeight="1">
      <c r="A40" s="104"/>
      <c r="B40" s="105"/>
      <c r="Q40" s="106"/>
      <c r="R40" s="107" t="s">
        <v>104</v>
      </c>
      <c r="T40" s="108"/>
    </row>
    <row r="41" ht="15.0" customHeight="1">
      <c r="A41" s="104"/>
      <c r="B41" s="120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9"/>
      <c r="S41" s="106"/>
      <c r="T41" s="110"/>
    </row>
    <row r="42" ht="15.0" customHeight="1">
      <c r="A42" s="104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9"/>
      <c r="S42" s="106"/>
      <c r="T42" s="110"/>
    </row>
    <row r="43" ht="15.0" customHeight="1">
      <c r="A43" s="104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9"/>
      <c r="S43" s="121"/>
      <c r="T43" s="122"/>
    </row>
    <row r="44" ht="15.0" customHeight="1">
      <c r="A44" s="123"/>
      <c r="B44" s="124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125"/>
      <c r="R44" s="111" t="s">
        <v>105</v>
      </c>
      <c r="T44" s="108"/>
    </row>
    <row r="45" ht="15.0" customHeight="1">
      <c r="A45" s="128"/>
      <c r="B45" s="129"/>
      <c r="C45" s="130"/>
      <c r="D45" s="130"/>
      <c r="E45" s="130"/>
      <c r="F45" s="130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2" t="s">
        <v>106</v>
      </c>
      <c r="S45" s="130"/>
      <c r="T45" s="133"/>
    </row>
    <row r="46" ht="15.0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</row>
  </sheetData>
  <mergeCells count="45">
    <mergeCell ref="A1:E4"/>
    <mergeCell ref="F1:Q1"/>
    <mergeCell ref="F2:Q2"/>
    <mergeCell ref="F3:Q3"/>
    <mergeCell ref="F4:Q4"/>
    <mergeCell ref="A5:T5"/>
    <mergeCell ref="A6:D6"/>
    <mergeCell ref="B13:B14"/>
    <mergeCell ref="C13:C14"/>
    <mergeCell ref="B34:G34"/>
    <mergeCell ref="B37:F37"/>
    <mergeCell ref="B38:F38"/>
    <mergeCell ref="B41:G41"/>
    <mergeCell ref="B44:F44"/>
    <mergeCell ref="B45:F45"/>
    <mergeCell ref="A7:D7"/>
    <mergeCell ref="A9:D9"/>
    <mergeCell ref="F9:T9"/>
    <mergeCell ref="A10:D10"/>
    <mergeCell ref="F10:T10"/>
    <mergeCell ref="F11:T11"/>
    <mergeCell ref="A13:A14"/>
    <mergeCell ref="A25:S25"/>
    <mergeCell ref="S26:T26"/>
    <mergeCell ref="B27:P27"/>
    <mergeCell ref="R27:T27"/>
    <mergeCell ref="B40:P40"/>
    <mergeCell ref="R40:T40"/>
    <mergeCell ref="D13:N14"/>
    <mergeCell ref="O13:Q14"/>
    <mergeCell ref="D15:N15"/>
    <mergeCell ref="O15:Q15"/>
    <mergeCell ref="O16:Q16"/>
    <mergeCell ref="A23:S23"/>
    <mergeCell ref="A24:S24"/>
    <mergeCell ref="S39:T39"/>
    <mergeCell ref="R44:T44"/>
    <mergeCell ref="R45:T45"/>
    <mergeCell ref="R13:T13"/>
    <mergeCell ref="R14:S14"/>
    <mergeCell ref="R31:T31"/>
    <mergeCell ref="R32:T32"/>
    <mergeCell ref="S33:T33"/>
    <mergeCell ref="R37:T37"/>
    <mergeCell ref="R38:T38"/>
  </mergeCells>
  <dataValidations>
    <dataValidation type="list" allowBlank="1" sqref="F11">
      <formula1>#REF!</formula1>
    </dataValidation>
  </dataValidations>
  <printOptions horizontalCentered="1"/>
  <pageMargins bottom="0.0" footer="0.0" header="0.0" left="0.0" right="0.0" top="0.3937007874015748"/>
  <pageSetup paperSize="9" scale="7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5.0"/>
    <col customWidth="1" min="3" max="3" width="7.5"/>
    <col customWidth="1" min="4" max="4" width="7.25"/>
    <col customWidth="1" min="5" max="5" width="4.0"/>
    <col customWidth="1" min="6" max="6" width="45.25"/>
    <col customWidth="1" min="7" max="7" width="11.38"/>
    <col customWidth="1" min="8" max="8" width="11.25"/>
    <col customWidth="1" min="9" max="9" width="10.75"/>
    <col customWidth="1" min="10" max="10" width="11.75"/>
    <col customWidth="1" min="11" max="11" width="6.75"/>
    <col customWidth="1" min="12" max="12" width="3.75"/>
  </cols>
  <sheetData>
    <row r="1" ht="4.5" customHeight="1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ht="15.0" customHeight="1">
      <c r="A2" s="136"/>
      <c r="B2" s="137"/>
      <c r="C2" s="137"/>
      <c r="D2" s="138" t="s">
        <v>107</v>
      </c>
      <c r="E2" s="25"/>
      <c r="F2" s="25"/>
      <c r="G2" s="25"/>
      <c r="H2" s="25"/>
      <c r="I2" s="56"/>
      <c r="J2" s="139" t="s">
        <v>59</v>
      </c>
      <c r="K2" s="140" t="s">
        <v>108</v>
      </c>
      <c r="L2" s="63"/>
    </row>
    <row r="3" ht="15.0" customHeight="1">
      <c r="A3" s="141"/>
      <c r="B3" s="135"/>
      <c r="C3" s="135"/>
      <c r="I3" s="142"/>
      <c r="J3" s="139" t="s">
        <v>63</v>
      </c>
      <c r="K3" s="143" t="s">
        <v>109</v>
      </c>
      <c r="L3" s="63"/>
    </row>
    <row r="4" ht="15.0" customHeight="1">
      <c r="A4" s="141"/>
      <c r="B4" s="135"/>
      <c r="C4" s="135"/>
      <c r="I4" s="142"/>
      <c r="J4" s="139" t="s">
        <v>110</v>
      </c>
      <c r="K4" s="140"/>
      <c r="L4" s="63"/>
    </row>
    <row r="5" ht="15.0" customHeight="1">
      <c r="A5" s="144"/>
      <c r="B5" s="145"/>
      <c r="C5" s="145"/>
      <c r="D5" s="19"/>
      <c r="E5" s="19"/>
      <c r="F5" s="19"/>
      <c r="G5" s="19"/>
      <c r="H5" s="19"/>
      <c r="I5" s="61"/>
      <c r="J5" s="139" t="s">
        <v>67</v>
      </c>
      <c r="K5" s="140" t="s">
        <v>111</v>
      </c>
      <c r="L5" s="63"/>
    </row>
    <row r="6" ht="9.75" customHeight="1">
      <c r="A6" s="146"/>
    </row>
    <row r="7" ht="15.0" customHeight="1">
      <c r="A7" s="147" t="s">
        <v>107</v>
      </c>
    </row>
    <row r="8" ht="15.0" customHeight="1">
      <c r="A8" s="147" t="s">
        <v>112</v>
      </c>
    </row>
    <row r="9" ht="9.75" customHeight="1">
      <c r="A9" s="148"/>
      <c r="D9" s="149"/>
      <c r="E9" s="150"/>
      <c r="J9" s="149"/>
    </row>
    <row r="10" ht="15.0" customHeight="1">
      <c r="A10" s="151" t="s">
        <v>113</v>
      </c>
      <c r="B10" s="151"/>
      <c r="C10" s="151"/>
      <c r="D10" s="149"/>
      <c r="E10" s="149"/>
      <c r="F10" s="149"/>
      <c r="G10" s="149"/>
      <c r="H10" s="149"/>
      <c r="I10" s="149"/>
      <c r="J10" s="149"/>
      <c r="K10" s="149"/>
      <c r="L10" s="149"/>
    </row>
    <row r="11" ht="15.0" customHeight="1">
      <c r="A11" s="151" t="s">
        <v>114</v>
      </c>
      <c r="B11" s="151"/>
      <c r="C11" s="147" t="s">
        <v>60</v>
      </c>
      <c r="D11" s="150" t="str">
        <f>I38</f>
        <v>IRSAN ANUGRAH</v>
      </c>
      <c r="H11" s="149"/>
      <c r="I11" s="150"/>
      <c r="J11" s="150"/>
      <c r="K11" s="150"/>
      <c r="L11" s="150"/>
    </row>
    <row r="12" ht="15.0" customHeight="1">
      <c r="A12" s="151" t="s">
        <v>115</v>
      </c>
      <c r="B12" s="151"/>
      <c r="C12" s="147" t="s">
        <v>60</v>
      </c>
      <c r="D12" s="150" t="str">
        <f>H33</f>
        <v>Staf Teknik Armada dan Fasilitas </v>
      </c>
      <c r="I12" s="150"/>
      <c r="J12" s="150"/>
      <c r="K12" s="150"/>
      <c r="L12" s="150"/>
    </row>
    <row r="13" ht="15.0" customHeight="1">
      <c r="A13" s="151" t="s">
        <v>116</v>
      </c>
      <c r="B13" s="151"/>
      <c r="C13" s="147" t="s">
        <v>60</v>
      </c>
      <c r="D13" s="152" t="s">
        <v>117</v>
      </c>
      <c r="I13" s="150"/>
      <c r="J13" s="150"/>
      <c r="K13" s="150"/>
      <c r="L13" s="150"/>
    </row>
    <row r="14" ht="15.0" customHeight="1">
      <c r="A14" s="151" t="s">
        <v>118</v>
      </c>
      <c r="B14" s="151"/>
      <c r="C14" s="151"/>
      <c r="D14" s="151"/>
      <c r="E14" s="151"/>
      <c r="F14" s="151"/>
      <c r="G14" s="151"/>
      <c r="H14" s="151"/>
      <c r="I14" s="150"/>
      <c r="J14" s="150"/>
      <c r="K14" s="150"/>
      <c r="L14" s="150"/>
    </row>
    <row r="15" ht="15.0" customHeight="1">
      <c r="A15" s="151" t="s">
        <v>119</v>
      </c>
      <c r="B15" s="151"/>
      <c r="C15" s="151"/>
      <c r="D15" s="151"/>
      <c r="E15" s="151"/>
      <c r="F15" s="151"/>
      <c r="G15" s="151"/>
      <c r="H15" s="151"/>
      <c r="I15" s="150"/>
      <c r="J15" s="150"/>
      <c r="K15" s="150"/>
      <c r="L15" s="150"/>
    </row>
    <row r="16" ht="35.25" customHeight="1">
      <c r="A16" s="153" t="s">
        <v>120</v>
      </c>
      <c r="B16" s="154" t="s">
        <v>121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5.0" customHeight="1">
      <c r="A17" s="155"/>
      <c r="B17" s="156" t="s">
        <v>122</v>
      </c>
      <c r="C17" s="156" t="s">
        <v>84</v>
      </c>
      <c r="D17" s="156" t="s">
        <v>83</v>
      </c>
      <c r="E17" s="157" t="s">
        <v>123</v>
      </c>
      <c r="F17" s="56"/>
      <c r="G17" s="158" t="s">
        <v>124</v>
      </c>
      <c r="H17" s="63"/>
      <c r="I17" s="157" t="s">
        <v>125</v>
      </c>
      <c r="J17" s="56"/>
      <c r="K17" s="157" t="s">
        <v>126</v>
      </c>
      <c r="L17" s="56"/>
    </row>
    <row r="18" ht="15.0" customHeight="1">
      <c r="A18" s="61"/>
      <c r="B18" s="159"/>
      <c r="C18" s="159"/>
      <c r="D18" s="159"/>
      <c r="E18" s="160"/>
      <c r="F18" s="161"/>
      <c r="G18" s="162" t="s">
        <v>84</v>
      </c>
      <c r="H18" s="163" t="s">
        <v>83</v>
      </c>
      <c r="I18" s="162" t="s">
        <v>84</v>
      </c>
      <c r="J18" s="162" t="s">
        <v>83</v>
      </c>
      <c r="K18" s="160"/>
      <c r="L18" s="161"/>
    </row>
    <row r="19" ht="18.75" customHeight="1">
      <c r="A19" s="155"/>
      <c r="B19" s="164"/>
      <c r="C19" s="165"/>
      <c r="D19" s="164"/>
      <c r="E19" s="166" t="str">
        <f>SPPB!D15</f>
        <v>KMP. KOLORAI</v>
      </c>
      <c r="F19" s="167"/>
      <c r="G19" s="168"/>
      <c r="H19" s="168"/>
      <c r="I19" s="164"/>
      <c r="J19" s="164"/>
      <c r="K19" s="165"/>
      <c r="L19" s="168"/>
    </row>
    <row r="20" ht="13.5" customHeight="1">
      <c r="A20" s="169"/>
      <c r="B20" s="170">
        <f>+SPPB!A16</f>
        <v>1</v>
      </c>
      <c r="C20" s="171" t="str">
        <f>+SPPB!C16</f>
        <v>Au</v>
      </c>
      <c r="D20" s="170">
        <f>+SPPB!B16</f>
        <v>1</v>
      </c>
      <c r="E20" s="172" t="str">
        <f>SPPB!D16</f>
        <v>Perbaikan Cas ACCU </v>
      </c>
      <c r="F20" s="173"/>
      <c r="G20" s="174">
        <f>+SPPB!R16</f>
        <v>1750000</v>
      </c>
      <c r="H20" s="175">
        <f>G20*D20</f>
        <v>1750000</v>
      </c>
      <c r="I20" s="174">
        <f>+G20</f>
        <v>1750000</v>
      </c>
      <c r="J20" s="175">
        <f>I20*D20</f>
        <v>1750000</v>
      </c>
      <c r="K20" s="176"/>
      <c r="L20" s="177"/>
    </row>
    <row r="21" ht="13.5" customHeight="1">
      <c r="A21" s="169"/>
      <c r="B21" s="170"/>
      <c r="C21" s="171"/>
      <c r="D21" s="170"/>
      <c r="E21" s="172"/>
      <c r="F21" s="173"/>
      <c r="G21" s="174"/>
      <c r="H21" s="175"/>
      <c r="I21" s="174"/>
      <c r="J21" s="175"/>
      <c r="K21" s="176"/>
      <c r="L21" s="177"/>
    </row>
    <row r="22" ht="13.5" customHeight="1">
      <c r="A22" s="169"/>
      <c r="B22" s="170"/>
      <c r="C22" s="171"/>
      <c r="D22" s="170"/>
      <c r="E22" s="172"/>
      <c r="F22" s="173"/>
      <c r="G22" s="174"/>
      <c r="H22" s="175"/>
      <c r="I22" s="174"/>
      <c r="J22" s="175"/>
      <c r="K22" s="176"/>
      <c r="L22" s="177"/>
    </row>
    <row r="23" ht="13.5" customHeight="1">
      <c r="A23" s="169"/>
      <c r="B23" s="170"/>
      <c r="C23" s="171"/>
      <c r="D23" s="170"/>
      <c r="E23" s="172"/>
      <c r="F23" s="173"/>
      <c r="G23" s="174"/>
      <c r="H23" s="175"/>
      <c r="I23" s="174"/>
      <c r="J23" s="175"/>
      <c r="K23" s="176"/>
      <c r="L23" s="177"/>
    </row>
    <row r="24" ht="15.0" customHeight="1">
      <c r="A24" s="178"/>
      <c r="B24" s="179"/>
      <c r="C24" s="180"/>
      <c r="D24" s="179"/>
      <c r="E24" s="181"/>
      <c r="F24" s="182"/>
      <c r="G24" s="183"/>
      <c r="H24" s="183"/>
      <c r="I24" s="184"/>
      <c r="J24" s="185"/>
      <c r="K24" s="186"/>
      <c r="L24" s="187"/>
    </row>
    <row r="25" ht="15.0" customHeight="1">
      <c r="A25" s="178"/>
      <c r="B25" s="188"/>
      <c r="C25" s="189"/>
      <c r="D25" s="190"/>
      <c r="E25" s="191"/>
      <c r="F25" s="192" t="s">
        <v>83</v>
      </c>
      <c r="G25" s="193"/>
      <c r="H25" s="194">
        <f>SUM(H20:H24)</f>
        <v>1750000</v>
      </c>
      <c r="I25" s="195"/>
      <c r="J25" s="194">
        <f>SUM(J20:J24)</f>
        <v>1750000</v>
      </c>
      <c r="K25" s="196"/>
      <c r="L25" s="197"/>
    </row>
    <row r="26" ht="15.0" customHeight="1">
      <c r="A26" s="178"/>
      <c r="B26" s="198"/>
      <c r="C26" s="199"/>
      <c r="D26" s="200"/>
      <c r="E26" s="201"/>
      <c r="F26" s="202" t="s">
        <v>127</v>
      </c>
      <c r="G26" s="203"/>
      <c r="H26" s="204">
        <v>0.0</v>
      </c>
      <c r="I26" s="205"/>
      <c r="J26" s="204">
        <v>0.0</v>
      </c>
      <c r="K26" s="206"/>
      <c r="L26" s="173"/>
    </row>
    <row r="27" ht="15.0" customHeight="1">
      <c r="A27" s="178"/>
      <c r="B27" s="179"/>
      <c r="C27" s="180"/>
      <c r="D27" s="207"/>
      <c r="E27" s="208"/>
      <c r="F27" s="209" t="s">
        <v>128</v>
      </c>
      <c r="G27" s="210"/>
      <c r="H27" s="183">
        <f>H25+H26</f>
        <v>1750000</v>
      </c>
      <c r="I27" s="211"/>
      <c r="J27" s="183">
        <f>J25+J26</f>
        <v>1750000</v>
      </c>
      <c r="K27" s="212"/>
      <c r="L27" s="213"/>
    </row>
    <row r="28" ht="7.5" customHeight="1">
      <c r="A28" s="120"/>
      <c r="B28" s="120"/>
      <c r="C28" s="120"/>
      <c r="D28" s="214"/>
      <c r="E28" s="215"/>
      <c r="F28" s="215"/>
      <c r="G28" s="120"/>
      <c r="H28" s="120"/>
      <c r="I28" s="120"/>
      <c r="J28" s="216"/>
      <c r="K28" s="216"/>
      <c r="L28" s="217"/>
    </row>
    <row r="29" ht="30.75" customHeight="1">
      <c r="A29" s="218" t="s">
        <v>129</v>
      </c>
      <c r="B29" s="219" t="s">
        <v>130</v>
      </c>
    </row>
    <row r="30" ht="10.5" customHeight="1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1"/>
    </row>
    <row r="31" ht="13.5" customHeight="1">
      <c r="A31" s="222"/>
      <c r="B31" s="135"/>
      <c r="C31" s="135"/>
      <c r="D31" s="135"/>
      <c r="E31" s="135"/>
      <c r="F31" s="135"/>
      <c r="G31" s="135"/>
      <c r="H31" s="223" t="s">
        <v>131</v>
      </c>
      <c r="I31" s="224" t="str">
        <f>SPPB!T7</f>
        <v>12 Juni 2026</v>
      </c>
      <c r="J31" s="135"/>
      <c r="K31" s="225"/>
      <c r="L31" s="135"/>
    </row>
    <row r="32" ht="13.5" customHeight="1">
      <c r="A32" s="135"/>
      <c r="B32" s="135"/>
      <c r="C32" s="225" t="s">
        <v>132</v>
      </c>
      <c r="G32" s="135"/>
      <c r="H32" s="225" t="s">
        <v>133</v>
      </c>
      <c r="K32" s="226"/>
      <c r="L32" s="135"/>
    </row>
    <row r="33" ht="13.5" customHeight="1">
      <c r="A33" s="135"/>
      <c r="B33" s="135"/>
      <c r="C33" s="225" t="str">
        <f>SPPB!R38</f>
        <v>Dept. Head Operasional dan Teknik</v>
      </c>
      <c r="G33" s="135"/>
      <c r="H33" s="225" t="str">
        <f>SPPB!R32</f>
        <v>Staf Teknik Armada dan Fasilitas </v>
      </c>
      <c r="K33" s="225"/>
      <c r="L33" s="135"/>
    </row>
    <row r="34" ht="13.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</row>
    <row r="35" ht="13.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</row>
    <row r="36" ht="13.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</row>
    <row r="37" ht="13.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</row>
    <row r="38" ht="24.0" customHeight="1">
      <c r="A38" s="153"/>
      <c r="B38" s="153"/>
      <c r="C38" s="227" t="str">
        <f>SPPB!R37</f>
        <v>ERYANTO SIDABALOK</v>
      </c>
      <c r="G38" s="153"/>
      <c r="H38" s="153"/>
      <c r="I38" s="227" t="str">
        <f>SPPB!R31</f>
        <v>IRSAN ANUGRAH</v>
      </c>
      <c r="J38" s="153"/>
      <c r="K38" s="227"/>
      <c r="L38" s="153"/>
    </row>
    <row r="39" ht="13.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</row>
    <row r="40" ht="13.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</row>
    <row r="41" ht="13.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</row>
  </sheetData>
  <mergeCells count="37">
    <mergeCell ref="D2:I5"/>
    <mergeCell ref="K2:L2"/>
    <mergeCell ref="K3:L3"/>
    <mergeCell ref="K4:L4"/>
    <mergeCell ref="K5:L5"/>
    <mergeCell ref="A6:L6"/>
    <mergeCell ref="A7:L7"/>
    <mergeCell ref="A8:L8"/>
    <mergeCell ref="A9:C9"/>
    <mergeCell ref="E9:I9"/>
    <mergeCell ref="J9:L9"/>
    <mergeCell ref="D11:G11"/>
    <mergeCell ref="D12:H12"/>
    <mergeCell ref="D13:H13"/>
    <mergeCell ref="E19:F19"/>
    <mergeCell ref="E20:F20"/>
    <mergeCell ref="E21:F21"/>
    <mergeCell ref="E22:F22"/>
    <mergeCell ref="E23:F23"/>
    <mergeCell ref="B16:L16"/>
    <mergeCell ref="A17:A18"/>
    <mergeCell ref="B17:B18"/>
    <mergeCell ref="C17:C18"/>
    <mergeCell ref="D17:D18"/>
    <mergeCell ref="E17:F18"/>
    <mergeCell ref="G17:H17"/>
    <mergeCell ref="C32:F32"/>
    <mergeCell ref="C33:F33"/>
    <mergeCell ref="H33:J33"/>
    <mergeCell ref="C38:F38"/>
    <mergeCell ref="I17:J17"/>
    <mergeCell ref="K17:L18"/>
    <mergeCell ref="K25:L25"/>
    <mergeCell ref="K26:L26"/>
    <mergeCell ref="K27:L27"/>
    <mergeCell ref="B29:L29"/>
    <mergeCell ref="H32:J32"/>
  </mergeCells>
  <printOptions horizontalCentered="1"/>
  <pageMargins bottom="0.0" footer="0.0" header="0.0" left="0.0" right="0.0" top="0.3937007874015748"/>
  <pageSetup paperSize="9" scale="7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5.75"/>
    <col customWidth="1" min="3" max="3" width="2.75"/>
    <col customWidth="1" min="4" max="4" width="6.63"/>
    <col customWidth="1" hidden="1" min="5" max="5" width="0.25"/>
    <col customWidth="1" min="6" max="6" width="16.75"/>
    <col customWidth="1" min="7" max="7" width="13.25"/>
    <col customWidth="1" min="8" max="8" width="9.25"/>
    <col customWidth="1" min="9" max="9" width="3.63"/>
    <col customWidth="1" min="10" max="10" width="8.13"/>
    <col customWidth="1" min="11" max="11" width="2.75"/>
    <col customWidth="1" min="12" max="12" width="2.25"/>
    <col customWidth="1" min="13" max="13" width="8.38"/>
    <col customWidth="1" min="14" max="14" width="3.13"/>
    <col customWidth="1" min="15" max="15" width="19.0"/>
  </cols>
  <sheetData>
    <row r="1" ht="15.75" customHeight="1">
      <c r="A1" s="228"/>
      <c r="B1" s="25"/>
      <c r="C1" s="25"/>
      <c r="D1" s="229"/>
      <c r="E1" s="229"/>
      <c r="F1" s="229"/>
      <c r="G1" s="229"/>
      <c r="H1" s="229"/>
      <c r="I1" s="229"/>
      <c r="J1" s="230"/>
      <c r="K1" s="231" t="s">
        <v>59</v>
      </c>
      <c r="L1" s="232"/>
      <c r="M1" s="232"/>
      <c r="N1" s="233" t="s">
        <v>60</v>
      </c>
      <c r="O1" s="234" t="s">
        <v>134</v>
      </c>
    </row>
    <row r="2" ht="15.75" customHeight="1">
      <c r="A2" s="235"/>
      <c r="D2" s="13" t="s">
        <v>135</v>
      </c>
      <c r="J2" s="142"/>
      <c r="K2" s="14" t="s">
        <v>63</v>
      </c>
      <c r="L2" s="236"/>
      <c r="M2" s="236"/>
      <c r="N2" s="237" t="s">
        <v>60</v>
      </c>
      <c r="O2" s="238" t="s">
        <v>136</v>
      </c>
    </row>
    <row r="3" ht="15.75" customHeight="1">
      <c r="A3" s="235"/>
      <c r="J3" s="142"/>
      <c r="K3" s="14" t="s">
        <v>66</v>
      </c>
      <c r="L3" s="236"/>
      <c r="M3" s="236"/>
      <c r="N3" s="237" t="s">
        <v>60</v>
      </c>
      <c r="O3" s="238" t="s">
        <v>137</v>
      </c>
    </row>
    <row r="4" ht="15.75" customHeight="1">
      <c r="A4" s="60"/>
      <c r="B4" s="19"/>
      <c r="C4" s="19"/>
      <c r="D4" s="20"/>
      <c r="E4" s="20"/>
      <c r="F4" s="20"/>
      <c r="G4" s="20"/>
      <c r="H4" s="20"/>
      <c r="I4" s="20"/>
      <c r="J4" s="239"/>
      <c r="K4" s="21" t="s">
        <v>67</v>
      </c>
      <c r="L4" s="240"/>
      <c r="M4" s="240"/>
      <c r="N4" s="241" t="s">
        <v>60</v>
      </c>
      <c r="O4" s="242" t="s">
        <v>68</v>
      </c>
    </row>
    <row r="5" ht="15.75" customHeight="1">
      <c r="A5" s="243"/>
      <c r="B5" s="243"/>
      <c r="C5" s="243"/>
      <c r="D5" s="244"/>
      <c r="E5" s="244"/>
      <c r="F5" s="244"/>
      <c r="G5" s="244"/>
      <c r="H5" s="245"/>
      <c r="I5" s="245"/>
      <c r="J5" s="245"/>
      <c r="K5" s="246"/>
      <c r="L5" s="246"/>
      <c r="M5" s="246"/>
      <c r="N5" s="247"/>
      <c r="O5" s="247"/>
    </row>
    <row r="6" ht="15.75" customHeight="1">
      <c r="A6" s="248" t="s">
        <v>138</v>
      </c>
      <c r="B6" s="28"/>
      <c r="C6" s="29" t="s">
        <v>60</v>
      </c>
      <c r="D6" s="39" t="s">
        <v>139</v>
      </c>
      <c r="E6" s="28"/>
      <c r="F6" s="28"/>
      <c r="G6" s="28"/>
      <c r="H6" s="28"/>
      <c r="I6" s="63"/>
      <c r="J6" s="32" t="s">
        <v>140</v>
      </c>
      <c r="K6" s="249"/>
      <c r="L6" s="29" t="s">
        <v>60</v>
      </c>
      <c r="M6" s="39" t="s">
        <v>141</v>
      </c>
      <c r="N6" s="28"/>
      <c r="O6" s="63"/>
    </row>
    <row r="7" ht="15.75" customHeight="1">
      <c r="A7" s="250"/>
      <c r="C7" s="34"/>
      <c r="D7" s="251"/>
      <c r="E7" s="25"/>
      <c r="F7" s="25"/>
      <c r="G7" s="25"/>
      <c r="H7" s="25"/>
      <c r="I7" s="56"/>
      <c r="J7" s="252"/>
      <c r="K7" s="106"/>
      <c r="L7" s="40"/>
      <c r="M7" s="251"/>
      <c r="N7" s="25"/>
      <c r="O7" s="56"/>
    </row>
    <row r="8" ht="15.75" customHeight="1">
      <c r="A8" s="250" t="s">
        <v>142</v>
      </c>
      <c r="C8" s="34" t="s">
        <v>60</v>
      </c>
      <c r="D8" s="253" t="str">
        <f>SPPB!D15</f>
        <v>KMP. KOLORAI</v>
      </c>
      <c r="I8" s="142"/>
      <c r="J8" s="252" t="s">
        <v>143</v>
      </c>
      <c r="K8" s="106"/>
      <c r="L8" s="34" t="s">
        <v>60</v>
      </c>
      <c r="M8" s="254" t="str">
        <f>SPPB!T7</f>
        <v>12 Juni 2026</v>
      </c>
      <c r="O8" s="142"/>
    </row>
    <row r="9" ht="15.75" customHeight="1">
      <c r="A9" s="255"/>
      <c r="B9" s="105"/>
      <c r="C9" s="256"/>
      <c r="D9" s="257"/>
      <c r="E9" s="257"/>
      <c r="F9" s="257"/>
      <c r="G9" s="257"/>
      <c r="H9" s="257"/>
      <c r="I9" s="257"/>
      <c r="J9" s="258"/>
      <c r="K9" s="259"/>
      <c r="L9" s="256"/>
      <c r="M9" s="257"/>
      <c r="N9" s="257"/>
      <c r="O9" s="260"/>
    </row>
    <row r="10" ht="15.75" customHeight="1">
      <c r="A10" s="261" t="s">
        <v>144</v>
      </c>
      <c r="B10" s="262"/>
      <c r="C10" s="263" t="s">
        <v>60</v>
      </c>
      <c r="D10" s="262" t="str">
        <f>+SPPB!T6</f>
        <v>051/SPPB/TTE/V/ASDP-2026</v>
      </c>
      <c r="E10" s="262"/>
      <c r="F10" s="262"/>
      <c r="G10" s="262"/>
      <c r="H10" s="262"/>
      <c r="I10" s="264"/>
      <c r="J10" s="249"/>
      <c r="K10" s="249"/>
      <c r="L10" s="265"/>
      <c r="M10" s="265"/>
      <c r="N10" s="265"/>
      <c r="O10" s="266"/>
    </row>
    <row r="11" ht="15.75" customHeight="1">
      <c r="A11" s="267" t="s">
        <v>145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ht="15.75" customHeight="1">
      <c r="A12" s="268" t="s">
        <v>82</v>
      </c>
      <c r="B12" s="269" t="s">
        <v>146</v>
      </c>
      <c r="C12" s="25"/>
      <c r="D12" s="25"/>
      <c r="E12" s="25"/>
      <c r="F12" s="56"/>
      <c r="G12" s="54" t="s">
        <v>147</v>
      </c>
      <c r="H12" s="270" t="s">
        <v>84</v>
      </c>
      <c r="I12" s="269" t="s">
        <v>83</v>
      </c>
      <c r="J12" s="56"/>
      <c r="K12" s="271" t="s">
        <v>148</v>
      </c>
      <c r="L12" s="25"/>
      <c r="M12" s="25"/>
      <c r="N12" s="56"/>
      <c r="O12" s="272" t="s">
        <v>149</v>
      </c>
    </row>
    <row r="13" ht="15.75" customHeight="1">
      <c r="A13" s="59"/>
      <c r="B13" s="60"/>
      <c r="C13" s="19"/>
      <c r="D13" s="19"/>
      <c r="E13" s="19"/>
      <c r="F13" s="61"/>
      <c r="G13" s="59"/>
      <c r="H13" s="60"/>
      <c r="I13" s="60"/>
      <c r="J13" s="61"/>
      <c r="K13" s="114" t="s">
        <v>150</v>
      </c>
      <c r="L13" s="19"/>
      <c r="M13" s="19"/>
      <c r="N13" s="61"/>
      <c r="O13" s="273" t="s">
        <v>151</v>
      </c>
    </row>
    <row r="14" ht="18.0" customHeight="1">
      <c r="A14" s="274"/>
      <c r="B14" s="275" t="str">
        <f>SPPB!D15</f>
        <v>KMP. KOLORAI</v>
      </c>
      <c r="C14" s="69"/>
      <c r="D14" s="69"/>
      <c r="E14" s="69"/>
      <c r="F14" s="70"/>
      <c r="G14" s="276"/>
      <c r="H14" s="274"/>
      <c r="I14" s="276"/>
      <c r="J14" s="70"/>
      <c r="K14" s="276"/>
      <c r="L14" s="277"/>
      <c r="M14" s="277"/>
      <c r="N14" s="278"/>
      <c r="O14" s="279"/>
    </row>
    <row r="15" ht="26.25" customHeight="1">
      <c r="A15" s="280">
        <f>+spkh!B20</f>
        <v>1</v>
      </c>
      <c r="B15" s="281" t="str">
        <f>+spkh!E20</f>
        <v>Perbaikan Cas ACCU </v>
      </c>
      <c r="C15" s="282"/>
      <c r="D15" s="282"/>
      <c r="E15" s="282"/>
      <c r="F15" s="173"/>
      <c r="G15" s="283"/>
      <c r="H15" s="280" t="str">
        <f>+spkh!C20</f>
        <v>Au</v>
      </c>
      <c r="I15" s="284">
        <f>+spkh!D20</f>
        <v>1</v>
      </c>
      <c r="J15" s="173"/>
      <c r="K15" s="285">
        <f>+spkh!I20</f>
        <v>1750000</v>
      </c>
      <c r="L15" s="282"/>
      <c r="M15" s="282"/>
      <c r="N15" s="173"/>
      <c r="O15" s="286" t="s">
        <v>152</v>
      </c>
    </row>
    <row r="16" ht="24.0" customHeight="1">
      <c r="A16" s="280"/>
      <c r="B16" s="281"/>
      <c r="C16" s="282"/>
      <c r="D16" s="282"/>
      <c r="E16" s="282"/>
      <c r="F16" s="173"/>
      <c r="G16" s="287"/>
      <c r="H16" s="280"/>
      <c r="I16" s="284"/>
      <c r="J16" s="173"/>
      <c r="K16" s="285"/>
      <c r="L16" s="282"/>
      <c r="M16" s="282"/>
      <c r="N16" s="173"/>
      <c r="O16" s="286"/>
    </row>
    <row r="17" ht="25.5" customHeight="1">
      <c r="A17" s="280"/>
      <c r="B17" s="281"/>
      <c r="C17" s="282"/>
      <c r="D17" s="282"/>
      <c r="E17" s="282"/>
      <c r="F17" s="173"/>
      <c r="G17" s="287"/>
      <c r="H17" s="280"/>
      <c r="I17" s="284"/>
      <c r="J17" s="173"/>
      <c r="K17" s="285"/>
      <c r="L17" s="282"/>
      <c r="M17" s="282"/>
      <c r="N17" s="173"/>
      <c r="O17" s="286"/>
    </row>
    <row r="18" ht="15.75" customHeight="1">
      <c r="A18" s="280"/>
      <c r="B18" s="281"/>
      <c r="C18" s="282"/>
      <c r="D18" s="282"/>
      <c r="E18" s="282"/>
      <c r="F18" s="173"/>
      <c r="G18" s="287"/>
      <c r="H18" s="280"/>
      <c r="I18" s="284"/>
      <c r="J18" s="173"/>
      <c r="K18" s="285"/>
      <c r="L18" s="282"/>
      <c r="M18" s="282"/>
      <c r="N18" s="173"/>
      <c r="O18" s="286"/>
    </row>
    <row r="19" ht="25.5" customHeight="1">
      <c r="A19" s="288"/>
      <c r="B19" s="281"/>
      <c r="C19" s="282"/>
      <c r="D19" s="282"/>
      <c r="E19" s="282"/>
      <c r="F19" s="173"/>
      <c r="G19" s="289"/>
      <c r="H19" s="280"/>
      <c r="I19" s="284"/>
      <c r="J19" s="173"/>
      <c r="K19" s="285"/>
      <c r="L19" s="282"/>
      <c r="M19" s="282"/>
      <c r="N19" s="173"/>
      <c r="O19" s="286"/>
    </row>
    <row r="20" ht="15.75" customHeight="1">
      <c r="A20" s="179"/>
      <c r="B20" s="290"/>
      <c r="C20" s="291"/>
      <c r="D20" s="291"/>
      <c r="E20" s="291"/>
      <c r="F20" s="213"/>
      <c r="G20" s="180"/>
      <c r="H20" s="179"/>
      <c r="I20" s="180"/>
      <c r="J20" s="292"/>
      <c r="K20" s="180"/>
      <c r="L20" s="293"/>
      <c r="M20" s="294"/>
      <c r="N20" s="183"/>
      <c r="O20" s="184"/>
    </row>
    <row r="21" ht="15.75" customHeight="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</row>
    <row r="22" ht="15.75" customHeight="1">
      <c r="A22" s="259" t="s">
        <v>153</v>
      </c>
      <c r="B22" s="106"/>
      <c r="C22" s="259" t="s">
        <v>154</v>
      </c>
      <c r="D22" s="259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</row>
    <row r="23" ht="15.75" customHeight="1">
      <c r="A23" s="106"/>
      <c r="B23" s="106"/>
      <c r="C23" s="106"/>
      <c r="D23" s="259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</row>
    <row r="24" ht="15.75" customHeight="1">
      <c r="A24" s="106"/>
      <c r="B24" s="106"/>
      <c r="C24" s="106"/>
      <c r="D24" s="295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</row>
    <row r="25" ht="15.75" customHeight="1">
      <c r="A25" s="106" t="s">
        <v>155</v>
      </c>
      <c r="B25" s="106" t="s">
        <v>156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</row>
    <row r="26" ht="15.7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</row>
    <row r="27" ht="15.7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</row>
    <row r="28" ht="15.75" customHeight="1">
      <c r="A28" s="106"/>
      <c r="B28" s="120" t="s">
        <v>157</v>
      </c>
      <c r="G28" s="120" t="s">
        <v>132</v>
      </c>
      <c r="L28" s="106"/>
      <c r="M28" s="120" t="s">
        <v>158</v>
      </c>
    </row>
    <row r="29" ht="15.75" customHeight="1">
      <c r="A29" s="106"/>
      <c r="B29" s="120"/>
      <c r="E29" s="106"/>
      <c r="F29" s="106"/>
      <c r="G29" s="106"/>
      <c r="H29" s="106"/>
      <c r="I29" s="120"/>
      <c r="J29" s="120"/>
      <c r="K29" s="106"/>
      <c r="L29" s="106"/>
      <c r="M29" s="106"/>
      <c r="N29" s="106"/>
      <c r="O29" s="106"/>
    </row>
    <row r="30" ht="15.75" customHeight="1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</row>
    <row r="31" ht="26.25" customHeight="1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6"/>
    </row>
    <row r="32" ht="15.0" customHeight="1">
      <c r="A32" s="106"/>
      <c r="B32" s="297" t="s">
        <v>159</v>
      </c>
      <c r="G32" s="297" t="str">
        <f>+SPPB!R37</f>
        <v>ERYANTO SIDABALOK</v>
      </c>
      <c r="L32" s="106"/>
      <c r="M32" s="297" t="str">
        <f>SPPB!R31</f>
        <v>IRSAN ANUGRAH</v>
      </c>
    </row>
    <row r="33" ht="15.75" customHeight="1">
      <c r="A33" s="106"/>
      <c r="B33" s="298" t="str">
        <f>D6</f>
        <v>KKM KMP. Kolorai</v>
      </c>
      <c r="G33" s="298" t="str">
        <f>SPPB!R38</f>
        <v>Dept. Head Operasional dan Teknik</v>
      </c>
      <c r="L33" s="299"/>
      <c r="M33" s="298" t="str">
        <f>SPPB!R32</f>
        <v>Staf Teknik Armada dan Fasilitas </v>
      </c>
    </row>
    <row r="34" ht="15.75" customHeight="1">
      <c r="A34" s="300"/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</row>
    <row r="35" ht="15.75" customHeight="1">
      <c r="A35" s="300"/>
      <c r="B35" s="300"/>
      <c r="C35" s="300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</row>
  </sheetData>
  <mergeCells count="47">
    <mergeCell ref="B16:F16"/>
    <mergeCell ref="B17:F17"/>
    <mergeCell ref="I17:J17"/>
    <mergeCell ref="K17:N17"/>
    <mergeCell ref="B18:F18"/>
    <mergeCell ref="K18:N18"/>
    <mergeCell ref="K19:N19"/>
    <mergeCell ref="B33:F33"/>
    <mergeCell ref="G33:K33"/>
    <mergeCell ref="M33:O33"/>
    <mergeCell ref="B19:F19"/>
    <mergeCell ref="B20:F20"/>
    <mergeCell ref="B28:F28"/>
    <mergeCell ref="G28:K28"/>
    <mergeCell ref="M28:O28"/>
    <mergeCell ref="B29:D29"/>
    <mergeCell ref="B32:F32"/>
    <mergeCell ref="A1:C4"/>
    <mergeCell ref="D2:J3"/>
    <mergeCell ref="A6:B6"/>
    <mergeCell ref="D6:I6"/>
    <mergeCell ref="M6:O6"/>
    <mergeCell ref="D7:I7"/>
    <mergeCell ref="M7:O7"/>
    <mergeCell ref="G12:G13"/>
    <mergeCell ref="H12:H13"/>
    <mergeCell ref="I12:J13"/>
    <mergeCell ref="K12:N12"/>
    <mergeCell ref="K13:N13"/>
    <mergeCell ref="A7:B7"/>
    <mergeCell ref="A8:B8"/>
    <mergeCell ref="D8:I8"/>
    <mergeCell ref="M8:O8"/>
    <mergeCell ref="A11:O11"/>
    <mergeCell ref="A12:A13"/>
    <mergeCell ref="B12:F13"/>
    <mergeCell ref="B14:F14"/>
    <mergeCell ref="I14:J14"/>
    <mergeCell ref="B15:F15"/>
    <mergeCell ref="I15:J15"/>
    <mergeCell ref="K15:N15"/>
    <mergeCell ref="I16:J16"/>
    <mergeCell ref="K16:N16"/>
    <mergeCell ref="I18:J18"/>
    <mergeCell ref="I19:J19"/>
    <mergeCell ref="G32:K32"/>
    <mergeCell ref="M32:O32"/>
  </mergeCells>
  <printOptions horizontalCentered="1"/>
  <pageMargins bottom="0.0" footer="0.0" header="0.0" left="0.0" right="0.0" top="0.5905511811023623"/>
  <pageSetup paperSize="9" scale="7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6.5"/>
    <col customWidth="1" min="3" max="3" width="30.75"/>
    <col customWidth="1" min="4" max="4" width="17.75"/>
    <col customWidth="1" min="5" max="5" width="12.25"/>
    <col customWidth="1" min="6" max="6" width="1.88"/>
  </cols>
  <sheetData>
    <row r="1" ht="18.0" customHeight="1">
      <c r="B1" s="301"/>
      <c r="C1" s="301"/>
      <c r="D1" s="301"/>
    </row>
    <row r="2" ht="22.5" customHeight="1">
      <c r="A2" s="302"/>
      <c r="B2" s="303"/>
      <c r="C2" s="302"/>
      <c r="D2" s="302"/>
      <c r="E2" s="304"/>
      <c r="F2" s="302"/>
    </row>
    <row r="3" ht="22.5" customHeight="1">
      <c r="A3" s="305"/>
      <c r="B3" s="306"/>
      <c r="C3" s="306"/>
      <c r="D3" s="306"/>
      <c r="E3" s="307"/>
      <c r="F3" s="302"/>
    </row>
    <row r="4" ht="22.5" customHeight="1">
      <c r="A4" s="305"/>
      <c r="B4" s="306"/>
      <c r="C4" s="306"/>
      <c r="D4" s="306"/>
      <c r="E4" s="307"/>
      <c r="F4" s="302"/>
    </row>
    <row r="5" ht="22.5" customHeight="1">
      <c r="A5" s="305"/>
      <c r="B5" s="306"/>
      <c r="C5" s="306"/>
      <c r="D5" s="306"/>
      <c r="E5" s="307"/>
      <c r="F5" s="302"/>
    </row>
    <row r="6" ht="22.5" customHeight="1">
      <c r="A6" s="305"/>
      <c r="B6" s="306"/>
      <c r="C6" s="306"/>
      <c r="D6" s="306"/>
      <c r="E6" s="307"/>
      <c r="F6" s="302"/>
    </row>
    <row r="7" ht="22.5" customHeight="1">
      <c r="A7" s="305"/>
      <c r="B7" s="306"/>
      <c r="C7" s="306"/>
      <c r="D7" s="306"/>
      <c r="E7" s="307"/>
      <c r="F7" s="302"/>
    </row>
    <row r="8" ht="22.5" customHeight="1">
      <c r="A8" s="305"/>
      <c r="B8" s="306"/>
      <c r="C8" s="306"/>
      <c r="D8" s="306"/>
      <c r="E8" s="307"/>
      <c r="F8" s="302"/>
    </row>
    <row r="9" ht="22.5" customHeight="1">
      <c r="A9" s="305"/>
      <c r="B9" s="306"/>
      <c r="C9" s="306"/>
      <c r="D9" s="306"/>
      <c r="E9" s="307"/>
      <c r="F9" s="302"/>
    </row>
    <row r="10" ht="22.5" customHeight="1">
      <c r="A10" s="305"/>
      <c r="B10" s="306"/>
      <c r="C10" s="306"/>
      <c r="D10" s="306"/>
      <c r="E10" s="307"/>
      <c r="F10" s="302"/>
    </row>
    <row r="11" ht="22.5" customHeight="1">
      <c r="A11" s="305"/>
      <c r="B11" s="306"/>
      <c r="C11" s="306"/>
      <c r="D11" s="306"/>
      <c r="E11" s="307"/>
      <c r="F11" s="302"/>
    </row>
    <row r="12" ht="22.5" customHeight="1">
      <c r="A12" s="305"/>
      <c r="B12" s="306"/>
      <c r="C12" s="306"/>
      <c r="D12" s="306"/>
      <c r="E12" s="307"/>
      <c r="F12" s="302"/>
    </row>
    <row r="13" ht="22.5" customHeight="1">
      <c r="A13" s="305"/>
      <c r="B13" s="306"/>
      <c r="C13" s="306"/>
      <c r="D13" s="306"/>
      <c r="E13" s="307"/>
      <c r="F13" s="302"/>
    </row>
    <row r="14" ht="22.5" customHeight="1">
      <c r="A14" s="305"/>
      <c r="B14" s="306"/>
      <c r="C14" s="306"/>
      <c r="D14" s="306"/>
      <c r="E14" s="307"/>
      <c r="F14" s="302"/>
    </row>
    <row r="15" ht="22.5" customHeight="1">
      <c r="A15" s="305"/>
      <c r="B15" s="306"/>
      <c r="C15" s="306"/>
      <c r="D15" s="306"/>
      <c r="E15" s="307"/>
      <c r="F15" s="302"/>
    </row>
    <row r="16" ht="150.0" customHeight="1">
      <c r="A16" s="308"/>
      <c r="B16" s="309"/>
      <c r="C16" s="301"/>
      <c r="D16" s="301"/>
      <c r="E16" s="310"/>
      <c r="F16" s="311"/>
    </row>
    <row r="17" ht="14.25" customHeight="1">
      <c r="A17" s="312" t="s">
        <v>160</v>
      </c>
      <c r="F17" s="302"/>
    </row>
    <row r="18" ht="14.25" customHeight="1">
      <c r="F18" s="302"/>
    </row>
  </sheetData>
  <mergeCells count="1">
    <mergeCell ref="A17:E18"/>
  </mergeCells>
  <printOptions horizontalCentered="1"/>
  <pageMargins bottom="0.0" footer="0.0" header="0.0" left="0.0" right="0.0" top="0.7874015748031497"/>
  <pageSetup paperSize="9" scale="75" orientation="portrait"/>
  <drawing r:id="rId1"/>
</worksheet>
</file>