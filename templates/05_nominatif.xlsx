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 Lembar DaftNom" sheetId="1" r:id="rId5"/>
  </sheets>
  <definedNames/>
  <calcPr/>
</workbook>
</file>

<file path=xl/sharedStrings.xml><?xml version="1.0" encoding="utf-8"?>
<sst xmlns="http://schemas.openxmlformats.org/spreadsheetml/2006/main" count="224" uniqueCount="138">
  <si>
    <t>DAFTAR NOMINATIF</t>
  </si>
  <si>
    <t>Nama Wajib Pajak</t>
  </si>
  <si>
    <r>
      <rPr>
        <rFont val="Cambria"/>
        <color rgb="FF000000"/>
        <sz val="11.0"/>
      </rPr>
      <t>:</t>
    </r>
    <r>
      <rPr>
        <rFont val="Cambria"/>
        <b/>
        <color rgb="FF000000"/>
        <sz val="11.0"/>
      </rPr>
      <t xml:space="preserve"> PT ASDP INDONESIA FERRY CABANG TERNATE</t>
    </r>
  </si>
  <si>
    <t>NPWP Kantor Pusat/Cabang</t>
  </si>
  <si>
    <t>: 01.061.041.8-942.001</t>
  </si>
  <si>
    <t>Alamat Kantor Pusat/Cabang</t>
  </si>
  <si>
    <t>: JL. Pelabuhan Ferry, Bastiong Karance, Kota Ternate Selatan, Kota Ternate, Maluku Utara, 97719</t>
  </si>
  <si>
    <t>Tahun pajak</t>
  </si>
  <si>
    <t>: 2025</t>
  </si>
  <si>
    <t>No. Daftar Nominatif (</t>
  </si>
  <si>
    <t>:  465/DAFNOM/PSDM/II/2025</t>
  </si>
  <si>
    <t>Data Penerima</t>
  </si>
  <si>
    <t>Pemotongan PPh</t>
  </si>
  <si>
    <t>No</t>
  </si>
  <si>
    <t>Nama</t>
  </si>
  <si>
    <t>Nomor Induk Karyawan</t>
  </si>
  <si>
    <t>CostCenter</t>
  </si>
  <si>
    <t>Jabatan</t>
  </si>
  <si>
    <t>Unit Kerja</t>
  </si>
  <si>
    <t>NPWP/Nomor Induk Kependudukan</t>
  </si>
  <si>
    <t>Tanggal SPM</t>
  </si>
  <si>
    <t>Nomor Surat Perintah Membayar (SPM)</t>
  </si>
  <si>
    <t>Bentuk dan Jenis Biaya</t>
  </si>
  <si>
    <t>Jumlah (Rp)</t>
  </si>
  <si>
    <t>Objek PPh</t>
  </si>
  <si>
    <t>Non Objek PPh</t>
  </si>
  <si>
    <t>Keterangan</t>
  </si>
  <si>
    <t>TER</t>
  </si>
  <si>
    <t>Kategori TER</t>
  </si>
  <si>
    <t>Jumlah PPh</t>
  </si>
  <si>
    <t>Nomor Bukti Potong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</si>
  <si>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</si>
  <si>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</si>
  <si>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</si>
  <si>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</si>
  <si>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</si>
  <si>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</si>
  <si>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</si>
  <si>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</si>
  <si>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</si>
  <si>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</si>
  <si>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</si>
  <si>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</si>
  <si>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</si>
  <si>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</si>
  <si>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</si>
  <si>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</si>
  <si>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</si>
  <si>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</si>
  <si>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BUDI PRIYANTO</t>
  </si>
  <si>
    <t>012022217</t>
  </si>
  <si>
    <t>Nakhoda</t>
  </si>
  <si>
    <t>KMP. LEMA</t>
  </si>
  <si>
    <t>48.581.405.7-823.000</t>
  </si>
  <si>
    <t>06788/SPM/TTE/25</t>
  </si>
  <si>
    <t>Insentif</t>
  </si>
  <si>
    <t>Insentif Swakelola SPK.465/TN.101/ASDP-TTE/SWK/2025</t>
  </si>
  <si>
    <t>ALI PAYAPO</t>
  </si>
  <si>
    <t>Owner Surveyor</t>
  </si>
  <si>
    <t>70.973.143.4-941.000</t>
  </si>
  <si>
    <t>HARTONO BACHRUN</t>
  </si>
  <si>
    <t>107971456</t>
  </si>
  <si>
    <t>Mualim I</t>
  </si>
  <si>
    <t>47.532.144.4-942.000</t>
  </si>
  <si>
    <t>HARLY SETIAWAN</t>
  </si>
  <si>
    <t>Mualim II</t>
  </si>
  <si>
    <t>47.382.570.1-951.000</t>
  </si>
  <si>
    <t>ANANG SUMARDIYONO</t>
  </si>
  <si>
    <t>KKP_431L</t>
  </si>
  <si>
    <t>Mualim III</t>
  </si>
  <si>
    <t>93.918.193.9-527.000</t>
  </si>
  <si>
    <t>HENDRA RUDOLF  SOUMOKIL</t>
  </si>
  <si>
    <t>012134369</t>
  </si>
  <si>
    <t>Masinis I / KKM</t>
  </si>
  <si>
    <t>47.386.901.4-951.000</t>
  </si>
  <si>
    <t>DANIEL FRETS SITANIAPESSY</t>
  </si>
  <si>
    <t>092154991</t>
  </si>
  <si>
    <t>Masinis II</t>
  </si>
  <si>
    <t>66.091.752.7-951.000</t>
  </si>
  <si>
    <t>NURHADI</t>
  </si>
  <si>
    <t>052154866</t>
  </si>
  <si>
    <t>Masinis III</t>
  </si>
  <si>
    <t>88.598.759.4-951.000</t>
  </si>
  <si>
    <t>ABDULLAH</t>
  </si>
  <si>
    <t>032113499</t>
  </si>
  <si>
    <t>Masinis IV</t>
  </si>
  <si>
    <t>94.482.335.0-951.000</t>
  </si>
  <si>
    <t>CRISTIANTO NIEL TAKAYA</t>
  </si>
  <si>
    <t>072154948</t>
  </si>
  <si>
    <t>Serang</t>
  </si>
  <si>
    <t>83.424.677.9-951.000</t>
  </si>
  <si>
    <t>MUJIANTO</t>
  </si>
  <si>
    <t>032113495</t>
  </si>
  <si>
    <t>Juru Mudi</t>
  </si>
  <si>
    <t>55.999.591.5-951.000</t>
  </si>
  <si>
    <t>SYAFRIN  HARUNA</t>
  </si>
  <si>
    <t>022134399</t>
  </si>
  <si>
    <t>71.143.957.0-951.000</t>
  </si>
  <si>
    <t>ASER MATIAS KENA</t>
  </si>
  <si>
    <t>022042545</t>
  </si>
  <si>
    <t>47.382.554.5-951.000</t>
  </si>
  <si>
    <t>WAHYU  SUSILO</t>
  </si>
  <si>
    <t>Mandor Mesin</t>
  </si>
  <si>
    <t>85.119.779.8-951.000</t>
  </si>
  <si>
    <t>RASWAN ZAHIM</t>
  </si>
  <si>
    <t>KKP_469L</t>
  </si>
  <si>
    <t>Juru Minyak</t>
  </si>
  <si>
    <t>93.884.938.7-951.000</t>
  </si>
  <si>
    <t>AJIS SETIAWAN</t>
  </si>
  <si>
    <t>KKP_645L</t>
  </si>
  <si>
    <t>41.262.832.3-951.000</t>
  </si>
  <si>
    <t>ZULFITRI LESTUSEN</t>
  </si>
  <si>
    <t>KKP_458L</t>
  </si>
  <si>
    <t>93.455.726.5-951.000</t>
  </si>
  <si>
    <t>REYNALDI LAHANSANG</t>
  </si>
  <si>
    <t>KKP_1265L</t>
  </si>
  <si>
    <t>28.153.520.3-922.000</t>
  </si>
  <si>
    <t>MULIADI</t>
  </si>
  <si>
    <t>KKP_726L</t>
  </si>
  <si>
    <t>Kelasi</t>
  </si>
  <si>
    <t>41.977.204.1-951.000</t>
  </si>
  <si>
    <t>IMAM WAHYUDI</t>
  </si>
  <si>
    <t>KKP_727L</t>
  </si>
  <si>
    <t>41.997.159.3-951.000</t>
  </si>
  <si>
    <t>FERY INDRAWAN</t>
  </si>
  <si>
    <t>KKP_1152L</t>
  </si>
  <si>
    <t>Juru Masak</t>
  </si>
  <si>
    <t>03.675.635.1-816.000</t>
  </si>
  <si>
    <t>JUMLAH</t>
  </si>
  <si>
    <t>Mengetahui,</t>
  </si>
  <si>
    <t>Menyetujui,</t>
  </si>
  <si>
    <t>Pembuat,</t>
  </si>
  <si>
    <t>Vice President Pengelolaan SDM</t>
  </si>
  <si>
    <t>Plt. Manager Performa dan Rewards</t>
  </si>
  <si>
    <t>Staf Pengelolaan Remunerasi</t>
  </si>
  <si>
    <t>Erlisetya Wahyudi</t>
  </si>
  <si>
    <t>Naufal Indra Abdala</t>
  </si>
  <si>
    <t>Rint Zata Amani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</si>
</sst>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0&quot;.&quot;000&quot;.&quot;000&quot;.&quot;0&quot;-&quot;000&quot;.&quot;000"/>
  </numFmts>
  <fonts count="9">
    <font>
      <sz val="11.0"/>
      <color theme="1"/>
      <name val="Calibri"/>
      <scheme val="minor"/>
    </font>
    <font>
      <b/>
      <sz val="11.0"/>
      <color theme="1"/>
      <name val="Cambria"/>
    </font>
    <font>
      <b/>
      <sz val="14.0"/>
      <color theme="1"/>
      <name val="Cambria"/>
    </font>
    <font>
      <sz val="11.0"/>
      <color theme="1"/>
      <name val="Cambria"/>
    </font>
    <font>
      <sz val="11.0"/>
      <color rgb="FF000000"/>
      <name val="Cambria"/>
    </font>
    <font/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0" xfId="0" applyFont="1"/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quotePrefix="1" borderId="1" fillId="0" fontId="3" numFmtId="0" xfId="0" applyAlignment="1" applyBorder="1" applyFont="1">
      <alignment horizontal="center" vertical="center"/>
    </xf>
    <xf quotePrefix="1" borderId="5" fillId="0" fontId="3" numFmtId="0" xfId="0" applyAlignment="1" applyBorder="1" applyFont="1">
      <alignment horizontal="center" vertical="center"/>
    </xf>
    <xf quotePrefix="1" borderId="1" fillId="0" fontId="3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1" fillId="0" fontId="3" numFmtId="0" xfId="0" applyBorder="1" applyFont="1"/>
    <xf quotePrefix="1" borderId="1" fillId="0" fontId="6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/>
    </xf>
    <xf borderId="6" fillId="2" fontId="7" numFmtId="0" xfId="0" applyAlignment="1" applyBorder="1" applyFill="1" applyFont="1">
      <alignment horizontal="left"/>
    </xf>
    <xf quotePrefix="1" borderId="1" fillId="0" fontId="8" numFmtId="0" xfId="0" applyAlignment="1" applyBorder="1" applyFont="1">
      <alignment horizontal="center" vertical="center"/>
    </xf>
    <xf borderId="2" fillId="0" fontId="3" numFmtId="14" xfId="0" applyAlignment="1" applyBorder="1" applyFont="1" applyNumberFormat="1">
      <alignment horizontal="center"/>
    </xf>
    <xf quotePrefix="1"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3" numFmtId="164" xfId="0" applyBorder="1" applyFont="1" applyNumberFormat="1"/>
    <xf borderId="1" fillId="3" fontId="3" numFmtId="164" xfId="0" applyBorder="1" applyFill="1" applyFont="1" applyNumberFormat="1"/>
    <xf borderId="7" fillId="3" fontId="3" numFmtId="164" xfId="0" applyBorder="1" applyFont="1" applyNumberFormat="1"/>
    <xf borderId="8" fillId="3" fontId="3" numFmtId="9" xfId="0" applyBorder="1" applyFont="1" applyNumberFormat="1"/>
    <xf borderId="1" fillId="3" fontId="3" numFmtId="9" xfId="0" applyBorder="1" applyFont="1" applyNumberFormat="1"/>
    <xf borderId="1" fillId="3" fontId="3" numFmtId="0" xfId="0" applyBorder="1" applyFont="1"/>
    <xf borderId="1" fillId="0" fontId="3" numFmtId="0" xfId="0" applyAlignment="1" applyBorder="1" applyFont="1">
      <alignment horizontal="center"/>
    </xf>
    <xf quotePrefix="1" borderId="0" fillId="0" fontId="8" numFmtId="0" xfId="0" applyAlignment="1" applyFont="1">
      <alignment horizontal="center" vertical="center"/>
    </xf>
    <xf borderId="9" fillId="0" fontId="3" numFmtId="0" xfId="0" applyAlignment="1" applyBorder="1" applyFont="1">
      <alignment horizontal="center"/>
    </xf>
    <xf quotePrefix="1" borderId="5" fillId="0" fontId="3" numFmtId="165" xfId="0" applyAlignment="1" applyBorder="1" applyFont="1" applyNumberFormat="1">
      <alignment horizontal="center" vertical="center"/>
    </xf>
    <xf quotePrefix="1" borderId="1" fillId="0" fontId="3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1" fillId="2" fontId="7" numFmtId="0" xfId="0" applyAlignment="1" applyBorder="1" applyFont="1">
      <alignment horizontal="left"/>
    </xf>
    <xf borderId="10" fillId="2" fontId="7" numFmtId="0" xfId="0" applyAlignment="1" applyBorder="1" applyFont="1">
      <alignment horizontal="left"/>
    </xf>
    <xf quotePrefix="1" borderId="1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quotePrefix="1" borderId="1" fillId="2" fontId="8" numFmtId="0" xfId="0" applyAlignment="1" applyBorder="1" applyFont="1">
      <alignment horizontal="center" vertical="center"/>
    </xf>
    <xf quotePrefix="1" borderId="1" fillId="2" fontId="6" numFmtId="0" xfId="0" applyAlignment="1" applyBorder="1" applyFont="1">
      <alignment horizontal="center"/>
    </xf>
    <xf borderId="1" fillId="2" fontId="7" numFmtId="1" xfId="0" applyAlignment="1" applyBorder="1" applyFont="1" applyNumberFormat="1">
      <alignment horizontal="left"/>
    </xf>
    <xf borderId="2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1" fillId="3" fontId="1" numFmtId="164" xfId="0" applyBorder="1" applyFont="1" applyNumberForma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1.71"/>
    <col customWidth="1" min="3" max="4" width="25.71"/>
    <col customWidth="1" min="5" max="5" width="23.71"/>
    <col customWidth="1" min="6" max="6" width="27.71"/>
    <col customWidth="1" min="7" max="7" width="35.29"/>
    <col customWidth="1" min="8" max="8" width="19.29"/>
    <col customWidth="1" min="9" max="9" width="30.0"/>
    <col customWidth="1" min="10" max="10" width="47.14"/>
    <col customWidth="1" min="11" max="11" width="21.29"/>
    <col customWidth="1" min="12" max="12" width="23.71"/>
    <col customWidth="1" min="13" max="13" width="24.71"/>
    <col customWidth="1" min="14" max="14" width="60.29"/>
    <col customWidth="1" min="15" max="15" width="5.71"/>
    <col customWidth="1" min="16" max="16" width="14.29"/>
    <col customWidth="1" min="17" max="17" width="18.86"/>
    <col customWidth="1" min="18" max="18" width="20.86"/>
  </cols>
  <sheetData>
    <row r="1" ht="13.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2" t="s">
        <v>0</v>
      </c>
    </row>
    <row r="4" ht="13.5" customHeight="1">
      <c r="A4" s="3"/>
      <c r="B4" s="3"/>
      <c r="C4" s="3"/>
      <c r="D4" s="3"/>
      <c r="E4" s="3"/>
      <c r="F4" s="3"/>
      <c r="G4" s="3"/>
      <c r="H4" s="4"/>
      <c r="I4" s="4"/>
      <c r="J4" s="3"/>
      <c r="K4" s="3"/>
      <c r="L4" s="3"/>
      <c r="M4" s="3"/>
      <c r="N4" s="3"/>
      <c r="O4" s="3"/>
      <c r="P4" s="3"/>
      <c r="Q4" s="3"/>
      <c r="R4" s="3"/>
    </row>
    <row r="5">
      <c r="A5" s="3" t="s">
        <v>1</v>
      </c>
      <c r="B5" s="3"/>
      <c r="C5" s="5" t="s">
        <v>2</v>
      </c>
      <c r="D5" s="6"/>
      <c r="E5" s="3"/>
      <c r="F5" s="3"/>
      <c r="G5" s="3"/>
      <c r="H5" s="4"/>
      <c r="I5" s="4"/>
      <c r="J5" s="3"/>
      <c r="K5" s="3"/>
      <c r="L5" s="3"/>
      <c r="M5" s="3"/>
      <c r="N5" s="3"/>
      <c r="O5" s="3"/>
      <c r="P5" s="3"/>
      <c r="Q5" s="3"/>
      <c r="R5" s="3"/>
    </row>
    <row r="6">
      <c r="A6" s="3" t="s">
        <v>3</v>
      </c>
      <c r="B6" s="3"/>
      <c r="C6" s="3" t="s">
        <v>4</v>
      </c>
      <c r="D6" s="3"/>
      <c r="E6" s="3"/>
      <c r="F6" s="3"/>
      <c r="G6" s="3"/>
      <c r="H6" s="4"/>
      <c r="I6" s="4"/>
      <c r="J6" s="3"/>
      <c r="K6" s="3"/>
      <c r="L6" s="3"/>
      <c r="M6" s="3"/>
      <c r="N6" s="3"/>
      <c r="O6" s="3"/>
      <c r="P6" s="3"/>
      <c r="Q6" s="3"/>
      <c r="R6" s="3"/>
    </row>
    <row r="7">
      <c r="A7" s="3" t="s">
        <v>5</v>
      </c>
      <c r="B7" s="3"/>
      <c r="C7" s="3" t="s">
        <v>6</v>
      </c>
      <c r="D7" s="3"/>
      <c r="E7" s="3"/>
      <c r="F7" s="3"/>
      <c r="G7" s="3"/>
      <c r="H7" s="4"/>
      <c r="I7" s="4"/>
      <c r="J7" s="3"/>
      <c r="K7" s="3"/>
      <c r="L7" s="3"/>
      <c r="M7" s="3"/>
      <c r="N7" s="3"/>
      <c r="O7" s="3"/>
      <c r="P7" s="3"/>
      <c r="Q7" s="3"/>
      <c r="R7" s="3"/>
    </row>
    <row r="8">
      <c r="A8" s="3" t="s">
        <v>7</v>
      </c>
      <c r="B8" s="3"/>
      <c r="C8" s="3" t="s">
        <v>8</v>
      </c>
      <c r="D8" s="3"/>
      <c r="E8" s="3"/>
      <c r="F8" s="3"/>
      <c r="G8" s="3"/>
      <c r="H8" s="4"/>
      <c r="I8" s="4"/>
      <c r="J8" s="3"/>
      <c r="K8" s="3"/>
      <c r="L8" s="3"/>
      <c r="M8" s="3"/>
      <c r="N8" s="3"/>
      <c r="O8" s="3"/>
      <c r="P8" s="3"/>
      <c r="Q8" s="3"/>
      <c r="R8" s="3"/>
    </row>
    <row r="9">
      <c r="A9" s="3" t="s">
        <v>9</v>
      </c>
      <c r="B9" s="3"/>
      <c r="C9" s="3" t="s">
        <v>10</v>
      </c>
      <c r="D9" s="3"/>
      <c r="E9" s="3"/>
      <c r="F9" s="3"/>
      <c r="G9" s="3"/>
      <c r="H9" s="4"/>
      <c r="I9" s="4"/>
      <c r="J9" s="3"/>
      <c r="K9" s="3"/>
      <c r="L9" s="3"/>
      <c r="M9" s="3"/>
      <c r="N9" s="3"/>
      <c r="O9" s="3"/>
      <c r="P9" s="3"/>
      <c r="Q9" s="3"/>
      <c r="R9" s="3"/>
    </row>
    <row r="10" ht="13.5" customHeight="1">
      <c r="A10" s="3"/>
      <c r="B10" s="3"/>
      <c r="C10" s="3"/>
      <c r="D10" s="3"/>
      <c r="E10" s="3"/>
      <c r="F10" s="3"/>
      <c r="G10" s="3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</row>
    <row r="11" ht="13.5" customHeight="1">
      <c r="A11" s="3"/>
      <c r="B11" s="3"/>
      <c r="C11" s="3"/>
      <c r="D11" s="3"/>
      <c r="E11" s="3"/>
      <c r="F11" s="3"/>
      <c r="G11" s="3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</row>
    <row r="12" ht="13.5" customHeight="1">
      <c r="A12" s="7"/>
      <c r="B12" s="8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"/>
      <c r="Q12" s="11" t="s">
        <v>12</v>
      </c>
      <c r="R12" s="10"/>
    </row>
    <row r="13" ht="41.25" customHeight="1">
      <c r="A13" s="7" t="s">
        <v>13</v>
      </c>
      <c r="B13" s="12" t="s">
        <v>14</v>
      </c>
      <c r="C13" s="12" t="s">
        <v>15</v>
      </c>
      <c r="D13" s="12" t="s">
        <v>16</v>
      </c>
      <c r="E13" s="12" t="s">
        <v>17</v>
      </c>
      <c r="F13" s="12" t="s">
        <v>18</v>
      </c>
      <c r="G13" s="13" t="s">
        <v>19</v>
      </c>
      <c r="H13" s="12" t="s">
        <v>20</v>
      </c>
      <c r="I13" s="13" t="s">
        <v>21</v>
      </c>
      <c r="J13" s="12" t="s">
        <v>22</v>
      </c>
      <c r="K13" s="12" t="s">
        <v>23</v>
      </c>
      <c r="L13" s="12" t="s">
        <v>24</v>
      </c>
      <c r="M13" s="12" t="s">
        <v>25</v>
      </c>
      <c r="N13" s="12" t="s">
        <v>26</v>
      </c>
      <c r="O13" s="12" t="s">
        <v>27</v>
      </c>
      <c r="P13" s="12" t="s">
        <v>28</v>
      </c>
      <c r="Q13" s="12" t="s">
        <v>29</v>
      </c>
      <c r="R13" s="12" t="s">
        <v>30</v>
      </c>
    </row>
    <row r="14" ht="13.5" customHeight="1">
      <c r="A14" s="14" t="s">
        <v>31</v>
      </c>
      <c r="B14" s="15" t="s">
        <v>32</v>
      </c>
      <c r="C14" s="14" t="s">
        <v>33</v>
      </c>
      <c r="D14" s="14" t="s">
        <v>34</v>
      </c>
      <c r="E14" s="14" t="s">
        <v>35</v>
      </c>
      <c r="F14" s="14" t="s">
        <v>36</v>
      </c>
      <c r="G14" s="14" t="s">
        <v>37</v>
      </c>
      <c r="H14" s="16" t="s">
        <v>38</v>
      </c>
      <c r="I14" s="15" t="s">
        <v>39</v>
      </c>
      <c r="J14" s="14" t="s">
        <v>40</v>
      </c>
      <c r="K14" s="14" t="s">
        <v>41</v>
      </c>
      <c r="L14" s="14" t="s">
        <v>42</v>
      </c>
      <c r="M14" s="14" t="s">
        <v>43</v>
      </c>
      <c r="N14" s="15" t="s">
        <v>44</v>
      </c>
      <c r="O14" s="14" t="s">
        <v>45</v>
      </c>
      <c r="P14" s="14" t="s">
        <v>46</v>
      </c>
      <c r="Q14" s="14" t="s">
        <v>47</v>
      </c>
      <c r="R14" s="14" t="s">
        <v>48</v>
      </c>
    </row>
    <row r="15" ht="13.5" customHeight="1">
      <c r="A15" s="17">
        <v>1.0</v>
      </c>
      <c r="B15" s="18" t="s">
        <v>49</v>
      </c>
      <c r="C15" s="19" t="s">
        <v>50</v>
      </c>
      <c r="D15" s="20">
        <v>5.201100029E9</v>
      </c>
      <c r="E15" s="21" t="s">
        <v>51</v>
      </c>
      <c r="F15" s="18" t="s">
        <v>52</v>
      </c>
      <c r="G15" s="22" t="s">
        <v>53</v>
      </c>
      <c r="H15" s="23">
        <v>45755.0</v>
      </c>
      <c r="I15" s="24" t="s">
        <v>54</v>
      </c>
      <c r="J15" s="25" t="s">
        <v>55</v>
      </c>
      <c r="K15" s="26">
        <v>1256417.9104477612</v>
      </c>
      <c r="L15" s="27"/>
      <c r="M15" s="28"/>
      <c r="N15" s="18" t="s">
        <v>56</v>
      </c>
      <c r="O15" s="29"/>
      <c r="P15" s="30"/>
      <c r="Q15" s="27">
        <v>113078.0</v>
      </c>
      <c r="R15" s="31"/>
    </row>
    <row r="16" ht="13.5" customHeight="1">
      <c r="A16" s="17">
        <v>2.0</v>
      </c>
      <c r="B16" s="18" t="s">
        <v>57</v>
      </c>
      <c r="C16" s="32">
        <v>7.2144707E7</v>
      </c>
      <c r="D16" s="20">
        <v>5.201100029E9</v>
      </c>
      <c r="E16" s="21" t="s">
        <v>58</v>
      </c>
      <c r="F16" s="18" t="s">
        <v>52</v>
      </c>
      <c r="G16" s="33" t="s">
        <v>59</v>
      </c>
      <c r="H16" s="23">
        <v>45755.0</v>
      </c>
      <c r="I16" s="24" t="s">
        <v>54</v>
      </c>
      <c r="J16" s="25" t="s">
        <v>55</v>
      </c>
      <c r="K16" s="26">
        <v>1256417.9104477612</v>
      </c>
      <c r="L16" s="27"/>
      <c r="M16" s="28"/>
      <c r="N16" s="18" t="s">
        <v>56</v>
      </c>
      <c r="O16" s="29"/>
      <c r="P16" s="30"/>
      <c r="Q16" s="27">
        <v>12564.0</v>
      </c>
      <c r="R16" s="31"/>
    </row>
    <row r="17" ht="13.5" customHeight="1">
      <c r="A17" s="17">
        <v>3.0</v>
      </c>
      <c r="B17" s="18" t="s">
        <v>60</v>
      </c>
      <c r="C17" s="34" t="s">
        <v>61</v>
      </c>
      <c r="D17" s="20">
        <v>5.201100029E9</v>
      </c>
      <c r="E17" s="21" t="s">
        <v>62</v>
      </c>
      <c r="F17" s="18" t="s">
        <v>52</v>
      </c>
      <c r="G17" s="35" t="s">
        <v>63</v>
      </c>
      <c r="H17" s="23">
        <v>45755.0</v>
      </c>
      <c r="I17" s="24" t="s">
        <v>54</v>
      </c>
      <c r="J17" s="25" t="s">
        <v>55</v>
      </c>
      <c r="K17" s="26">
        <v>1047014.9253731343</v>
      </c>
      <c r="L17" s="27"/>
      <c r="M17" s="28"/>
      <c r="N17" s="18" t="s">
        <v>56</v>
      </c>
      <c r="O17" s="29"/>
      <c r="P17" s="30"/>
      <c r="Q17" s="27">
        <v>73291.0</v>
      </c>
      <c r="R17" s="31"/>
    </row>
    <row r="18" ht="13.5" customHeight="1">
      <c r="A18" s="17">
        <v>4.0</v>
      </c>
      <c r="B18" s="18" t="s">
        <v>64</v>
      </c>
      <c r="C18" s="32">
        <v>1.0195114E8</v>
      </c>
      <c r="D18" s="20">
        <v>5.201100029E9</v>
      </c>
      <c r="E18" s="21" t="s">
        <v>65</v>
      </c>
      <c r="F18" s="18" t="s">
        <v>52</v>
      </c>
      <c r="G18" s="36" t="s">
        <v>66</v>
      </c>
      <c r="H18" s="23">
        <v>45755.0</v>
      </c>
      <c r="I18" s="24" t="s">
        <v>54</v>
      </c>
      <c r="J18" s="25" t="s">
        <v>55</v>
      </c>
      <c r="K18" s="26">
        <v>889962.6865671641</v>
      </c>
      <c r="L18" s="27"/>
      <c r="M18" s="28"/>
      <c r="N18" s="18" t="s">
        <v>56</v>
      </c>
      <c r="O18" s="29"/>
      <c r="P18" s="30"/>
      <c r="Q18" s="27">
        <v>53398.0</v>
      </c>
      <c r="R18" s="31"/>
    </row>
    <row r="19" ht="13.5" customHeight="1">
      <c r="A19" s="17">
        <v>5.0</v>
      </c>
      <c r="B19" s="18" t="s">
        <v>67</v>
      </c>
      <c r="C19" s="32" t="s">
        <v>68</v>
      </c>
      <c r="D19" s="20">
        <v>5.201100029E9</v>
      </c>
      <c r="E19" s="21" t="s">
        <v>69</v>
      </c>
      <c r="F19" s="18" t="s">
        <v>52</v>
      </c>
      <c r="G19" s="36" t="s">
        <v>70</v>
      </c>
      <c r="H19" s="23">
        <v>45755.0</v>
      </c>
      <c r="I19" s="24" t="s">
        <v>54</v>
      </c>
      <c r="J19" s="25" t="s">
        <v>55</v>
      </c>
      <c r="K19" s="26">
        <v>889962.6865671641</v>
      </c>
      <c r="L19" s="27"/>
      <c r="M19" s="28"/>
      <c r="N19" s="18" t="s">
        <v>56</v>
      </c>
      <c r="O19" s="29"/>
      <c r="P19" s="30"/>
      <c r="Q19" s="27">
        <v>36599.0</v>
      </c>
      <c r="R19" s="31"/>
    </row>
    <row r="20" ht="13.5" customHeight="1">
      <c r="A20" s="17">
        <v>6.0</v>
      </c>
      <c r="B20" s="18" t="s">
        <v>71</v>
      </c>
      <c r="C20" s="32" t="s">
        <v>72</v>
      </c>
      <c r="D20" s="20">
        <v>5.201100029E9</v>
      </c>
      <c r="E20" s="21" t="s">
        <v>73</v>
      </c>
      <c r="F20" s="18" t="s">
        <v>52</v>
      </c>
      <c r="G20" s="36" t="s">
        <v>74</v>
      </c>
      <c r="H20" s="23">
        <v>45755.0</v>
      </c>
      <c r="I20" s="24" t="s">
        <v>54</v>
      </c>
      <c r="J20" s="25" t="s">
        <v>55</v>
      </c>
      <c r="K20" s="26">
        <v>1256417.9104477612</v>
      </c>
      <c r="L20" s="27"/>
      <c r="M20" s="28"/>
      <c r="N20" s="18" t="s">
        <v>56</v>
      </c>
      <c r="O20" s="29"/>
      <c r="P20" s="30"/>
      <c r="Q20" s="27">
        <v>100513.0</v>
      </c>
      <c r="R20" s="31"/>
    </row>
    <row r="21" ht="13.5" customHeight="1">
      <c r="A21" s="17">
        <v>7.0</v>
      </c>
      <c r="B21" s="18" t="s">
        <v>75</v>
      </c>
      <c r="C21" s="32" t="s">
        <v>76</v>
      </c>
      <c r="D21" s="20">
        <v>5.201100029E9</v>
      </c>
      <c r="E21" s="21" t="s">
        <v>77</v>
      </c>
      <c r="F21" s="18" t="s">
        <v>52</v>
      </c>
      <c r="G21" s="36" t="s">
        <v>78</v>
      </c>
      <c r="H21" s="23">
        <v>45755.0</v>
      </c>
      <c r="I21" s="24" t="s">
        <v>54</v>
      </c>
      <c r="J21" s="25" t="s">
        <v>55</v>
      </c>
      <c r="K21" s="26">
        <v>1047014.9253731343</v>
      </c>
      <c r="L21" s="27"/>
      <c r="M21" s="28"/>
      <c r="N21" s="18" t="s">
        <v>56</v>
      </c>
      <c r="O21" s="29"/>
      <c r="P21" s="30"/>
      <c r="Q21" s="27">
        <v>73291.0</v>
      </c>
      <c r="R21" s="31"/>
    </row>
    <row r="22" ht="13.5" customHeight="1">
      <c r="A22" s="17">
        <v>8.0</v>
      </c>
      <c r="B22" s="18" t="s">
        <v>79</v>
      </c>
      <c r="C22" s="32" t="s">
        <v>80</v>
      </c>
      <c r="D22" s="20">
        <v>5.201100029E9</v>
      </c>
      <c r="E22" s="21" t="s">
        <v>81</v>
      </c>
      <c r="F22" s="18" t="s">
        <v>52</v>
      </c>
      <c r="G22" s="36" t="s">
        <v>82</v>
      </c>
      <c r="H22" s="23">
        <v>45755.0</v>
      </c>
      <c r="I22" s="24" t="s">
        <v>54</v>
      </c>
      <c r="J22" s="25" t="s">
        <v>55</v>
      </c>
      <c r="K22" s="26">
        <v>889962.6865671641</v>
      </c>
      <c r="L22" s="27"/>
      <c r="M22" s="28"/>
      <c r="N22" s="18" t="s">
        <v>56</v>
      </c>
      <c r="O22" s="29"/>
      <c r="P22" s="30"/>
      <c r="Q22" s="27">
        <v>44498.0</v>
      </c>
      <c r="R22" s="31"/>
    </row>
    <row r="23" ht="13.5" customHeight="1">
      <c r="A23" s="17">
        <v>9.0</v>
      </c>
      <c r="B23" s="18" t="s">
        <v>83</v>
      </c>
      <c r="C23" s="32" t="s">
        <v>84</v>
      </c>
      <c r="D23" s="20">
        <v>5.201100029E9</v>
      </c>
      <c r="E23" s="21" t="s">
        <v>85</v>
      </c>
      <c r="F23" s="18" t="s">
        <v>52</v>
      </c>
      <c r="G23" s="36" t="s">
        <v>86</v>
      </c>
      <c r="H23" s="23">
        <v>45755.0</v>
      </c>
      <c r="I23" s="24" t="s">
        <v>54</v>
      </c>
      <c r="J23" s="25" t="s">
        <v>55</v>
      </c>
      <c r="K23" s="26">
        <v>889962.6865671641</v>
      </c>
      <c r="L23" s="27"/>
      <c r="M23" s="28"/>
      <c r="N23" s="18" t="s">
        <v>56</v>
      </c>
      <c r="O23" s="29"/>
      <c r="P23" s="30"/>
      <c r="Q23" s="27">
        <v>35599.0</v>
      </c>
      <c r="R23" s="31"/>
    </row>
    <row r="24" ht="13.5" customHeight="1">
      <c r="A24" s="17">
        <v>10.0</v>
      </c>
      <c r="B24" s="18" t="s">
        <v>87</v>
      </c>
      <c r="C24" s="32" t="s">
        <v>88</v>
      </c>
      <c r="D24" s="20">
        <v>5.201100029E9</v>
      </c>
      <c r="E24" s="21" t="s">
        <v>89</v>
      </c>
      <c r="F24" s="18" t="s">
        <v>52</v>
      </c>
      <c r="G24" s="36" t="s">
        <v>90</v>
      </c>
      <c r="H24" s="23">
        <v>45755.0</v>
      </c>
      <c r="I24" s="24" t="s">
        <v>54</v>
      </c>
      <c r="J24" s="25" t="s">
        <v>55</v>
      </c>
      <c r="K24" s="26">
        <v>732910.4477611941</v>
      </c>
      <c r="L24" s="27"/>
      <c r="M24" s="28"/>
      <c r="N24" s="18" t="s">
        <v>56</v>
      </c>
      <c r="O24" s="29"/>
      <c r="P24" s="30"/>
      <c r="Q24" s="27">
        <v>7329.0</v>
      </c>
      <c r="R24" s="31"/>
    </row>
    <row r="25" ht="13.5" customHeight="1">
      <c r="A25" s="17">
        <v>11.0</v>
      </c>
      <c r="B25" s="18" t="s">
        <v>91</v>
      </c>
      <c r="C25" s="32" t="s">
        <v>92</v>
      </c>
      <c r="D25" s="20">
        <v>5.201100029E9</v>
      </c>
      <c r="E25" s="21" t="s">
        <v>93</v>
      </c>
      <c r="F25" s="18" t="s">
        <v>52</v>
      </c>
      <c r="G25" s="36" t="s">
        <v>94</v>
      </c>
      <c r="H25" s="23">
        <v>45755.0</v>
      </c>
      <c r="I25" s="24" t="s">
        <v>54</v>
      </c>
      <c r="J25" s="25" t="s">
        <v>55</v>
      </c>
      <c r="K25" s="26">
        <v>680559.7014925372</v>
      </c>
      <c r="L25" s="27"/>
      <c r="M25" s="28"/>
      <c r="N25" s="18" t="s">
        <v>56</v>
      </c>
      <c r="O25" s="29"/>
      <c r="P25" s="30"/>
      <c r="Q25" s="27">
        <v>13611.0</v>
      </c>
      <c r="R25" s="31"/>
    </row>
    <row r="26" ht="13.5" customHeight="1">
      <c r="A26" s="17">
        <v>12.0</v>
      </c>
      <c r="B26" s="18" t="s">
        <v>95</v>
      </c>
      <c r="C26" s="32" t="s">
        <v>96</v>
      </c>
      <c r="D26" s="20">
        <v>5.201100029E9</v>
      </c>
      <c r="E26" s="21" t="s">
        <v>93</v>
      </c>
      <c r="F26" s="18" t="s">
        <v>52</v>
      </c>
      <c r="G26" s="36" t="s">
        <v>97</v>
      </c>
      <c r="H26" s="23">
        <v>45755.0</v>
      </c>
      <c r="I26" s="24" t="s">
        <v>54</v>
      </c>
      <c r="J26" s="25" t="s">
        <v>55</v>
      </c>
      <c r="K26" s="26">
        <v>680559.7014925372</v>
      </c>
      <c r="L26" s="27"/>
      <c r="M26" s="28"/>
      <c r="N26" s="18" t="s">
        <v>56</v>
      </c>
      <c r="O26" s="29"/>
      <c r="P26" s="30"/>
      <c r="Q26" s="27">
        <v>10208.0</v>
      </c>
      <c r="R26" s="31"/>
    </row>
    <row r="27" ht="13.5" customHeight="1">
      <c r="A27" s="17">
        <v>13.0</v>
      </c>
      <c r="B27" s="18" t="s">
        <v>98</v>
      </c>
      <c r="C27" s="22" t="s">
        <v>99</v>
      </c>
      <c r="D27" s="20">
        <v>5.201100029E9</v>
      </c>
      <c r="E27" s="21" t="s">
        <v>93</v>
      </c>
      <c r="F27" s="18" t="s">
        <v>52</v>
      </c>
      <c r="G27" s="22" t="s">
        <v>100</v>
      </c>
      <c r="H27" s="23">
        <v>45755.0</v>
      </c>
      <c r="I27" s="24" t="s">
        <v>54</v>
      </c>
      <c r="J27" s="25" t="s">
        <v>55</v>
      </c>
      <c r="K27" s="26">
        <v>680559.7014925372</v>
      </c>
      <c r="L27" s="27"/>
      <c r="M27" s="28"/>
      <c r="N27" s="18" t="s">
        <v>56</v>
      </c>
      <c r="O27" s="29"/>
      <c r="P27" s="30"/>
      <c r="Q27" s="27">
        <v>10208.0</v>
      </c>
      <c r="R27" s="31"/>
    </row>
    <row r="28" ht="13.5" customHeight="1">
      <c r="A28" s="17">
        <v>14.0</v>
      </c>
      <c r="B28" s="18" t="s">
        <v>101</v>
      </c>
      <c r="C28" s="37">
        <v>2.04170529E9</v>
      </c>
      <c r="D28" s="20">
        <v>5.201100029E9</v>
      </c>
      <c r="E28" s="38" t="s">
        <v>102</v>
      </c>
      <c r="F28" s="18" t="s">
        <v>52</v>
      </c>
      <c r="G28" s="19" t="s">
        <v>103</v>
      </c>
      <c r="H28" s="23">
        <v>45755.0</v>
      </c>
      <c r="I28" s="24" t="s">
        <v>54</v>
      </c>
      <c r="J28" s="25" t="s">
        <v>55</v>
      </c>
      <c r="K28" s="26">
        <v>732910.4477611941</v>
      </c>
      <c r="L28" s="27"/>
      <c r="M28" s="28"/>
      <c r="N28" s="18" t="s">
        <v>56</v>
      </c>
      <c r="O28" s="29"/>
      <c r="P28" s="30"/>
      <c r="Q28" s="27">
        <v>7329.0</v>
      </c>
      <c r="R28" s="31"/>
    </row>
    <row r="29" ht="13.5" customHeight="1">
      <c r="A29" s="17">
        <v>15.0</v>
      </c>
      <c r="B29" s="18" t="s">
        <v>104</v>
      </c>
      <c r="C29" s="19" t="s">
        <v>105</v>
      </c>
      <c r="D29" s="20">
        <v>5.201100029E9</v>
      </c>
      <c r="E29" s="39" t="s">
        <v>106</v>
      </c>
      <c r="F29" s="18" t="s">
        <v>52</v>
      </c>
      <c r="G29" s="22" t="s">
        <v>107</v>
      </c>
      <c r="H29" s="23">
        <v>45755.0</v>
      </c>
      <c r="I29" s="24" t="s">
        <v>54</v>
      </c>
      <c r="J29" s="25" t="s">
        <v>55</v>
      </c>
      <c r="K29" s="26">
        <v>680559.7014925372</v>
      </c>
      <c r="L29" s="27"/>
      <c r="M29" s="28"/>
      <c r="N29" s="18" t="s">
        <v>56</v>
      </c>
      <c r="O29" s="29"/>
      <c r="P29" s="30"/>
      <c r="Q29" s="27">
        <v>10208.0</v>
      </c>
      <c r="R29" s="31"/>
    </row>
    <row r="30" ht="13.5" customHeight="1">
      <c r="A30" s="17">
        <v>16.0</v>
      </c>
      <c r="B30" s="18" t="s">
        <v>108</v>
      </c>
      <c r="C30" s="22" t="s">
        <v>109</v>
      </c>
      <c r="D30" s="20">
        <v>5.201100029E9</v>
      </c>
      <c r="E30" s="21" t="s">
        <v>106</v>
      </c>
      <c r="F30" s="18" t="s">
        <v>52</v>
      </c>
      <c r="G30" s="22" t="s">
        <v>110</v>
      </c>
      <c r="H30" s="23">
        <v>45755.0</v>
      </c>
      <c r="I30" s="24" t="s">
        <v>54</v>
      </c>
      <c r="J30" s="25" t="s">
        <v>55</v>
      </c>
      <c r="K30" s="26">
        <v>680559.7014925372</v>
      </c>
      <c r="L30" s="27"/>
      <c r="M30" s="28"/>
      <c r="N30" s="18" t="s">
        <v>56</v>
      </c>
      <c r="O30" s="29"/>
      <c r="P30" s="30"/>
      <c r="Q30" s="27">
        <v>10208.0</v>
      </c>
      <c r="R30" s="31"/>
    </row>
    <row r="31" ht="13.5" customHeight="1">
      <c r="A31" s="17">
        <v>17.0</v>
      </c>
      <c r="B31" s="18" t="s">
        <v>111</v>
      </c>
      <c r="C31" s="40" t="s">
        <v>112</v>
      </c>
      <c r="D31" s="20">
        <v>5.201100029E9</v>
      </c>
      <c r="E31" s="21" t="s">
        <v>106</v>
      </c>
      <c r="F31" s="18" t="s">
        <v>52</v>
      </c>
      <c r="G31" s="22" t="s">
        <v>113</v>
      </c>
      <c r="H31" s="23">
        <v>45755.0</v>
      </c>
      <c r="I31" s="24" t="s">
        <v>54</v>
      </c>
      <c r="J31" s="25" t="s">
        <v>55</v>
      </c>
      <c r="K31" s="26">
        <v>680559.7014925372</v>
      </c>
      <c r="L31" s="27"/>
      <c r="M31" s="28"/>
      <c r="N31" s="18" t="s">
        <v>56</v>
      </c>
      <c r="O31" s="29"/>
      <c r="P31" s="30"/>
      <c r="Q31" s="27">
        <v>6806.0</v>
      </c>
      <c r="R31" s="31"/>
    </row>
    <row r="32" ht="13.5" customHeight="1">
      <c r="A32" s="17">
        <v>18.0</v>
      </c>
      <c r="B32" s="18" t="s">
        <v>114</v>
      </c>
      <c r="C32" s="41" t="s">
        <v>115</v>
      </c>
      <c r="D32" s="20">
        <v>5.201100029E9</v>
      </c>
      <c r="E32" s="21" t="s">
        <v>106</v>
      </c>
      <c r="F32" s="18" t="s">
        <v>52</v>
      </c>
      <c r="G32" s="42" t="s">
        <v>116</v>
      </c>
      <c r="H32" s="23">
        <v>45755.0</v>
      </c>
      <c r="I32" s="24" t="s">
        <v>54</v>
      </c>
      <c r="J32" s="25" t="s">
        <v>55</v>
      </c>
      <c r="K32" s="26">
        <v>680559.7014925372</v>
      </c>
      <c r="L32" s="27"/>
      <c r="M32" s="28"/>
      <c r="N32" s="18" t="s">
        <v>56</v>
      </c>
      <c r="O32" s="29"/>
      <c r="P32" s="30"/>
      <c r="Q32" s="27">
        <v>6806.0</v>
      </c>
      <c r="R32" s="31"/>
    </row>
    <row r="33" ht="13.5" customHeight="1">
      <c r="A33" s="17">
        <v>19.0</v>
      </c>
      <c r="B33" s="18" t="s">
        <v>117</v>
      </c>
      <c r="C33" s="43" t="s">
        <v>118</v>
      </c>
      <c r="D33" s="20">
        <v>5.201100029E9</v>
      </c>
      <c r="E33" s="21" t="s">
        <v>119</v>
      </c>
      <c r="F33" s="18" t="s">
        <v>52</v>
      </c>
      <c r="G33" s="22" t="s">
        <v>120</v>
      </c>
      <c r="H33" s="23">
        <v>45755.0</v>
      </c>
      <c r="I33" s="24" t="s">
        <v>54</v>
      </c>
      <c r="J33" s="25" t="s">
        <v>55</v>
      </c>
      <c r="K33" s="26">
        <v>628208.9552238806</v>
      </c>
      <c r="L33" s="27"/>
      <c r="M33" s="28"/>
      <c r="N33" s="18" t="s">
        <v>56</v>
      </c>
      <c r="O33" s="29"/>
      <c r="P33" s="30"/>
      <c r="Q33" s="27">
        <v>10994.0</v>
      </c>
      <c r="R33" s="31"/>
    </row>
    <row r="34" ht="13.5" customHeight="1">
      <c r="A34" s="17">
        <v>20.0</v>
      </c>
      <c r="B34" s="18" t="s">
        <v>121</v>
      </c>
      <c r="C34" s="19" t="s">
        <v>122</v>
      </c>
      <c r="D34" s="20">
        <v>5.201100029E9</v>
      </c>
      <c r="E34" s="44" t="s">
        <v>119</v>
      </c>
      <c r="F34" s="18" t="s">
        <v>52</v>
      </c>
      <c r="G34" s="22" t="s">
        <v>123</v>
      </c>
      <c r="H34" s="23">
        <v>45755.0</v>
      </c>
      <c r="I34" s="24" t="s">
        <v>54</v>
      </c>
      <c r="J34" s="25" t="s">
        <v>55</v>
      </c>
      <c r="K34" s="26">
        <v>628208.9552238806</v>
      </c>
      <c r="L34" s="27"/>
      <c r="M34" s="28"/>
      <c r="N34" s="18" t="s">
        <v>56</v>
      </c>
      <c r="O34" s="29"/>
      <c r="P34" s="30"/>
      <c r="Q34" s="27">
        <v>9423.0</v>
      </c>
      <c r="R34" s="31"/>
    </row>
    <row r="35" ht="13.5" customHeight="1">
      <c r="A35" s="17">
        <v>21.0</v>
      </c>
      <c r="B35" s="18" t="s">
        <v>124</v>
      </c>
      <c r="C35" s="43" t="s">
        <v>125</v>
      </c>
      <c r="D35" s="20">
        <v>5.201100029E9</v>
      </c>
      <c r="E35" s="21" t="s">
        <v>126</v>
      </c>
      <c r="F35" s="18" t="s">
        <v>52</v>
      </c>
      <c r="G35" s="22" t="s">
        <v>127</v>
      </c>
      <c r="H35" s="23">
        <v>45573.0</v>
      </c>
      <c r="I35" s="24" t="s">
        <v>54</v>
      </c>
      <c r="J35" s="25" t="s">
        <v>55</v>
      </c>
      <c r="K35" s="26">
        <v>628208.9552238806</v>
      </c>
      <c r="L35" s="27"/>
      <c r="M35" s="28"/>
      <c r="N35" s="18" t="s">
        <v>56</v>
      </c>
      <c r="O35" s="29"/>
      <c r="P35" s="30"/>
      <c r="Q35" s="27">
        <v>10994.0</v>
      </c>
      <c r="R35" s="31"/>
    </row>
    <row r="36" ht="13.5" customHeight="1">
      <c r="A36" s="45" t="s">
        <v>128</v>
      </c>
      <c r="B36" s="9"/>
      <c r="C36" s="9"/>
      <c r="D36" s="9"/>
      <c r="E36" s="9"/>
      <c r="F36" s="9"/>
      <c r="G36" s="9"/>
      <c r="H36" s="9"/>
      <c r="I36" s="9"/>
      <c r="J36" s="10"/>
      <c r="K36" s="46">
        <f>SUM(K15:K35)</f>
        <v>17537500</v>
      </c>
      <c r="L36" s="18"/>
      <c r="M36" s="18"/>
      <c r="N36" s="18"/>
      <c r="O36" s="31"/>
      <c r="P36" s="31"/>
      <c r="Q36" s="47">
        <f>SUM(Q15:Q35)</f>
        <v>656955</v>
      </c>
      <c r="R36" s="31"/>
    </row>
    <row r="37" ht="13.5" customHeight="1">
      <c r="A37" s="3"/>
      <c r="B37" s="3"/>
      <c r="C37" s="3"/>
      <c r="D37" s="3"/>
      <c r="E37" s="3"/>
      <c r="F37" s="48"/>
      <c r="G37" s="3"/>
      <c r="H37" s="4"/>
      <c r="I37" s="4"/>
      <c r="J37" s="3"/>
      <c r="K37" s="3"/>
      <c r="L37" s="3"/>
      <c r="M37" s="3"/>
      <c r="N37" s="3"/>
      <c r="O37" s="3"/>
      <c r="P37" s="3"/>
      <c r="Q37" s="3"/>
      <c r="R37" s="3"/>
    </row>
    <row r="38" ht="13.5" customHeight="1">
      <c r="A38" s="3"/>
      <c r="B38" s="3"/>
      <c r="C38" s="3"/>
      <c r="D38" s="3"/>
      <c r="E38" s="3"/>
      <c r="F38" s="48"/>
      <c r="G38" s="3"/>
      <c r="H38" s="4"/>
      <c r="I38" s="4"/>
      <c r="J38" s="3"/>
      <c r="K38" s="3"/>
      <c r="L38" s="3"/>
      <c r="M38" s="3"/>
      <c r="N38" s="3"/>
      <c r="O38" s="3"/>
      <c r="P38" s="3"/>
      <c r="Q38" s="3"/>
      <c r="R38" s="3"/>
    </row>
    <row r="39" ht="13.5" customHeight="1">
      <c r="A39" s="3"/>
      <c r="B39" s="3"/>
      <c r="C39" s="3"/>
      <c r="D39" s="3"/>
      <c r="E39" s="3"/>
      <c r="F39" s="48"/>
      <c r="G39" s="3"/>
      <c r="H39" s="4"/>
      <c r="I39" s="4"/>
      <c r="J39" s="3"/>
      <c r="K39" s="3"/>
      <c r="L39" s="3"/>
      <c r="M39" s="3"/>
      <c r="N39" s="4" t="str">
        <f>CONCATENATE("Jakarta, ",TEXT(TODAY(),"dd mmmm yyyy"))</f>
        <v>Jakarta, 01 Juni 2026</v>
      </c>
      <c r="O39" s="3"/>
      <c r="P39" s="3"/>
      <c r="Q39" s="3"/>
      <c r="R39" s="3"/>
    </row>
    <row r="40" ht="13.5" customHeight="1">
      <c r="A40" s="3"/>
      <c r="B40" s="3"/>
      <c r="C40" s="3"/>
      <c r="D40" s="3"/>
      <c r="E40" s="3"/>
      <c r="F40" s="48"/>
      <c r="G40" s="3"/>
      <c r="H40" s="4"/>
      <c r="I40" s="4"/>
      <c r="J40" s="3"/>
      <c r="K40" s="3"/>
      <c r="L40" s="3"/>
      <c r="M40" s="3"/>
      <c r="N40" s="3"/>
      <c r="O40" s="3"/>
      <c r="P40" s="3"/>
      <c r="Q40" s="3"/>
      <c r="R40" s="3"/>
    </row>
    <row r="41" ht="13.5" customHeight="1">
      <c r="A41" s="3"/>
      <c r="B41" s="3"/>
      <c r="C41" s="3"/>
      <c r="D41" s="3"/>
      <c r="E41" s="3"/>
      <c r="F41" s="3"/>
      <c r="G41" s="4" t="s">
        <v>129</v>
      </c>
      <c r="H41" s="4"/>
      <c r="I41" s="4"/>
      <c r="J41" s="4" t="s">
        <v>130</v>
      </c>
      <c r="K41" s="3"/>
      <c r="L41" s="3"/>
      <c r="M41" s="3"/>
      <c r="N41" s="4" t="s">
        <v>131</v>
      </c>
      <c r="O41" s="3"/>
      <c r="P41" s="3"/>
      <c r="Q41" s="3"/>
      <c r="R41" s="3"/>
    </row>
    <row r="42" ht="13.5" customHeight="1">
      <c r="A42" s="3"/>
      <c r="B42" s="3"/>
      <c r="C42" s="3"/>
      <c r="D42" s="3"/>
      <c r="E42" s="3"/>
      <c r="F42" s="3"/>
      <c r="G42" s="4" t="inlineStr">
        <is>
          <t xml:space="preserve">Group Head Operasional SDM</t>
        </is>
      </c>
      <c r="H42" s="4"/>
      <c r="I42" s="4"/>
      <c r="J42" s="4" t="inlineStr">
        <is>
          <t xml:space="preserve">Department Head Kompensasi dan Benefit</t>
        </is>
      </c>
      <c r="K42" s="3"/>
      <c r="L42" s="3"/>
      <c r="M42" s="3"/>
      <c r="N42" s="4" t="inlineStr">
        <is>
          <t xml:space="preserve">Staf Kompensasi dan Benefit</t>
        </is>
      </c>
      <c r="O42" s="3"/>
      <c r="P42" s="3"/>
      <c r="Q42" s="3"/>
      <c r="R42" s="3"/>
    </row>
    <row r="43" ht="13.5" customHeight="1">
      <c r="A43" s="3"/>
      <c r="B43" s="3"/>
      <c r="C43" s="3"/>
      <c r="D43" s="3"/>
      <c r="E43" s="3"/>
      <c r="F43" s="3"/>
      <c r="G43" s="3"/>
      <c r="H43" s="4"/>
      <c r="I43" s="4"/>
      <c r="J43" s="3"/>
      <c r="K43" s="3"/>
      <c r="L43" s="3"/>
      <c r="M43" s="3"/>
      <c r="N43" s="4"/>
      <c r="O43" s="3"/>
      <c r="P43" s="3"/>
      <c r="Q43" s="3"/>
      <c r="R43" s="3"/>
    </row>
    <row r="44" ht="13.5" customHeight="1">
      <c r="A44" s="3"/>
      <c r="B44" s="3"/>
      <c r="C44" s="3"/>
      <c r="D44" s="3"/>
      <c r="E44" s="3"/>
      <c r="F44" s="3"/>
      <c r="G44" s="3"/>
      <c r="H44" s="4"/>
      <c r="I44" s="4"/>
      <c r="J44" s="3"/>
      <c r="K44" s="3"/>
      <c r="L44" s="3"/>
      <c r="M44" s="3"/>
      <c r="N44" s="4"/>
      <c r="O44" s="3"/>
      <c r="P44" s="3"/>
      <c r="Q44" s="3"/>
      <c r="R44" s="3"/>
    </row>
    <row r="45" ht="13.5" customHeight="1">
      <c r="A45" s="3"/>
      <c r="B45" s="3"/>
      <c r="C45" s="3"/>
      <c r="D45" s="3"/>
      <c r="E45" s="3"/>
      <c r="F45" s="3"/>
      <c r="G45" s="3"/>
      <c r="H45" s="4"/>
      <c r="I45" s="4"/>
      <c r="J45" s="3"/>
      <c r="K45" s="3"/>
      <c r="L45" s="3"/>
      <c r="M45" s="3"/>
      <c r="N45" s="4"/>
      <c r="O45" s="3"/>
      <c r="P45" s="3"/>
      <c r="Q45" s="3"/>
      <c r="R45" s="3"/>
    </row>
    <row r="46" ht="13.5" customHeight="1">
      <c r="A46" s="3"/>
      <c r="B46" s="3"/>
      <c r="C46" s="3"/>
      <c r="D46" s="3"/>
      <c r="E46" s="3"/>
      <c r="F46" s="3"/>
      <c r="G46" s="3"/>
      <c r="H46" s="4"/>
      <c r="I46" s="4"/>
      <c r="J46" s="3"/>
      <c r="K46" s="3"/>
      <c r="L46" s="3"/>
      <c r="M46" s="3"/>
      <c r="N46" s="4"/>
      <c r="O46" s="3"/>
      <c r="P46" s="3"/>
      <c r="Q46" s="3"/>
      <c r="R46" s="3"/>
    </row>
    <row r="47" ht="13.5" customHeight="1">
      <c r="A47" s="3"/>
      <c r="B47" s="3"/>
      <c r="C47" s="3"/>
      <c r="D47" s="3"/>
      <c r="E47" s="3"/>
      <c r="F47" s="3"/>
      <c r="G47" s="3"/>
      <c r="H47" s="4"/>
      <c r="I47" s="4"/>
      <c r="J47" s="3"/>
      <c r="K47" s="3"/>
      <c r="L47" s="3"/>
      <c r="M47" s="3"/>
      <c r="N47" s="4"/>
      <c r="O47" s="3"/>
      <c r="P47" s="3"/>
      <c r="Q47" s="3"/>
      <c r="R47" s="3"/>
    </row>
    <row r="48" ht="13.5" customHeight="1">
      <c r="A48" s="3"/>
      <c r="B48" s="3"/>
      <c r="C48" s="3"/>
      <c r="D48" s="3"/>
      <c r="E48" s="3"/>
      <c r="F48" s="3"/>
      <c r="G48" s="4" t="inlineStr">
        <is>
          <t xml:space="preserve">Yogi Permana</t>
        </is>
      </c>
      <c r="H48" s="4"/>
      <c r="I48" s="4"/>
      <c r="J48" s="4" t="inlineStr">
        <is>
          <t xml:space="preserve">Rini Kartika Sari</t>
        </is>
      </c>
      <c r="K48" s="3"/>
      <c r="L48" s="3"/>
      <c r="M48" s="3"/>
      <c r="N48" s="4" t="inlineStr">
        <is>
          <t xml:space="preserve">Shafira Adi Rabiah Al Adawiyah</t>
        </is>
      </c>
      <c r="O48" s="3"/>
      <c r="P48" s="3"/>
      <c r="Q48" s="3"/>
      <c r="R48" s="3"/>
    </row>
    <row r="49" ht="13.5" customHeight="1">
      <c r="A49" s="3"/>
      <c r="B49" s="3"/>
      <c r="C49" s="3"/>
      <c r="D49" s="3"/>
      <c r="E49" s="3"/>
      <c r="F49" s="3"/>
      <c r="G49" s="3"/>
      <c r="H49" s="4"/>
      <c r="I49" s="4"/>
      <c r="J49" s="3"/>
      <c r="K49" s="3"/>
      <c r="L49" s="3"/>
      <c r="M49" s="3"/>
      <c r="N49" s="3"/>
      <c r="O49" s="3"/>
      <c r="P49" s="3"/>
      <c r="Q49" s="3"/>
      <c r="R49" s="3"/>
    </row>
  </sheetData>
  <mergeCells count="4">
    <mergeCell ref="A3:R3"/>
    <mergeCell ref="B12:P12"/>
    <mergeCell ref="Q12:R12"/>
    <mergeCell ref="A36:J36"/>
  </mergeCells>
  <printOptions/>
  <pageMargins bottom="0.75" footer="0.0" header="0.0" left="0.7" right="0.7" top="0.75"/>
  <pageSetup fitToHeight="0" orientation="landscape"/>
  <drawing r:id="rId1"/>
</worksheet>
</file>