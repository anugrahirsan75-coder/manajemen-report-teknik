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Swakelola" sheetId="1" r:id="rId5"/>
  </sheets>
  <definedNames/>
  <calcPr/>
</workbook>
</file>

<file path=xl/sharedStrings.xml><?xml version="1.0" encoding="utf-8"?>
<sst xmlns="http://schemas.openxmlformats.org/spreadsheetml/2006/main" count="91" uniqueCount="83">
  <si>
    <t>PT. ASDP INDONESIA FERRY (PERSERO) CABANG TERNATE</t>
  </si>
  <si>
    <t xml:space="preserve">DAFTAR PEMBAYARAN SWAKELOLA </t>
  </si>
  <si>
    <t>PEKERJAAN DOCKING KMP. Lema TAHUN 2025</t>
  </si>
  <si>
    <t xml:space="preserve"> </t>
  </si>
  <si>
    <t>NO.</t>
  </si>
  <si>
    <t>N   A   M   A</t>
  </si>
  <si>
    <t>JUMLAH</t>
  </si>
  <si>
    <t>TANDA TANGAN</t>
  </si>
  <si>
    <t>JABATAN</t>
  </si>
  <si>
    <t>NILAI BROTO</t>
  </si>
  <si>
    <t>PPH PSL 21 (5 % )</t>
  </si>
  <si>
    <t>PENERIMAAN</t>
  </si>
  <si>
    <t>BERSIH</t>
  </si>
  <si>
    <t>BUDI PRIYANTO</t>
  </si>
  <si>
    <t>Nakhoda</t>
  </si>
  <si>
    <t xml:space="preserve"> 1. ………..</t>
  </si>
  <si>
    <t>ALI PAYAPO</t>
  </si>
  <si>
    <t>Owner Surveyor</t>
  </si>
  <si>
    <t>2. …………….</t>
  </si>
  <si>
    <t>HENDRA RUDOLF  SOUMOKIL</t>
  </si>
  <si>
    <t xml:space="preserve">KKM </t>
  </si>
  <si>
    <t xml:space="preserve"> 3. ………..</t>
  </si>
  <si>
    <t>HARTONO BACHRUN</t>
  </si>
  <si>
    <t>Mualim I</t>
  </si>
  <si>
    <t>4. …………….</t>
  </si>
  <si>
    <t>DANIEL FRETS SITANIAPESSY</t>
  </si>
  <si>
    <t>Masinis II</t>
  </si>
  <si>
    <t xml:space="preserve"> 5. ………..</t>
  </si>
  <si>
    <t>HARLY SETIAWAN</t>
  </si>
  <si>
    <t>Mualim II</t>
  </si>
  <si>
    <t>6. …………….</t>
  </si>
  <si>
    <t>NURHADI</t>
  </si>
  <si>
    <t>Masinis III</t>
  </si>
  <si>
    <t>7. …………</t>
  </si>
  <si>
    <t>ANANG SUMARDIYONO</t>
  </si>
  <si>
    <t>Mualim III</t>
  </si>
  <si>
    <t>.</t>
  </si>
  <si>
    <t xml:space="preserve"> 8. ……………</t>
  </si>
  <si>
    <t>ABDULLAH</t>
  </si>
  <si>
    <t>Masinis IV</t>
  </si>
  <si>
    <t>9. …………</t>
  </si>
  <si>
    <t>WAHYU  SUSILO</t>
  </si>
  <si>
    <t>Mandor Mesin</t>
  </si>
  <si>
    <t xml:space="preserve"> 10. ……………</t>
  </si>
  <si>
    <t>CRISTIANTO NIEL TAKAYA</t>
  </si>
  <si>
    <t>Serang</t>
  </si>
  <si>
    <t>11…………….</t>
  </si>
  <si>
    <t>MUJIANTO</t>
  </si>
  <si>
    <t>Juru Mudi</t>
  </si>
  <si>
    <t xml:space="preserve"> 12. ……………</t>
  </si>
  <si>
    <t>SYAFRIN  HARUNA</t>
  </si>
  <si>
    <t>13………………</t>
  </si>
  <si>
    <t>ASER MATIAS KENA</t>
  </si>
  <si>
    <t>14………………</t>
  </si>
  <si>
    <t>RASWAN ZAHIM</t>
  </si>
  <si>
    <t>Juru Minyak</t>
  </si>
  <si>
    <t>15…....................</t>
  </si>
  <si>
    <t>AJIS SETIAWAN</t>
  </si>
  <si>
    <t>16…....................</t>
  </si>
  <si>
    <t>ZULFITRI LESTUSEN</t>
  </si>
  <si>
    <t>17…....................</t>
  </si>
  <si>
    <t>REYNALDI LAHANSANG</t>
  </si>
  <si>
    <t>18…....................</t>
  </si>
  <si>
    <t>MULIADI</t>
  </si>
  <si>
    <t>Kelasi</t>
  </si>
  <si>
    <t>19…....................</t>
  </si>
  <si>
    <t>IMAM WAHYUDI</t>
  </si>
  <si>
    <t>20…....................</t>
  </si>
  <si>
    <t>FERY INDRAWAN</t>
  </si>
  <si>
    <t>Juru Masak</t>
  </si>
  <si>
    <t>21…....................</t>
  </si>
  <si>
    <t>Terbilang : #Enam Belas Juta Delapan Ratus Delapan Puluh Satu Ribu Lima Ratus Empat Puluh Lima Rupiah#</t>
  </si>
  <si>
    <t>Ternate, 04 Februari 2025</t>
  </si>
  <si>
    <t>Disetujui :</t>
  </si>
  <si>
    <t>Diperksa :</t>
  </si>
  <si>
    <t>Dibuat :</t>
  </si>
  <si>
    <t>General Manager</t>
  </si>
  <si>
    <t>Manager Teknik</t>
  </si>
  <si>
    <t>Staf Teknik</t>
  </si>
  <si>
    <t>HANDOYO PRIYANTO</t>
  </si>
  <si>
    <t>ERYANTO SIDABALOK</t>
  </si>
  <si>
    <t>IRSAN ANUGRAH</t>
  </si>
  <si>
    <t>Nik. 110191036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</si>
</sst>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14">
    <font>
      <sz val="10.0"/>
      <color rgb="FF000000"/>
      <name val="Arial"/>
      <scheme val="minor"/>
    </font>
    <font>
      <sz val="8.0"/>
      <color theme="1"/>
      <name val="Bookman Old Style"/>
    </font>
    <font>
      <b/>
      <sz val="12.0"/>
      <color theme="1"/>
      <name val="Bookman Old Style"/>
    </font>
    <font>
      <sz val="10.0"/>
      <color theme="1"/>
      <name val="Bookman Old Style"/>
    </font>
    <font>
      <sz val="12.0"/>
      <color theme="1"/>
      <name val="Bookman Old Style"/>
    </font>
    <font>
      <sz val="14.0"/>
      <color theme="1"/>
      <name val="Bookman Old Style"/>
    </font>
    <font/>
    <font>
      <b/>
      <sz val="10.0"/>
      <color theme="1"/>
      <name val="Bookman Old Style"/>
    </font>
    <font>
      <sz val="11.0"/>
      <color theme="1"/>
      <name val="Arial"/>
    </font>
    <font>
      <sz val="10.0"/>
      <color theme="1"/>
      <name val="Arial"/>
    </font>
    <font>
      <sz val="11.0"/>
      <color theme="1"/>
      <name val="Bookman Old Style"/>
    </font>
    <font>
      <b/>
      <sz val="11.0"/>
      <color theme="1"/>
      <name val="Bookman Old Style"/>
    </font>
    <font>
      <b/>
      <u/>
      <sz val="11.0"/>
      <color theme="1"/>
      <name val="Bookman Old Style"/>
    </font>
    <font>
      <b/>
      <u/>
      <sz val="11.0"/>
      <color rgb="FF333333"/>
      <name val="Bookman Old Style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4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shrinkToFit="0" vertical="bottom" wrapText="0"/>
    </xf>
    <xf borderId="2" fillId="2" fontId="5" numFmtId="0" xfId="0" applyAlignment="1" applyBorder="1" applyFont="1">
      <alignment horizontal="center" shrinkToFit="0" vertical="bottom" wrapText="0"/>
    </xf>
    <xf borderId="3" fillId="0" fontId="6" numFmtId="0" xfId="0" applyBorder="1" applyFont="1"/>
    <xf borderId="4" fillId="0" fontId="6" numFmtId="0" xfId="0" applyBorder="1" applyFont="1"/>
    <xf borderId="2" fillId="2" fontId="4" numFmtId="0" xfId="0" applyAlignment="1" applyBorder="1" applyFont="1">
      <alignment horizontal="center" shrinkToFit="0" vertical="bottom" wrapText="0"/>
    </xf>
    <xf borderId="5" fillId="2" fontId="7" numFmtId="0" xfId="0" applyAlignment="1" applyBorder="1" applyFont="1">
      <alignment horizontal="center" shrinkToFit="0" vertical="center" wrapText="0"/>
    </xf>
    <xf borderId="6" fillId="2" fontId="7" numFmtId="0" xfId="0" applyAlignment="1" applyBorder="1" applyFont="1">
      <alignment horizontal="center" shrinkToFit="0" vertical="center" wrapText="0"/>
    </xf>
    <xf borderId="7" fillId="2" fontId="7" numFmtId="0" xfId="0" applyAlignment="1" applyBorder="1" applyFont="1">
      <alignment shrinkToFit="0" vertical="center" wrapText="0"/>
    </xf>
    <xf borderId="8" fillId="2" fontId="7" numFmtId="0" xfId="0" applyAlignment="1" applyBorder="1" applyFont="1">
      <alignment horizontal="center" shrinkToFit="0" vertical="center" wrapText="0"/>
    </xf>
    <xf borderId="9" fillId="2" fontId="7" numFmtId="0" xfId="0" applyAlignment="1" applyBorder="1" applyFont="1">
      <alignment horizontal="center" shrinkToFit="0" vertical="center" wrapText="0"/>
    </xf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2" fontId="7" numFmtId="0" xfId="0" applyAlignment="1" applyBorder="1" applyFont="1">
      <alignment horizontal="center" shrinkToFit="0" vertical="center" wrapText="0"/>
    </xf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18" fillId="2" fontId="7" numFmtId="0" xfId="0" applyAlignment="1" applyBorder="1" applyFont="1">
      <alignment horizontal="center" shrinkToFit="0" vertical="center" wrapText="0"/>
    </xf>
    <xf borderId="19" fillId="0" fontId="6" numFmtId="0" xfId="0" applyBorder="1" applyFont="1"/>
    <xf borderId="20" fillId="0" fontId="6" numFmtId="0" xfId="0" applyBorder="1" applyFont="1"/>
    <xf borderId="21" fillId="2" fontId="1" numFmtId="0" xfId="0" applyAlignment="1" applyBorder="1" applyFont="1">
      <alignment horizontal="center" shrinkToFit="0" vertical="bottom" wrapText="0"/>
    </xf>
    <xf borderId="22" fillId="2" fontId="1" numFmtId="0" xfId="0" applyAlignment="1" applyBorder="1" applyFont="1">
      <alignment horizontal="center" shrinkToFit="0" vertical="bottom" wrapText="0"/>
    </xf>
    <xf borderId="23" fillId="2" fontId="1" numFmtId="0" xfId="0" applyAlignment="1" applyBorder="1" applyFont="1">
      <alignment horizontal="center" shrinkToFit="0" vertical="bottom" wrapText="0"/>
    </xf>
    <xf borderId="24" fillId="2" fontId="1" numFmtId="0" xfId="0" applyAlignment="1" applyBorder="1" applyFont="1">
      <alignment horizontal="center" shrinkToFit="0" vertical="bottom" wrapText="0"/>
    </xf>
    <xf borderId="25" fillId="0" fontId="6" numFmtId="0" xfId="0" applyBorder="1" applyFont="1"/>
    <xf borderId="26" fillId="2" fontId="1" numFmtId="0" xfId="0" applyAlignment="1" applyBorder="1" applyFont="1">
      <alignment shrinkToFit="0" vertical="bottom" wrapText="0"/>
    </xf>
    <xf borderId="27" fillId="2" fontId="1" numFmtId="0" xfId="0" applyAlignment="1" applyBorder="1" applyFont="1">
      <alignment shrinkToFit="0" vertical="bottom" wrapText="0"/>
    </xf>
    <xf borderId="27" fillId="2" fontId="1" numFmtId="0" xfId="0" applyAlignment="1" applyBorder="1" applyFont="1">
      <alignment horizontal="center" shrinkToFit="0" vertical="bottom" wrapText="0"/>
    </xf>
    <xf borderId="13" fillId="2" fontId="1" numFmtId="0" xfId="0" applyAlignment="1" applyBorder="1" applyFont="1">
      <alignment horizontal="center" shrinkToFit="0" vertical="bottom" wrapText="0"/>
    </xf>
    <xf borderId="13" fillId="2" fontId="1" numFmtId="0" xfId="0" applyAlignment="1" applyBorder="1" applyFont="1">
      <alignment shrinkToFit="0" vertical="bottom" wrapText="0"/>
    </xf>
    <xf borderId="28" fillId="2" fontId="1" numFmtId="0" xfId="0" applyAlignment="1" applyBorder="1" applyFont="1">
      <alignment shrinkToFit="0" vertical="bottom" wrapText="0"/>
    </xf>
    <xf borderId="29" fillId="2" fontId="8" numFmtId="0" xfId="0" applyAlignment="1" applyBorder="1" applyFont="1">
      <alignment horizontal="center" shrinkToFit="0" vertical="bottom" wrapText="0"/>
    </xf>
    <xf borderId="30" fillId="2" fontId="8" numFmtId="0" xfId="0" applyAlignment="1" applyBorder="1" applyFont="1">
      <alignment horizontal="left" shrinkToFit="0" vertical="bottom" wrapText="0"/>
    </xf>
    <xf borderId="30" fillId="2" fontId="8" numFmtId="164" xfId="0" applyAlignment="1" applyBorder="1" applyFont="1" applyNumberFormat="1">
      <alignment horizontal="center" shrinkToFit="0" vertical="bottom" wrapText="0"/>
    </xf>
    <xf borderId="30" fillId="2" fontId="8" numFmtId="164" xfId="0" applyAlignment="1" applyBorder="1" applyFont="1" applyNumberFormat="1">
      <alignment shrinkToFit="0" vertical="bottom" wrapText="0"/>
    </xf>
    <xf borderId="13" fillId="2" fontId="8" numFmtId="0" xfId="0" applyAlignment="1" applyBorder="1" applyFont="1">
      <alignment horizontal="left" shrinkToFit="0" vertical="bottom" wrapText="0"/>
    </xf>
    <xf borderId="28" fillId="2" fontId="8" numFmtId="0" xfId="0" applyAlignment="1" applyBorder="1" applyFont="1">
      <alignment shrinkToFit="0" vertical="bottom" wrapText="0"/>
    </xf>
    <xf borderId="31" fillId="2" fontId="8" numFmtId="0" xfId="0" applyAlignment="1" applyBorder="1" applyFont="1">
      <alignment horizontal="center" shrinkToFit="0" vertical="bottom" wrapText="0"/>
    </xf>
    <xf borderId="32" fillId="2" fontId="8" numFmtId="0" xfId="0" applyAlignment="1" applyBorder="1" applyFont="1">
      <alignment horizontal="left" shrinkToFit="0" vertical="bottom" wrapText="0"/>
    </xf>
    <xf borderId="27" fillId="2" fontId="8" numFmtId="0" xfId="0" applyAlignment="1" applyBorder="1" applyFont="1">
      <alignment horizontal="left" shrinkToFit="0" vertical="bottom" wrapText="0"/>
    </xf>
    <xf borderId="27" fillId="2" fontId="8" numFmtId="164" xfId="0" applyAlignment="1" applyBorder="1" applyFont="1" applyNumberFormat="1">
      <alignment horizontal="center" shrinkToFit="0" vertical="bottom" wrapText="0"/>
    </xf>
    <xf borderId="32" fillId="2" fontId="8" numFmtId="164" xfId="0" applyAlignment="1" applyBorder="1" applyFont="1" applyNumberFormat="1">
      <alignment shrinkToFit="0" vertical="bottom" wrapText="0"/>
    </xf>
    <xf borderId="32" fillId="2" fontId="8" numFmtId="164" xfId="0" applyAlignment="1" applyBorder="1" applyFont="1" applyNumberFormat="1">
      <alignment horizontal="center" shrinkToFit="0" vertical="bottom" wrapText="0"/>
    </xf>
    <xf borderId="13" fillId="2" fontId="8" numFmtId="0" xfId="0" applyAlignment="1" applyBorder="1" applyFont="1">
      <alignment horizontal="center" shrinkToFit="0" vertical="bottom" wrapText="0"/>
    </xf>
    <xf borderId="27" fillId="2" fontId="8" numFmtId="164" xfId="0" applyAlignment="1" applyBorder="1" applyFont="1" applyNumberFormat="1">
      <alignment shrinkToFit="0" vertical="bottom" wrapText="0"/>
    </xf>
    <xf borderId="26" fillId="2" fontId="8" numFmtId="0" xfId="0" applyAlignment="1" applyBorder="1" applyFont="1">
      <alignment horizontal="center" shrinkToFit="0" vertical="bottom" wrapText="0"/>
    </xf>
    <xf borderId="13" fillId="2" fontId="8" numFmtId="0" xfId="0" applyAlignment="1" applyBorder="1" applyFont="1">
      <alignment horizontal="right" shrinkToFit="0" vertical="bottom" wrapText="0"/>
    </xf>
    <xf borderId="30" fillId="2" fontId="8" numFmtId="1" xfId="0" applyAlignment="1" applyBorder="1" applyFont="1" applyNumberFormat="1">
      <alignment horizontal="left" shrinkToFit="0" vertical="bottom" wrapText="0"/>
    </xf>
    <xf borderId="27" fillId="2" fontId="8" numFmtId="164" xfId="0" applyAlignment="1" applyBorder="1" applyFont="1" applyNumberFormat="1">
      <alignment horizontal="center" shrinkToFit="0" vertical="top" wrapText="0"/>
    </xf>
    <xf borderId="1" fillId="2" fontId="8" numFmtId="0" xfId="0" applyAlignment="1" applyBorder="1" applyFont="1">
      <alignment horizontal="left" shrinkToFit="0" vertical="bottom" wrapText="0"/>
    </xf>
    <xf borderId="28" fillId="2" fontId="8" numFmtId="0" xfId="0" applyAlignment="1" applyBorder="1" applyFont="1">
      <alignment horizontal="left" shrinkToFit="0" vertical="bottom" wrapText="0"/>
    </xf>
    <xf borderId="1" fillId="2" fontId="9" numFmtId="0" xfId="0" applyAlignment="1" applyBorder="1" applyFont="1">
      <alignment shrinkToFit="0" vertical="bottom" wrapText="0"/>
    </xf>
    <xf borderId="28" fillId="2" fontId="9" numFmtId="0" xfId="0" applyAlignment="1" applyBorder="1" applyFont="1">
      <alignment shrinkToFit="0" vertical="bottom" wrapText="0"/>
    </xf>
    <xf borderId="30" fillId="2" fontId="8" numFmtId="0" xfId="0" applyAlignment="1" applyBorder="1" applyFont="1">
      <alignment shrinkToFit="0" vertical="top" wrapText="0"/>
    </xf>
    <xf borderId="33" fillId="2" fontId="8" numFmtId="164" xfId="0" applyAlignment="1" applyBorder="1" applyFont="1" applyNumberFormat="1">
      <alignment horizontal="center" shrinkToFit="0" vertical="top" wrapText="0"/>
    </xf>
    <xf borderId="30" fillId="2" fontId="8" numFmtId="164" xfId="0" applyAlignment="1" applyBorder="1" applyFont="1" applyNumberFormat="1">
      <alignment shrinkToFit="0" vertical="top" wrapText="0"/>
    </xf>
    <xf borderId="32" fillId="2" fontId="8" numFmtId="0" xfId="0" applyAlignment="1" applyBorder="1" applyFont="1">
      <alignment shrinkToFit="0" vertical="top" wrapText="0"/>
    </xf>
    <xf borderId="32" fillId="2" fontId="8" numFmtId="164" xfId="0" applyAlignment="1" applyBorder="1" applyFont="1" applyNumberFormat="1">
      <alignment shrinkToFit="0" vertical="top" wrapText="0"/>
    </xf>
    <xf borderId="18" fillId="2" fontId="8" numFmtId="164" xfId="0" applyAlignment="1" applyBorder="1" applyFont="1" applyNumberFormat="1">
      <alignment horizontal="center" shrinkToFit="0" vertical="bottom" wrapText="0"/>
    </xf>
    <xf borderId="27" fillId="2" fontId="8" numFmtId="164" xfId="0" applyAlignment="1" applyBorder="1" applyFont="1" applyNumberFormat="1">
      <alignment shrinkToFit="0" vertical="top" wrapText="0"/>
    </xf>
    <xf borderId="32" fillId="2" fontId="8" numFmtId="164" xfId="0" applyAlignment="1" applyBorder="1" applyFont="1" applyNumberFormat="1">
      <alignment horizontal="center" shrinkToFit="0" vertical="top" wrapText="0"/>
    </xf>
    <xf borderId="1" fillId="2" fontId="8" numFmtId="0" xfId="0" applyAlignment="1" applyBorder="1" applyFont="1">
      <alignment shrinkToFit="0" vertical="bottom" wrapText="0"/>
    </xf>
    <xf borderId="34" fillId="2" fontId="8" numFmtId="0" xfId="0" applyAlignment="1" applyBorder="1" applyFont="1">
      <alignment horizontal="center" shrinkToFit="0" vertical="bottom" wrapText="0"/>
    </xf>
    <xf borderId="35" fillId="2" fontId="10" numFmtId="0" xfId="0" applyAlignment="1" applyBorder="1" applyFont="1">
      <alignment shrinkToFit="0" vertical="bottom" wrapText="0"/>
    </xf>
    <xf borderId="36" fillId="2" fontId="11" numFmtId="0" xfId="0" applyAlignment="1" applyBorder="1" applyFont="1">
      <alignment horizontal="center" shrinkToFit="0" vertical="center" wrapText="0"/>
    </xf>
    <xf borderId="37" fillId="0" fontId="6" numFmtId="0" xfId="0" applyBorder="1" applyFont="1"/>
    <xf borderId="22" fillId="2" fontId="11" numFmtId="164" xfId="0" applyAlignment="1" applyBorder="1" applyFont="1" applyNumberFormat="1">
      <alignment shrinkToFit="0" vertical="bottom" wrapText="0"/>
    </xf>
    <xf borderId="38" fillId="2" fontId="10" numFmtId="0" xfId="0" applyAlignment="1" applyBorder="1" applyFont="1">
      <alignment horizontal="center" shrinkToFit="0" vertical="bottom" wrapText="0"/>
    </xf>
    <xf borderId="39" fillId="2" fontId="10" numFmtId="0" xfId="0" applyAlignment="1" applyBorder="1" applyFont="1">
      <alignment shrinkToFit="0" vertical="bottom" wrapText="0"/>
    </xf>
    <xf borderId="1" fillId="2" fontId="11" numFmtId="0" xfId="0" applyAlignment="1" applyBorder="1" applyFont="1">
      <alignment horizontal="left" shrinkToFit="0" vertical="center" wrapText="0"/>
    </xf>
    <xf borderId="1" fillId="2" fontId="10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horizontal="center" shrinkToFit="0" vertical="bottom" wrapText="0"/>
    </xf>
    <xf borderId="1" fillId="2" fontId="10" numFmtId="164" xfId="0" applyAlignment="1" applyBorder="1" applyFont="1" applyNumberFormat="1">
      <alignment horizontal="center" shrinkToFit="0" vertical="bottom" wrapText="0"/>
    </xf>
    <xf borderId="1" fillId="2" fontId="10" numFmtId="3" xfId="0" applyAlignment="1" applyBorder="1" applyFont="1" applyNumberFormat="1">
      <alignment shrinkToFit="0" vertical="bottom" wrapText="0"/>
    </xf>
    <xf borderId="1" fillId="2" fontId="11" numFmtId="0" xfId="0" applyAlignment="1" applyBorder="1" applyFont="1">
      <alignment shrinkToFit="0" vertical="bottom" wrapText="0"/>
    </xf>
    <xf borderId="2" fillId="2" fontId="10" numFmtId="0" xfId="0" applyAlignment="1" applyBorder="1" applyFont="1">
      <alignment horizontal="center" shrinkToFit="0" vertical="bottom" wrapText="0"/>
    </xf>
    <xf borderId="2" fillId="2" fontId="12" numFmtId="0" xfId="0" applyAlignment="1" applyBorder="1" applyFont="1">
      <alignment horizontal="center" shrinkToFit="0" vertical="bottom" wrapText="0"/>
    </xf>
    <xf borderId="2" fillId="2" fontId="1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0080"/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3.0"/>
    <col customWidth="1" min="3" max="3" width="16.88"/>
    <col customWidth="1" min="4" max="4" width="17.0"/>
    <col customWidth="1" min="5" max="5" width="20.88"/>
    <col customWidth="1" min="6" max="6" width="15.88"/>
    <col customWidth="1" min="7" max="7" width="17.75"/>
    <col customWidth="1" min="8" max="8" width="17.63"/>
  </cols>
  <sheetData>
    <row r="1" ht="13.5" customHeight="1">
      <c r="A1" s="1"/>
      <c r="B1" s="1"/>
      <c r="C1" s="1"/>
      <c r="D1" s="1"/>
      <c r="E1" s="1"/>
      <c r="F1" s="1"/>
      <c r="G1" s="1"/>
      <c r="H1" s="1"/>
    </row>
    <row r="2" ht="16.5" customHeight="1">
      <c r="A2" s="2" t="s">
        <v>0</v>
      </c>
      <c r="B2" s="3"/>
      <c r="C2" s="3"/>
      <c r="D2" s="3"/>
      <c r="E2" s="3"/>
      <c r="F2" s="3"/>
      <c r="G2" s="3"/>
      <c r="H2" s="3"/>
    </row>
    <row r="3" ht="16.5" customHeight="1">
      <c r="A3" s="4"/>
      <c r="B3" s="3"/>
      <c r="C3" s="3"/>
      <c r="D3" s="3"/>
      <c r="E3" s="3"/>
      <c r="F3" s="3"/>
      <c r="G3" s="3"/>
      <c r="H3" s="3"/>
    </row>
    <row r="4" ht="18.0" customHeight="1">
      <c r="A4" s="5" t="s">
        <v>1</v>
      </c>
      <c r="B4" s="6"/>
      <c r="C4" s="6"/>
      <c r="D4" s="6"/>
      <c r="E4" s="6"/>
      <c r="F4" s="6"/>
      <c r="G4" s="6"/>
      <c r="H4" s="7"/>
    </row>
    <row r="5" ht="18.0" customHeight="1">
      <c r="A5" s="5" t="s">
        <v>2</v>
      </c>
      <c r="B5" s="6"/>
      <c r="C5" s="6"/>
      <c r="D5" s="6"/>
      <c r="E5" s="6"/>
      <c r="F5" s="6"/>
      <c r="G5" s="6"/>
      <c r="H5" s="7"/>
    </row>
    <row r="6" ht="16.5" customHeight="1">
      <c r="A6" s="8" t="s">
        <v>3</v>
      </c>
      <c r="B6" s="6"/>
      <c r="C6" s="6"/>
      <c r="D6" s="6"/>
      <c r="E6" s="6"/>
      <c r="F6" s="6"/>
      <c r="G6" s="6"/>
      <c r="H6" s="7"/>
    </row>
    <row r="7" ht="12.75" customHeight="1">
      <c r="A7" s="9" t="s">
        <v>4</v>
      </c>
      <c r="B7" s="10" t="s">
        <v>5</v>
      </c>
      <c r="C7" s="11"/>
      <c r="D7" s="11"/>
      <c r="E7" s="11"/>
      <c r="F7" s="12" t="s">
        <v>6</v>
      </c>
      <c r="G7" s="13" t="s">
        <v>7</v>
      </c>
      <c r="H7" s="14"/>
    </row>
    <row r="8" ht="12.75" customHeight="1">
      <c r="A8" s="15"/>
      <c r="B8" s="16"/>
      <c r="C8" s="17" t="s">
        <v>8</v>
      </c>
      <c r="D8" s="17" t="s">
        <v>9</v>
      </c>
      <c r="E8" s="17" t="s">
        <v>10</v>
      </c>
      <c r="F8" s="17" t="s">
        <v>11</v>
      </c>
      <c r="G8" s="18"/>
      <c r="H8" s="19"/>
    </row>
    <row r="9" ht="12.75" customHeight="1">
      <c r="A9" s="20"/>
      <c r="B9" s="21"/>
      <c r="C9" s="22"/>
      <c r="D9" s="22"/>
      <c r="E9" s="22"/>
      <c r="F9" s="22" t="s">
        <v>12</v>
      </c>
      <c r="G9" s="23"/>
      <c r="H9" s="24"/>
    </row>
    <row r="10" ht="11.25" customHeight="1">
      <c r="A10" s="25">
        <v>1.0</v>
      </c>
      <c r="B10" s="26">
        <f>1+A10</f>
        <v>2</v>
      </c>
      <c r="C10" s="26">
        <v>3.0</v>
      </c>
      <c r="D10" s="27">
        <v>4.0</v>
      </c>
      <c r="E10" s="27">
        <v>5.0</v>
      </c>
      <c r="F10" s="27">
        <v>6.0</v>
      </c>
      <c r="G10" s="28">
        <v>7.0</v>
      </c>
      <c r="H10" s="29"/>
    </row>
    <row r="11" ht="12.75" customHeight="1">
      <c r="A11" s="30"/>
      <c r="B11" s="31"/>
      <c r="C11" s="32"/>
      <c r="D11" s="33"/>
      <c r="E11" s="33"/>
      <c r="F11" s="34"/>
      <c r="G11" s="34"/>
      <c r="H11" s="35"/>
    </row>
    <row r="12" ht="14.25" customHeight="1">
      <c r="A12" s="36">
        <v>1.0</v>
      </c>
      <c r="B12" s="37" t="s">
        <v>13</v>
      </c>
      <c r="C12" s="37" t="s">
        <v>14</v>
      </c>
      <c r="D12" s="38" t="str">
        <f>'Swakelola Sangke P'!H6</f>
        <v>#REF!</v>
      </c>
      <c r="E12" s="38">
        <v>113078.0</v>
      </c>
      <c r="F12" s="39" t="str">
        <f>D12-E12</f>
        <v>#REF!</v>
      </c>
      <c r="G12" s="40" t="s">
        <v>15</v>
      </c>
      <c r="H12" s="41"/>
    </row>
    <row r="13" ht="14.25" customHeight="1">
      <c r="A13" s="42"/>
      <c r="B13" s="43"/>
      <c r="C13" s="44"/>
      <c r="D13" s="45"/>
      <c r="E13" s="45"/>
      <c r="F13" s="46"/>
      <c r="G13" s="40"/>
      <c r="H13" s="41"/>
    </row>
    <row r="14" ht="14.25" customHeight="1">
      <c r="A14" s="36">
        <v>2.0</v>
      </c>
      <c r="B14" s="37" t="s">
        <v>16</v>
      </c>
      <c r="C14" s="37" t="s">
        <v>17</v>
      </c>
      <c r="D14" s="38" t="str">
        <f>D12</f>
        <v>#REF!</v>
      </c>
      <c r="E14" s="38">
        <v>12564.0</v>
      </c>
      <c r="F14" s="39" t="str">
        <f>D14-E14</f>
        <v>#REF!</v>
      </c>
      <c r="G14" s="40"/>
      <c r="H14" s="41" t="s">
        <v>18</v>
      </c>
    </row>
    <row r="15" ht="14.25" customHeight="1">
      <c r="A15" s="42"/>
      <c r="B15" s="43"/>
      <c r="C15" s="44"/>
      <c r="D15" s="45"/>
      <c r="E15" s="45"/>
      <c r="F15" s="46"/>
      <c r="G15" s="40"/>
      <c r="H15" s="41"/>
    </row>
    <row r="16" ht="14.25" customHeight="1">
      <c r="A16" s="36">
        <v>3.0</v>
      </c>
      <c r="B16" s="37" t="s">
        <v>19</v>
      </c>
      <c r="C16" s="37" t="s">
        <v>20</v>
      </c>
      <c r="D16" s="38" t="str">
        <f>D14</f>
        <v>#REF!</v>
      </c>
      <c r="E16" s="38">
        <v>100513.0</v>
      </c>
      <c r="F16" s="39" t="str">
        <f>D16-E16</f>
        <v>#REF!</v>
      </c>
      <c r="G16" s="40" t="s">
        <v>21</v>
      </c>
      <c r="H16" s="41"/>
    </row>
    <row r="17" ht="14.25" customHeight="1">
      <c r="A17" s="42"/>
      <c r="B17" s="43"/>
      <c r="C17" s="43"/>
      <c r="D17" s="47"/>
      <c r="E17" s="47"/>
      <c r="F17" s="46"/>
      <c r="G17" s="48"/>
      <c r="H17" s="41"/>
    </row>
    <row r="18" ht="14.25" customHeight="1">
      <c r="A18" s="36">
        <v>4.0</v>
      </c>
      <c r="B18" s="37" t="s">
        <v>22</v>
      </c>
      <c r="C18" s="37" t="s">
        <v>23</v>
      </c>
      <c r="D18" s="38" t="str">
        <f>'Swakelola Sangke P'!H7</f>
        <v>#REF!</v>
      </c>
      <c r="E18" s="38">
        <v>73291.0</v>
      </c>
      <c r="F18" s="39" t="str">
        <f>D18-E18</f>
        <v>#REF!</v>
      </c>
      <c r="G18" s="48"/>
      <c r="H18" s="41" t="s">
        <v>24</v>
      </c>
    </row>
    <row r="19" ht="14.25" customHeight="1">
      <c r="A19" s="42"/>
      <c r="B19" s="43"/>
      <c r="C19" s="43"/>
      <c r="D19" s="47"/>
      <c r="E19" s="47"/>
      <c r="F19" s="46"/>
      <c r="G19" s="48"/>
      <c r="H19" s="41"/>
    </row>
    <row r="20" ht="14.25" customHeight="1">
      <c r="A20" s="36">
        <v>5.0</v>
      </c>
      <c r="B20" s="44" t="s">
        <v>25</v>
      </c>
      <c r="C20" s="44" t="s">
        <v>26</v>
      </c>
      <c r="D20" s="45" t="str">
        <f>D18</f>
        <v>#REF!</v>
      </c>
      <c r="E20" s="38">
        <v>73291.0</v>
      </c>
      <c r="F20" s="49" t="str">
        <f>D20-E20</f>
        <v>#REF!</v>
      </c>
      <c r="G20" s="40" t="s">
        <v>27</v>
      </c>
      <c r="H20" s="41"/>
    </row>
    <row r="21" ht="14.25" customHeight="1">
      <c r="A21" s="42"/>
      <c r="B21" s="44"/>
      <c r="C21" s="43"/>
      <c r="D21" s="47"/>
      <c r="E21" s="45"/>
      <c r="F21" s="49"/>
      <c r="G21" s="40"/>
      <c r="H21" s="41"/>
    </row>
    <row r="22" ht="14.25" customHeight="1">
      <c r="A22" s="36">
        <v>6.0</v>
      </c>
      <c r="B22" s="37" t="s">
        <v>28</v>
      </c>
      <c r="C22" s="37" t="s">
        <v>29</v>
      </c>
      <c r="D22" s="38" t="str">
        <f>'Swakelola Sangke P'!H8</f>
        <v>#REF!</v>
      </c>
      <c r="E22" s="38">
        <v>53398.0</v>
      </c>
      <c r="F22" s="39" t="str">
        <f>D22-E22</f>
        <v>#REF!</v>
      </c>
      <c r="G22" s="40"/>
      <c r="H22" s="41" t="s">
        <v>30</v>
      </c>
    </row>
    <row r="23" ht="14.25" customHeight="1">
      <c r="A23" s="42"/>
      <c r="B23" s="43"/>
      <c r="C23" s="43"/>
      <c r="D23" s="47"/>
      <c r="E23" s="47"/>
      <c r="F23" s="46"/>
      <c r="G23" s="48"/>
      <c r="H23" s="41"/>
    </row>
    <row r="24" ht="14.25" customHeight="1">
      <c r="A24" s="50">
        <v>7.0</v>
      </c>
      <c r="B24" s="44" t="s">
        <v>31</v>
      </c>
      <c r="C24" s="37" t="s">
        <v>32</v>
      </c>
      <c r="D24" s="45" t="str">
        <f>D22</f>
        <v>#REF!</v>
      </c>
      <c r="E24" s="38">
        <v>44498.0</v>
      </c>
      <c r="F24" s="49" t="str">
        <f>D24-E24</f>
        <v>#REF!</v>
      </c>
      <c r="G24" s="40" t="s">
        <v>33</v>
      </c>
      <c r="H24" s="41"/>
    </row>
    <row r="25" ht="14.25" customHeight="1">
      <c r="A25" s="50"/>
      <c r="B25" s="43"/>
      <c r="C25" s="44"/>
      <c r="D25" s="45"/>
      <c r="E25" s="45"/>
      <c r="F25" s="49"/>
      <c r="G25" s="48"/>
      <c r="H25" s="41"/>
    </row>
    <row r="26" ht="14.25" customHeight="1">
      <c r="A26" s="36">
        <v>8.0</v>
      </c>
      <c r="B26" s="37" t="s">
        <v>34</v>
      </c>
      <c r="C26" s="37" t="s">
        <v>35</v>
      </c>
      <c r="D26" s="38" t="str">
        <f>D24</f>
        <v>#REF!</v>
      </c>
      <c r="E26" s="38">
        <v>35599.0</v>
      </c>
      <c r="F26" s="39" t="str">
        <f>D26-E26</f>
        <v>#REF!</v>
      </c>
      <c r="G26" s="51" t="s">
        <v>36</v>
      </c>
      <c r="H26" s="41" t="s">
        <v>37</v>
      </c>
    </row>
    <row r="27" ht="14.25" customHeight="1">
      <c r="A27" s="42"/>
      <c r="B27" s="43"/>
      <c r="C27" s="44"/>
      <c r="D27" s="45"/>
      <c r="E27" s="45"/>
      <c r="F27" s="46"/>
      <c r="G27" s="48"/>
      <c r="H27" s="41"/>
    </row>
    <row r="28" ht="14.25" customHeight="1">
      <c r="A28" s="36">
        <v>9.0</v>
      </c>
      <c r="B28" s="37" t="s">
        <v>38</v>
      </c>
      <c r="C28" s="37" t="s">
        <v>39</v>
      </c>
      <c r="D28" s="38" t="str">
        <f>D26</f>
        <v>#REF!</v>
      </c>
      <c r="E28" s="38">
        <v>35599.0</v>
      </c>
      <c r="F28" s="49" t="str">
        <f>D28-E28</f>
        <v>#REF!</v>
      </c>
      <c r="G28" s="40" t="s">
        <v>40</v>
      </c>
      <c r="H28" s="41"/>
    </row>
    <row r="29" ht="14.25" customHeight="1">
      <c r="A29" s="42"/>
      <c r="B29" s="43"/>
      <c r="C29" s="43"/>
      <c r="D29" s="47"/>
      <c r="E29" s="47"/>
      <c r="F29" s="46"/>
      <c r="G29" s="48"/>
      <c r="H29" s="41"/>
    </row>
    <row r="30" ht="14.25" customHeight="1">
      <c r="A30" s="36">
        <v>10.0</v>
      </c>
      <c r="B30" s="37" t="s">
        <v>41</v>
      </c>
      <c r="C30" s="52" t="s">
        <v>42</v>
      </c>
      <c r="D30" s="38" t="str">
        <f>'Swakelola Sangke P'!H9</f>
        <v>#REF!</v>
      </c>
      <c r="E30" s="38">
        <v>7329.0</v>
      </c>
      <c r="F30" s="39" t="str">
        <f>D30-E30</f>
        <v>#REF!</v>
      </c>
      <c r="G30" s="40"/>
      <c r="H30" s="41" t="s">
        <v>43</v>
      </c>
    </row>
    <row r="31" ht="14.25" customHeight="1">
      <c r="A31" s="42"/>
      <c r="B31" s="43"/>
      <c r="C31" s="43"/>
      <c r="D31" s="47"/>
      <c r="E31" s="47"/>
      <c r="F31" s="53"/>
      <c r="G31" s="40"/>
      <c r="H31" s="41"/>
    </row>
    <row r="32" ht="14.25" customHeight="1">
      <c r="A32" s="36">
        <v>11.0</v>
      </c>
      <c r="B32" s="37" t="s">
        <v>44</v>
      </c>
      <c r="C32" s="44" t="s">
        <v>45</v>
      </c>
      <c r="D32" s="38" t="str">
        <f>'Daftar Swakelola'!D30</f>
        <v>#REF!</v>
      </c>
      <c r="E32" s="38">
        <v>7329.0</v>
      </c>
      <c r="F32" s="39" t="str">
        <f>D32-E32</f>
        <v>#REF!</v>
      </c>
      <c r="G32" s="54" t="s">
        <v>46</v>
      </c>
      <c r="H32" s="55"/>
    </row>
    <row r="33" ht="14.25" customHeight="1">
      <c r="A33" s="42"/>
      <c r="B33" s="43"/>
      <c r="C33" s="44"/>
      <c r="D33" s="45"/>
      <c r="E33" s="45"/>
      <c r="F33" s="53"/>
      <c r="G33" s="56"/>
      <c r="H33" s="57"/>
    </row>
    <row r="34" ht="14.25" customHeight="1">
      <c r="A34" s="36">
        <v>12.0</v>
      </c>
      <c r="B34" s="58" t="s">
        <v>47</v>
      </c>
      <c r="C34" s="37" t="s">
        <v>48</v>
      </c>
      <c r="D34" s="59" t="str">
        <f>'Swakelola Sangke P'!H10</f>
        <v>#REF!</v>
      </c>
      <c r="E34" s="60">
        <v>13611.0</v>
      </c>
      <c r="F34" s="39" t="str">
        <f>D34-E34</f>
        <v>#REF!</v>
      </c>
      <c r="G34" s="40"/>
      <c r="H34" s="41" t="s">
        <v>49</v>
      </c>
    </row>
    <row r="35" ht="14.25" customHeight="1">
      <c r="A35" s="42"/>
      <c r="B35" s="61"/>
      <c r="C35" s="43"/>
      <c r="D35" s="21"/>
      <c r="E35" s="62"/>
      <c r="F35" s="53"/>
      <c r="G35" s="48"/>
      <c r="H35" s="41"/>
    </row>
    <row r="36" ht="14.25" customHeight="1">
      <c r="A36" s="36">
        <v>13.0</v>
      </c>
      <c r="B36" s="37" t="s">
        <v>50</v>
      </c>
      <c r="C36" s="37" t="s">
        <v>48</v>
      </c>
      <c r="D36" s="38" t="str">
        <f>D34</f>
        <v>#REF!</v>
      </c>
      <c r="E36" s="60">
        <v>10208.0</v>
      </c>
      <c r="F36" s="39" t="str">
        <f>D36-E36</f>
        <v>#REF!</v>
      </c>
      <c r="G36" s="40" t="s">
        <v>51</v>
      </c>
      <c r="H36" s="57"/>
    </row>
    <row r="37" ht="14.25" customHeight="1">
      <c r="A37" s="42"/>
      <c r="B37" s="43"/>
      <c r="C37" s="43"/>
      <c r="D37" s="47"/>
      <c r="E37" s="47"/>
      <c r="F37" s="53"/>
      <c r="G37" s="48"/>
      <c r="H37" s="41"/>
    </row>
    <row r="38" ht="14.25" customHeight="1">
      <c r="A38" s="36">
        <v>14.0</v>
      </c>
      <c r="B38" s="37" t="s">
        <v>52</v>
      </c>
      <c r="C38" s="37" t="s">
        <v>48</v>
      </c>
      <c r="D38" s="38" t="str">
        <f>D36</f>
        <v>#REF!</v>
      </c>
      <c r="E38" s="60">
        <v>10208.0</v>
      </c>
      <c r="F38" s="39" t="str">
        <f>D38-E38</f>
        <v>#REF!</v>
      </c>
      <c r="G38" s="56"/>
      <c r="H38" s="41" t="s">
        <v>53</v>
      </c>
    </row>
    <row r="39" ht="14.25" customHeight="1">
      <c r="A39" s="42"/>
      <c r="B39" s="43"/>
      <c r="C39" s="43"/>
      <c r="D39" s="47"/>
      <c r="E39" s="47"/>
      <c r="F39" s="53"/>
      <c r="G39" s="40"/>
      <c r="H39" s="41"/>
    </row>
    <row r="40" ht="14.25" customHeight="1">
      <c r="A40" s="36">
        <v>15.0</v>
      </c>
      <c r="B40" s="37" t="s">
        <v>54</v>
      </c>
      <c r="C40" s="37" t="s">
        <v>55</v>
      </c>
      <c r="D40" s="38" t="str">
        <f>D38</f>
        <v>#REF!</v>
      </c>
      <c r="E40" s="60">
        <v>10208.0</v>
      </c>
      <c r="F40" s="39" t="str">
        <f>D40-E40</f>
        <v>#REF!</v>
      </c>
      <c r="G40" s="54" t="s">
        <v>56</v>
      </c>
      <c r="H40" s="57"/>
    </row>
    <row r="41" ht="14.25" customHeight="1">
      <c r="A41" s="42"/>
      <c r="B41" s="43"/>
      <c r="C41" s="43"/>
      <c r="D41" s="47"/>
      <c r="E41" s="47"/>
      <c r="F41" s="53"/>
      <c r="G41" s="40"/>
      <c r="H41" s="41"/>
    </row>
    <row r="42" ht="14.25" customHeight="1">
      <c r="A42" s="36">
        <v>16.0</v>
      </c>
      <c r="B42" s="37" t="s">
        <v>57</v>
      </c>
      <c r="C42" s="37" t="s">
        <v>55</v>
      </c>
      <c r="D42" s="45" t="str">
        <f>D40</f>
        <v>#REF!</v>
      </c>
      <c r="E42" s="60">
        <v>10208.0</v>
      </c>
      <c r="F42" s="39" t="str">
        <f>D42-E42</f>
        <v>#REF!</v>
      </c>
      <c r="G42" s="56"/>
      <c r="H42" s="55"/>
    </row>
    <row r="43" ht="14.25" customHeight="1">
      <c r="A43" s="42"/>
      <c r="B43" s="43"/>
      <c r="C43" s="43"/>
      <c r="D43" s="47"/>
      <c r="E43" s="47"/>
      <c r="F43" s="53"/>
      <c r="G43" s="54"/>
      <c r="H43" s="55" t="s">
        <v>58</v>
      </c>
    </row>
    <row r="44" ht="14.25" customHeight="1">
      <c r="A44" s="50">
        <v>17.0</v>
      </c>
      <c r="B44" s="44" t="s">
        <v>59</v>
      </c>
      <c r="C44" s="37" t="s">
        <v>55</v>
      </c>
      <c r="D44" s="45" t="str">
        <f>D42</f>
        <v>#REF!</v>
      </c>
      <c r="E44" s="60">
        <v>6806.0</v>
      </c>
      <c r="F44" s="39" t="str">
        <f>D44-E44</f>
        <v>#REF!</v>
      </c>
      <c r="G44" s="56"/>
      <c r="H44" s="41"/>
    </row>
    <row r="45" ht="14.25" customHeight="1">
      <c r="A45" s="42"/>
      <c r="B45" s="43"/>
      <c r="C45" s="43"/>
      <c r="D45" s="63"/>
      <c r="E45" s="62"/>
      <c r="F45" s="53"/>
      <c r="G45" s="54" t="s">
        <v>60</v>
      </c>
      <c r="H45" s="57"/>
    </row>
    <row r="46" ht="14.25" customHeight="1">
      <c r="A46" s="36">
        <v>18.0</v>
      </c>
      <c r="B46" s="37" t="s">
        <v>61</v>
      </c>
      <c r="C46" s="37" t="s">
        <v>55</v>
      </c>
      <c r="D46" s="38" t="str">
        <f>D44</f>
        <v>#REF!</v>
      </c>
      <c r="E46" s="64">
        <v>6806.0</v>
      </c>
      <c r="F46" s="39" t="str">
        <f>D46-E46</f>
        <v>#REF!</v>
      </c>
      <c r="G46" s="56"/>
      <c r="H46" s="57"/>
    </row>
    <row r="47" ht="14.25" customHeight="1">
      <c r="A47" s="42"/>
      <c r="B47" s="43"/>
      <c r="C47" s="43"/>
      <c r="D47" s="47"/>
      <c r="E47" s="47"/>
      <c r="F47" s="53"/>
      <c r="G47" s="56"/>
      <c r="H47" s="55" t="s">
        <v>62</v>
      </c>
    </row>
    <row r="48" ht="14.25" customHeight="1">
      <c r="A48" s="36">
        <v>19.0</v>
      </c>
      <c r="B48" s="37" t="s">
        <v>63</v>
      </c>
      <c r="C48" s="37" t="s">
        <v>64</v>
      </c>
      <c r="D48" s="38" t="str">
        <f>'Swakelola Sangke P'!H11</f>
        <v>#REF!</v>
      </c>
      <c r="E48" s="64">
        <v>10994.0</v>
      </c>
      <c r="F48" s="39" t="str">
        <f>D48-E48</f>
        <v>#REF!</v>
      </c>
      <c r="G48" s="56"/>
      <c r="H48" s="57"/>
    </row>
    <row r="49" ht="14.25" customHeight="1">
      <c r="A49" s="42"/>
      <c r="B49" s="43"/>
      <c r="C49" s="43"/>
      <c r="D49" s="47"/>
      <c r="E49" s="47"/>
      <c r="F49" s="65"/>
      <c r="G49" s="66" t="s">
        <v>65</v>
      </c>
      <c r="H49" s="55"/>
    </row>
    <row r="50" ht="14.25" customHeight="1">
      <c r="A50" s="50">
        <v>20.0</v>
      </c>
      <c r="B50" s="44" t="s">
        <v>66</v>
      </c>
      <c r="C50" s="37" t="s">
        <v>64</v>
      </c>
      <c r="D50" s="45" t="str">
        <f>D48</f>
        <v>#REF!</v>
      </c>
      <c r="E50" s="45">
        <v>9423.0</v>
      </c>
      <c r="F50" s="39" t="str">
        <f>D50-E50</f>
        <v>#REF!</v>
      </c>
      <c r="G50" s="54"/>
      <c r="H50" s="57"/>
    </row>
    <row r="51" ht="14.25" customHeight="1">
      <c r="A51" s="50"/>
      <c r="B51" s="44"/>
      <c r="C51" s="44"/>
      <c r="D51" s="45"/>
      <c r="E51" s="45"/>
      <c r="F51" s="53"/>
      <c r="G51" s="54"/>
      <c r="H51" s="55" t="s">
        <v>67</v>
      </c>
    </row>
    <row r="52" ht="14.25" customHeight="1">
      <c r="A52" s="36">
        <v>21.0</v>
      </c>
      <c r="B52" s="37" t="s">
        <v>68</v>
      </c>
      <c r="C52" s="37" t="s">
        <v>69</v>
      </c>
      <c r="D52" s="38" t="str">
        <f>D48</f>
        <v>#REF!</v>
      </c>
      <c r="E52" s="60">
        <v>10994.0</v>
      </c>
      <c r="F52" s="39" t="str">
        <f>D52-E52</f>
        <v>#REF!</v>
      </c>
      <c r="G52" s="56"/>
      <c r="H52" s="57"/>
    </row>
    <row r="53" ht="14.25" customHeight="1">
      <c r="A53" s="50"/>
      <c r="B53" s="43"/>
      <c r="C53" s="43"/>
      <c r="D53" s="47"/>
      <c r="E53" s="47"/>
      <c r="F53" s="47"/>
      <c r="G53" s="54" t="s">
        <v>70</v>
      </c>
      <c r="H53" s="55"/>
    </row>
    <row r="54" ht="14.25" customHeight="1">
      <c r="A54" s="67"/>
      <c r="B54" s="44"/>
      <c r="C54" s="44"/>
      <c r="D54" s="45" t="s">
        <v>3</v>
      </c>
      <c r="E54" s="45"/>
      <c r="F54" s="49"/>
      <c r="G54" s="56"/>
      <c r="H54" s="55"/>
    </row>
    <row r="55" ht="15.75" customHeight="1">
      <c r="A55" s="68"/>
      <c r="B55" s="69" t="s">
        <v>6</v>
      </c>
      <c r="C55" s="70"/>
      <c r="D55" s="71" t="str">
        <f t="shared" ref="D55:F55" si="1">SUM(D12:D54)</f>
        <v>#REF!</v>
      </c>
      <c r="E55" s="71">
        <f t="shared" si="1"/>
        <v>655955</v>
      </c>
      <c r="F55" s="71" t="str">
        <f t="shared" si="1"/>
        <v>#REF!</v>
      </c>
      <c r="G55" s="72"/>
      <c r="H55" s="73"/>
    </row>
    <row r="56" ht="15.0" customHeight="1">
      <c r="A56" s="74"/>
      <c r="B56" s="75"/>
      <c r="C56" s="76"/>
      <c r="D56" s="77"/>
      <c r="E56" s="76"/>
      <c r="F56" s="78"/>
      <c r="G56" s="76"/>
      <c r="H56" s="75"/>
    </row>
    <row r="57" ht="15.0" customHeight="1">
      <c r="A57" s="75" t="s">
        <v>71</v>
      </c>
      <c r="B57" s="75"/>
      <c r="C57" s="76"/>
      <c r="D57" s="76"/>
      <c r="E57" s="76"/>
      <c r="F57" s="78"/>
      <c r="G57" s="76"/>
      <c r="H57" s="75"/>
    </row>
    <row r="58" ht="15.0" customHeight="1">
      <c r="A58" s="79"/>
      <c r="B58" s="75"/>
      <c r="C58" s="76"/>
      <c r="D58" s="76"/>
      <c r="E58" s="76"/>
      <c r="F58" s="75"/>
      <c r="G58" s="80" t="s">
        <v>72</v>
      </c>
      <c r="H58" s="7"/>
    </row>
    <row r="59" ht="14.25" customHeight="1">
      <c r="A59" s="66"/>
      <c r="B59" s="66"/>
      <c r="C59" s="66"/>
      <c r="D59" s="66"/>
      <c r="E59" s="66"/>
      <c r="F59" s="66"/>
      <c r="G59" s="66"/>
      <c r="H59" s="66"/>
    </row>
    <row r="60" ht="15.0" customHeight="1">
      <c r="A60" s="80" t="s">
        <v>73</v>
      </c>
      <c r="B60" s="6"/>
      <c r="C60" s="7"/>
      <c r="D60" s="80" t="s">
        <v>74</v>
      </c>
      <c r="E60" s="6"/>
      <c r="F60" s="7"/>
      <c r="G60" s="80" t="s">
        <v>75</v>
      </c>
      <c r="H60" s="7"/>
    </row>
    <row r="61" ht="15.0" customHeight="1">
      <c r="A61" s="80" t="s">
        <v>76</v>
      </c>
      <c r="B61" s="6"/>
      <c r="C61" s="7"/>
      <c r="D61" s="80" t="s">
        <v>77</v>
      </c>
      <c r="E61" s="6"/>
      <c r="F61" s="7"/>
      <c r="G61" s="80" t="s">
        <v>78</v>
      </c>
      <c r="H61" s="7"/>
    </row>
    <row r="62" ht="15.0" customHeight="1">
      <c r="A62" s="76"/>
      <c r="B62" s="76"/>
      <c r="C62" s="76"/>
      <c r="D62" s="76"/>
      <c r="E62" s="76"/>
      <c r="F62" s="76"/>
      <c r="G62" s="76"/>
      <c r="H62" s="76"/>
    </row>
    <row r="63" ht="15.0" customHeight="1">
      <c r="A63" s="76"/>
      <c r="B63" s="76"/>
      <c r="C63" s="76"/>
      <c r="D63" s="76"/>
      <c r="E63" s="76"/>
      <c r="F63" s="76"/>
      <c r="G63" s="76"/>
      <c r="H63" s="76"/>
    </row>
    <row r="64" ht="15.0" customHeight="1">
      <c r="A64" s="75"/>
      <c r="B64" s="75"/>
      <c r="C64" s="76"/>
      <c r="D64" s="76"/>
      <c r="E64" s="76"/>
      <c r="F64" s="78"/>
      <c r="G64" s="76"/>
      <c r="H64" s="75"/>
    </row>
    <row r="65" ht="15.0" customHeight="1">
      <c r="A65" s="75"/>
      <c r="B65" s="75"/>
      <c r="C65" s="75"/>
      <c r="D65" s="75"/>
      <c r="E65" s="75"/>
      <c r="F65" s="75"/>
      <c r="G65" s="75"/>
      <c r="H65" s="75"/>
    </row>
    <row r="66" ht="14.25" customHeight="1">
      <c r="A66" s="66"/>
      <c r="B66" s="66"/>
      <c r="C66" s="66"/>
      <c r="D66" s="66"/>
      <c r="E66" s="66"/>
      <c r="F66" s="66"/>
      <c r="G66" s="66"/>
      <c r="H66" s="66"/>
    </row>
    <row r="67" ht="15.0" customHeight="1">
      <c r="A67" s="81" t="s">
        <v>79</v>
      </c>
      <c r="B67" s="6"/>
      <c r="C67" s="7"/>
      <c r="D67" s="82" t="s">
        <v>80</v>
      </c>
      <c r="E67" s="6"/>
      <c r="F67" s="7"/>
      <c r="G67" s="81" t="s">
        <v>81</v>
      </c>
      <c r="H67" s="7"/>
    </row>
    <row r="68" ht="15.0" customHeight="1">
      <c r="A68" s="80" t="s">
        <v>82</v>
      </c>
      <c r="B68" s="6"/>
      <c r="C68" s="7"/>
      <c r="D68" s="56"/>
      <c r="E68" s="56"/>
      <c r="F68" s="56"/>
      <c r="G68" s="56"/>
      <c r="H68" s="56"/>
    </row>
    <row r="69" ht="15.75" customHeight="1">
      <c r="A69" s="3"/>
      <c r="B69" s="3"/>
      <c r="C69" s="3"/>
      <c r="D69" s="56"/>
      <c r="E69" s="76"/>
      <c r="F69" s="76"/>
      <c r="G69" s="3"/>
      <c r="H69" s="3"/>
    </row>
  </sheetData>
  <mergeCells count="20">
    <mergeCell ref="A4:H4"/>
    <mergeCell ref="A5:H5"/>
    <mergeCell ref="A6:H6"/>
    <mergeCell ref="A7:A9"/>
    <mergeCell ref="B7:B9"/>
    <mergeCell ref="G7:H9"/>
    <mergeCell ref="G10:H10"/>
    <mergeCell ref="D61:F61"/>
    <mergeCell ref="G61:H61"/>
    <mergeCell ref="A67:C67"/>
    <mergeCell ref="D67:F67"/>
    <mergeCell ref="G67:H67"/>
    <mergeCell ref="A68:C68"/>
    <mergeCell ref="D34:D35"/>
    <mergeCell ref="B55:C55"/>
    <mergeCell ref="G58:H58"/>
    <mergeCell ref="A60:C60"/>
    <mergeCell ref="D60:F60"/>
    <mergeCell ref="G60:H60"/>
    <mergeCell ref="A61:C61"/>
  </mergeCells>
  <printOptions/>
  <pageMargins bottom="1.0" footer="0.0" header="0.0" left="1.0" right="1.0" top="1.0"/>
  <pageSetup paperSize="9" orientation="landscape"/>
  <drawing r:id="rId1"/>
</worksheet>
</file>